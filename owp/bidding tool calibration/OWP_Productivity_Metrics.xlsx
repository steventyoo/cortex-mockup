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sjc/Documents/Claude/Projects/Project Cortex/"/>
    </mc:Choice>
  </mc:AlternateContent>
  <xr:revisionPtr revIDLastSave="0" documentId="11_D8B384228DFDF94F79279E405AA747841F72179C" xr6:coauthVersionLast="47" xr6:coauthVersionMax="47" xr10:uidLastSave="{00000000-0000-0000-0000-000000000000}"/>
  <bookViews>
    <workbookView xWindow="0" yWindow="660" windowWidth="34560" windowHeight="21680" tabRatio="500" activeTab="9" xr2:uid="{00000000-000D-0000-FFFF-FFFF00000000}"/>
  </bookViews>
  <sheets>
    <sheet name="README" sheetId="1" r:id="rId1"/>
    <sheet name="Instructions" sheetId="2" r:id="rId2"/>
    <sheet name="Per-Job Rollup" sheetId="3" r:id="rId3"/>
    <sheet name="Productivity Rates" sheetId="4" r:id="rId4"/>
    <sheet name="Phase Splits — Labor" sheetId="5" r:id="rId5"/>
    <sheet name="Phase Splits — Material" sheetId="6" r:id="rId6"/>
    <sheet name="Crew Composition" sheetId="7" r:id="rId7"/>
    <sheet name="Material Variance" sheetId="8" r:id="rId8"/>
    <sheet name="Bid Calibration" sheetId="9" r:id="rId9"/>
    <sheet name="Cost Code Calibration" sheetId="10" r:id="rId10"/>
    <sheet name="Cost Code Detail" sheetId="11" r:id="rId11"/>
  </sheets>
  <definedNames>
    <definedName name="_xlnm._FilterDatabase" localSheetId="10" hidden="1">'Cost Code Detail'!$A$4:$Q$4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73" i="8" l="1"/>
  <c r="I73" i="8"/>
  <c r="J72" i="8"/>
  <c r="I72" i="8"/>
  <c r="N71" i="8"/>
  <c r="M71" i="8"/>
  <c r="L71" i="8"/>
  <c r="J71" i="8"/>
  <c r="I71" i="8"/>
  <c r="H71" i="8"/>
  <c r="G71" i="8"/>
  <c r="F71" i="8"/>
  <c r="E71" i="8"/>
  <c r="D71" i="8"/>
  <c r="S71" i="7"/>
  <c r="R71" i="7"/>
  <c r="Q71" i="7"/>
  <c r="P71" i="7"/>
  <c r="O71" i="7"/>
  <c r="N71" i="7"/>
  <c r="M71" i="7"/>
  <c r="L71" i="7"/>
  <c r="K71" i="7"/>
  <c r="J71" i="7"/>
  <c r="I71" i="7"/>
  <c r="H71" i="7"/>
  <c r="G71" i="7"/>
  <c r="F71" i="7"/>
  <c r="E71" i="7"/>
  <c r="D71" i="7"/>
  <c r="Q71" i="6"/>
  <c r="P71" i="6"/>
  <c r="O71" i="6"/>
  <c r="N71" i="6"/>
  <c r="M71" i="6"/>
  <c r="L71" i="6"/>
  <c r="K71" i="6"/>
  <c r="J71" i="6"/>
  <c r="I71" i="6"/>
  <c r="H71" i="6"/>
  <c r="G71" i="6"/>
  <c r="F71" i="6"/>
  <c r="E71" i="6"/>
  <c r="D71" i="6"/>
  <c r="AB71" i="5"/>
  <c r="AA71" i="5"/>
  <c r="Z71" i="5"/>
  <c r="Y71" i="5"/>
  <c r="X71" i="5"/>
  <c r="W71" i="5"/>
  <c r="V71" i="5"/>
  <c r="U71" i="5"/>
  <c r="T71" i="5"/>
  <c r="S71" i="5"/>
  <c r="R71" i="5"/>
  <c r="Q71" i="5"/>
  <c r="P71" i="5"/>
  <c r="O71" i="5"/>
  <c r="N71" i="5"/>
  <c r="M71" i="5"/>
  <c r="L71" i="5"/>
  <c r="K71" i="5"/>
  <c r="J71" i="5"/>
  <c r="I71" i="5"/>
  <c r="H71" i="5"/>
  <c r="G71" i="5"/>
  <c r="F71" i="5"/>
  <c r="E71" i="5"/>
  <c r="D71" i="5"/>
  <c r="V71" i="4"/>
  <c r="U71" i="4"/>
  <c r="T71" i="4"/>
  <c r="S71" i="4"/>
  <c r="R71" i="4"/>
  <c r="Q71" i="4"/>
  <c r="P71" i="4"/>
  <c r="O71" i="4"/>
  <c r="N71" i="4"/>
  <c r="M71" i="4"/>
  <c r="L71" i="4"/>
  <c r="K71" i="4"/>
  <c r="J71" i="4"/>
  <c r="I71" i="4"/>
  <c r="H71" i="4"/>
  <c r="G71" i="4"/>
  <c r="F71" i="4"/>
  <c r="E71" i="4"/>
  <c r="D71" i="4"/>
  <c r="AS69" i="3"/>
  <c r="AR69" i="3"/>
  <c r="AQ69" i="3"/>
  <c r="AP69" i="3"/>
  <c r="AO69" i="3"/>
  <c r="AN69" i="3"/>
  <c r="AM69" i="3"/>
  <c r="AL69" i="3"/>
  <c r="AK69" i="3"/>
  <c r="AJ69" i="3"/>
  <c r="AI69" i="3"/>
  <c r="AH69" i="3"/>
  <c r="AG69" i="3"/>
  <c r="AF69" i="3"/>
  <c r="AE69" i="3"/>
  <c r="AD69" i="3"/>
  <c r="AC69" i="3"/>
  <c r="AA69" i="3"/>
  <c r="Z69" i="3"/>
  <c r="Y69" i="3"/>
  <c r="X69" i="3"/>
  <c r="W69" i="3"/>
  <c r="V69" i="3"/>
  <c r="U69" i="3"/>
  <c r="T69" i="3"/>
  <c r="S69" i="3"/>
  <c r="R69" i="3"/>
  <c r="Q69" i="3"/>
  <c r="P69" i="3"/>
  <c r="O69" i="3"/>
  <c r="N69" i="3"/>
  <c r="M69" i="3"/>
  <c r="L69" i="3"/>
  <c r="K69" i="3"/>
  <c r="G69" i="3"/>
  <c r="F69" i="3"/>
  <c r="D68" i="3"/>
</calcChain>
</file>

<file path=xl/sharedStrings.xml><?xml version="1.0" encoding="utf-8"?>
<sst xmlns="http://schemas.openxmlformats.org/spreadsheetml/2006/main" count="12548" uniqueCount="635">
  <si>
    <t>OWP Productivity Metrics</t>
  </si>
  <si>
    <t>Reverse-engineered from 65 historical jobs · for OWP bidding tool calibration</t>
  </si>
  <si>
    <t>Purpose</t>
  </si>
  <si>
    <t>This workbook turns 65 jobs of OWP project history into the productivity benchmarks needed by the bidding tool. Three primary signals drive the bid model: (1) labor hours per plumbing unit by phase, (2) crew size and composition vs. project duration, and (3) material variance — original takeoff budget vs. actual spend.</t>
  </si>
  <si>
    <t>Source data</t>
  </si>
  <si>
    <t>66 project folders from cortex-mockup repo. 53 cortex-output JSONs (V1, V2.2, V_TX schemas) plus 17 supabase rolled-up JSONs (older jobs not in cortex output). Cross-referenced against OWP Project List with Schedule (UPDATED 04-01-26) for unit counts, GC, address, dates.</t>
  </si>
  <si>
    <t>Schema mix</t>
  </si>
  <si>
    <t>V1 schema: 18 jobs (cortex output, codes/workers dicts) · V2.2: 32 jobs (cost_code_summaries lists) · V_TX: 2 jobs (transactions/code_totals) · SUPABASE: 13 jobs (rolled-up benchmark format). Cortex preferred when both available; supabase fills gaps for jobs 2001, 2008–2019, 2021, 2022.</t>
  </si>
  <si>
    <t>Live vs. completed</t>
  </si>
  <si>
    <t>14 jobs flagged is_live (jobs 2098, 2103–2107, 2111–2119) — partial data only. Excluded from benchmark medians where labor hours &lt; 1,500 or duration &lt; 2 months. They appear in Per-Job Rollup but are visually distinct (cream highlight) and capped from the Bid Calibration sheet.</t>
  </si>
  <si>
    <t>Methodology — productivity rates</t>
  </si>
  <si>
    <t>hours_per_unit = total_labor_hours / plumbing_units. Plumbing units come from the Schedule tab and are typically apartment/condo unit counts; for non-residential jobs the field is blank, so productivity-per-unit metrics are skipped on those rows. Phase hours/unit pulls labor-code phase mappings (100s codes → underground, rough-in, trim/finish, gas, etc.).</t>
  </si>
  <si>
    <t>Methodology — material variance</t>
  </si>
  <si>
    <t>material_orig_to_actual_pct = (actual − original_budget) / original_budget. NEGATIVE values mean OWP came in UNDER budget (conservative takeoff). Across the 52 completed jobs with both numbers, the median is roughly −25%, which is the strongest single signal for the bid model — OWP can sharpen takeoff or hold cushion as a deliberate margin contribution.</t>
  </si>
  <si>
    <t>Methodology — crew composition</t>
  </si>
  <si>
    <t>avg_crew_fte = total_hours / (duration_months × 173.33). top5_pct_of_hours flags supervisor or lead-tech concentration. blended_wage = labor_cost / total_hours; fully_loaded_wage adds burden_cost (cost code 995). burden_multiplier = loaded_wage / blended_wage.</t>
  </si>
  <si>
    <t>Caveats</t>
  </si>
  <si>
    <t>V_TX jobs (2111, 2112) have transactions but no cost_code_summaries → labor/material totals from transaction sums; phase splits inferred from code numbers. Some live jobs have only deposits/POs and very few hours — interpret cautiously. Material vendor data is missing on supabase rollups.</t>
  </si>
  <si>
    <t>How to use</t>
  </si>
  <si>
    <t>Per-Job Rollup is the master record. Productivity Rates, Crew Composition, Material Variance are pivot views of the rollup. Phase Splits show breakdown by construction phase. Bid Calibration gives you medians and quartiles to feed the bidding tool — read those numbers as the OWP house standard against which a new bid should be sense-checked.</t>
  </si>
  <si>
    <t>Companion file</t>
  </si>
  <si>
    <t>OWP_Productivity_Insights.json — narrative insights and headline numbers for the Cortex layer. That file is the structured version of "what should the bidding tool know" and is intended to flow into Cortex (cross-job intelligence) per the architecture decision.</t>
  </si>
  <si>
    <t>Built</t>
  </si>
  <si>
    <t>2026-04-27  ·  65 jobs</t>
  </si>
  <si>
    <t>How to Use This Calibration File</t>
  </si>
  <si>
    <t>Instructions for Claude (or any agent) when bidding a new OWP project</t>
  </si>
  <si>
    <t>This file is the productivity-calibration layer for the OWP bidding tool. It supplements Cortex's comparable-matching by providing cost-code-level historical data so the bid output reflects how OWP actually executes, not just how it estimates.</t>
  </si>
  <si>
    <t>Division of responsibility</t>
  </si>
  <si>
    <t>This file</t>
  </si>
  <si>
    <t>Carries the productivity calibration data (per-code rates, variances, structural rules) and these instructions.</t>
  </si>
  <si>
    <t>Cortex</t>
  </si>
  <si>
    <t>Selects comparable past jobs by size, GC, project type, vintage. This file does NOT segment by cohort — Cortex does.</t>
  </si>
  <si>
    <t>Estimator</t>
  </si>
  <si>
    <t>Produces the takeoff (units, fixtures, code-level quantities). This file calibrates the takeoff.</t>
  </si>
  <si>
    <t>Required inputs (the agent should request these before bidding)</t>
  </si>
  <si>
    <t>plumbing_units</t>
  </si>
  <si>
    <t>Drives per-unit rate calculations.</t>
  </si>
  <si>
    <t>general_contractor</t>
  </si>
  <si>
    <t>Optional but improves Cortex match quality.</t>
  </si>
  <si>
    <t>project_type</t>
  </si>
  <si>
    <t>Optional — e.g. 'apartment', 'mixed-use', 'senior'.</t>
  </si>
  <si>
    <t>estimator_takeoff</t>
  </si>
  <si>
    <t>Dict by cost code: the bid's draft line items.</t>
  </si>
  <si>
    <t>comparable_job_ids</t>
  </si>
  <si>
    <t>Provided by Cortex; the IDs whose history this file should pull from.</t>
  </si>
  <si>
    <t>Workflow</t>
  </si>
  <si>
    <t>STEP 1</t>
  </si>
  <si>
    <t>Comparable selection (Cortex)</t>
  </si>
  <si>
    <t>Cortex returns N comparable past jobs by size, GC, project type, etc. Hand the list of job IDs forward.</t>
  </si>
  <si>
    <t>STEP 2</t>
  </si>
  <si>
    <t>Retrieve per-code productivity from comparables</t>
  </si>
  <si>
    <t>For each comparable job ID, pull its (job, code) rows from the Cost Code Detail table. Aggregate by code: median(hours_per_unit), median(actual_per_unit), median(variance_orig_to_actual). FALLBACK: if comparables have &lt;5 jobs for a code, supplement with cost_code_benchmarks.by_code[code] (full-dataset).</t>
  </si>
  <si>
    <t>STEP 3</t>
  </si>
  <si>
    <t>Compute calibrated rates</t>
  </si>
  <si>
    <t>For each code in the takeoff:
  • expected_hours = units × median(hours_per_unit)
  • expected_dollars = units × median(actual_per_unit)
  • tuning_factor = 1 + median(variance_orig_to_actual)
  • calibrated_value = estimator_takeoff × tuning_factor</t>
  </si>
  <si>
    <t>STEP 4</t>
  </si>
  <si>
    <t>Apply structural adjustments</t>
  </si>
  <si>
    <t>These overrides apply on top of the rates from step 3. They encode known systematic errors:
  • Code 120 (Roughin Labor): +12% to hours takeoff (rule OWP-BID-007). Only major labor code that overruns.
  • Codes 210/211/212/220/230/240/241/242 (200-series material): choose cushion policy explicitly per OWP-BID-003. Tighten takeoff ~24%, OR hold as declared margin. Do not let cushion compound implicitly.
  • Code 600 (Subcontractor): flag but do not auto-correct (small dollars, takeoff convention issue).</t>
  </si>
  <si>
    <t>STEP 5</t>
  </si>
  <si>
    <t>Price labor at fully-loaded wage</t>
  </si>
  <si>
    <t>Apply rule OWP-BID-002. Default $40.23/hr (median); use current loaded wage if known. Burden multiplier 1.34× — never use blended wage alone.</t>
  </si>
  <si>
    <t>STEP 6</t>
  </si>
  <si>
    <t>Macro sanity-check</t>
  </si>
  <si>
    <t>Validate bid totals at the project level. Flag (do not auto-decide) when:
  • hours_per_unit outside 94–155 (P25–P75 band)
  • labor_pct_revenue far from benchmark median
  • gross_margin_pct below 33.9% (P25) — require sign-off
  • burden_multiplier outside 1.0–1.6× — review wage assumption</t>
  </si>
  <si>
    <t>STEP 7</t>
  </si>
  <si>
    <t>Document the tuning</t>
  </si>
  <si>
    <t>Bid output must include audit trail:
  • Comparable job IDs used (from Cortex) and selection rationale
  • Per line item: estimator_takeoff, calibrated_value, rate source (comparables vs full-dataset), n_jobs behind that rate
  • Any structural adjustments (cite rule_id)
  • Macro sanity-check results — pass/flag per metric
  • Any flags raised for human decision</t>
  </si>
  <si>
    <t>Fallback rules (precedence: top to bottom)</t>
  </si>
  <si>
    <t>1</t>
  </si>
  <si>
    <t>Comparables &lt;5 for a code → use cost_code_benchmarks.by_code[code] full-dataset benchmark.</t>
  </si>
  <si>
    <t>2</t>
  </si>
  <si>
    <t>Comparables = 0 or Cortex unavailable → use full-dataset benchmarks throughout; flag bid as 'uncalibrated to comparables'.</t>
  </si>
  <si>
    <t>3</t>
  </si>
  <si>
    <t>Code n_jobs_with_data &lt; 20 in full dataset → DO NOT apply variance correction; use estimator's takeoff verbatim; note 'low historical N'.</t>
  </si>
  <si>
    <t>4</t>
  </si>
  <si>
    <t>Code missing from cost_code_benchmarks → use estimator's takeoff verbatim; flag as 'unknown code'.</t>
  </si>
  <si>
    <t>5</t>
  </si>
  <si>
    <t>Live jobs (is_live=true) → DO NOT use as comparables. Partial data.</t>
  </si>
  <si>
    <t>Quality thresholds (when to flag rather than auto-decide)</t>
  </si>
  <si>
    <t>Single comparable</t>
  </si>
  <si>
    <t>Do not auto-tune. Flag for analyst; present comparable data alongside full-dataset benchmark.</t>
  </si>
  <si>
    <t>Wide variance band</t>
  </si>
  <si>
    <t>If P75 − P25 &gt; 30% for a code, present both endpoints; have user pick deliberately.</t>
  </si>
  <si>
    <t>Out-of-range units</t>
  </si>
  <si>
    <t>If plumbing_units outside historical 18–398, flag — extrapolation risk.</t>
  </si>
  <si>
    <t>No GC match</t>
  </si>
  <si>
    <t>Calibration is GC-agnostic; note this in output.</t>
  </si>
  <si>
    <t>What this file does NOT provide</t>
  </si>
  <si>
    <t>Not here</t>
  </si>
  <si>
    <t>Comparable selection logic — that's Cortex's job.</t>
  </si>
  <si>
    <t>Cohort-segmented benchmarks — Cortex computes these from per-job data on the fly.</t>
  </si>
  <si>
    <t>Real-time wage/burden updates — defaults are historical medians; pass current values to override.</t>
  </si>
  <si>
    <t>Subcontractor (code 600) pricing — flagged for human review.</t>
  </si>
  <si>
    <t>Data freshness</t>
  </si>
  <si>
    <t>As of</t>
  </si>
  <si>
    <t>2026-04-27</t>
  </si>
  <si>
    <t>Jobs in calibration</t>
  </si>
  <si>
    <t>50 completed jobs (≥1,500 hrs) out of 65 total.</t>
  </si>
  <si>
    <t>Live jobs excluded</t>
  </si>
  <si>
    <t>14 (partial data — present in long table but not in benchmark medians).</t>
  </si>
  <si>
    <t>Refresh trigger</t>
  </si>
  <si>
    <t>Re-extract when new completed jobs are added OR when variance medians shift &gt;5 pp across the most recent 10 jobs.</t>
  </si>
  <si>
    <t>Job</t>
  </si>
  <si>
    <t>Status</t>
  </si>
  <si>
    <t>Schema</t>
  </si>
  <si>
    <t>Project Name</t>
  </si>
  <si>
    <t>GC</t>
  </si>
  <si>
    <t>Units</t>
  </si>
  <si>
    <t>Duration (mo)</t>
  </si>
  <si>
    <t>First Inv</t>
  </si>
  <si>
    <t>Last Inv</t>
  </si>
  <si>
    <t>Contract Final</t>
  </si>
  <si>
    <t>Revenue</t>
  </si>
  <si>
    <t>Direct Cost</t>
  </si>
  <si>
    <t>Net Profit</t>
  </si>
  <si>
    <t>Gross Margin %</t>
  </si>
  <si>
    <t>Labor Cost</t>
  </si>
  <si>
    <t>Total Hours</t>
  </si>
  <si>
    <t>Workers</t>
  </si>
  <si>
    <t>Substantive Workers (≥80h)</t>
  </si>
  <si>
    <t>Avg Crew FTE</t>
  </si>
  <si>
    <t>Top-5 % of Hours</t>
  </si>
  <si>
    <t>Avg Days/Worker</t>
  </si>
  <si>
    <t>Blended Wage</t>
  </si>
  <si>
    <t>Loaded Wage</t>
  </si>
  <si>
    <t>Burden Mult</t>
  </si>
  <si>
    <t>OT %</t>
  </si>
  <si>
    <t>Material Cost</t>
  </si>
  <si>
    <t>Vendors</t>
  </si>
  <si>
    <t>Top Vendor</t>
  </si>
  <si>
    <t>Top Vendor %</t>
  </si>
  <si>
    <t>Hours/Unit</t>
  </si>
  <si>
    <t>Labor/Unit</t>
  </si>
  <si>
    <t>Material/Unit</t>
  </si>
  <si>
    <t>Revenue/Unit</t>
  </si>
  <si>
    <t>Labor % Rev</t>
  </si>
  <si>
    <t>Material % Rev</t>
  </si>
  <si>
    <t>Hours/Month</t>
  </si>
  <si>
    <t>Units/Month</t>
  </si>
  <si>
    <t>Labor Orig Bud</t>
  </si>
  <si>
    <t>Labor Rev Bud</t>
  </si>
  <si>
    <t>Labor Actual</t>
  </si>
  <si>
    <t>Labor Var (orig→act)</t>
  </si>
  <si>
    <t>Mat Orig Bud</t>
  </si>
  <si>
    <t>Mat Rev Bud</t>
  </si>
  <si>
    <t>Mat Actual</t>
  </si>
  <si>
    <t>Mat Var (orig→act)</t>
  </si>
  <si>
    <t>2001</t>
  </si>
  <si>
    <t>Done</t>
  </si>
  <si>
    <t>SUPABASE</t>
  </si>
  <si>
    <t>230 Broadway</t>
  </si>
  <si>
    <t>SRM</t>
  </si>
  <si>
    <t>2008</t>
  </si>
  <si>
    <t>101 Taylor</t>
  </si>
  <si>
    <t>2009</t>
  </si>
  <si>
    <t>Greenwood</t>
  </si>
  <si>
    <t>Chinn</t>
  </si>
  <si>
    <t>2010</t>
  </si>
  <si>
    <t>Old Town</t>
  </si>
  <si>
    <t>2011</t>
  </si>
  <si>
    <t>Barrett Park</t>
  </si>
  <si>
    <t>2012</t>
  </si>
  <si>
    <t>8th Ave</t>
  </si>
  <si>
    <t>Exxel Pacific</t>
  </si>
  <si>
    <t>Keller Supply Company</t>
  </si>
  <si>
    <t>2015</t>
  </si>
  <si>
    <t>Rooster</t>
  </si>
  <si>
    <t>2017</t>
  </si>
  <si>
    <t>36 Stone</t>
  </si>
  <si>
    <t>2018</t>
  </si>
  <si>
    <t>Astro</t>
  </si>
  <si>
    <t>2019</t>
  </si>
  <si>
    <t>8th Republic</t>
  </si>
  <si>
    <t>2020</t>
  </si>
  <si>
    <t>Bellevue Main</t>
  </si>
  <si>
    <t>2021</t>
  </si>
  <si>
    <t>Admiral</t>
  </si>
  <si>
    <t>2022</t>
  </si>
  <si>
    <t>Interlake</t>
  </si>
  <si>
    <t>2023</t>
  </si>
  <si>
    <t>V1</t>
  </si>
  <si>
    <t>Hadley</t>
  </si>
  <si>
    <t>2015-01-19T00:00:00</t>
  </si>
  <si>
    <t>2016-12-15T00:00:00</t>
  </si>
  <si>
    <t>Rosen Supply Company, Inc. $Legacy</t>
  </si>
  <si>
    <t>2024</t>
  </si>
  <si>
    <t>Merrill Gardens</t>
  </si>
  <si>
    <t>2015-05-19T00:00:00</t>
  </si>
  <si>
    <t>2016-08-22T00:00:00</t>
  </si>
  <si>
    <t>Rosen Supply Company, Inc. $MG-Ballard</t>
  </si>
  <si>
    <t>2025</t>
  </si>
  <si>
    <t>The Cora</t>
  </si>
  <si>
    <t>2016-02-24T00:00:00</t>
  </si>
  <si>
    <t>2017-08-18T00:00:00</t>
  </si>
  <si>
    <t>Keller Supply Company $Cora</t>
  </si>
  <si>
    <t>2026</t>
  </si>
  <si>
    <t>Boren</t>
  </si>
  <si>
    <t>Synnergy</t>
  </si>
  <si>
    <t>2016-03-21T00:00:00</t>
  </si>
  <si>
    <t>2017-07-24T00:00:00</t>
  </si>
  <si>
    <t>Rosen Supply Company, Inc. $Boren</t>
  </si>
  <si>
    <t>2027</t>
  </si>
  <si>
    <t>550 Broadway</t>
  </si>
  <si>
    <t>2017-09-20T00:00:00</t>
  </si>
  <si>
    <t>Rosen Supply Company, Inc. $550 Broadway</t>
  </si>
  <si>
    <t>2028</t>
  </si>
  <si>
    <t>Reserve @ Lynnwood</t>
  </si>
  <si>
    <t>2016-01-20T00:00:00</t>
  </si>
  <si>
    <t>2017-01-31T00:00:00</t>
  </si>
  <si>
    <t>Ferguson Enterprises, Inc. $Reserve@Lynn</t>
  </si>
  <si>
    <t>2029</t>
  </si>
  <si>
    <t>Parsonage</t>
  </si>
  <si>
    <t>2016-07-20T00:00:00</t>
  </si>
  <si>
    <t>Keller Supply Company $Parsonage</t>
  </si>
  <si>
    <t>2030</t>
  </si>
  <si>
    <t>East Union</t>
  </si>
  <si>
    <t>2016-12-16T00:00:00</t>
  </si>
  <si>
    <t>2018-09-01T00:00:00</t>
  </si>
  <si>
    <t>Rosen Supply Company, Inc. $East Union</t>
  </si>
  <si>
    <t>2031</t>
  </si>
  <si>
    <t>Issaquah Gateway</t>
  </si>
  <si>
    <t>2016-11-15T00:00:00</t>
  </si>
  <si>
    <t>2019-06-19T00:00:00</t>
  </si>
  <si>
    <t>Rosen Supply Company, Inc. $Gateway</t>
  </si>
  <si>
    <t>2032</t>
  </si>
  <si>
    <t>Luna</t>
  </si>
  <si>
    <t>Blueprint</t>
  </si>
  <si>
    <t>2017-01-27T00:00:00</t>
  </si>
  <si>
    <t>2018-05-18T00:00:00</t>
  </si>
  <si>
    <t>Keller Supply Co. $Roosevelt</t>
  </si>
  <si>
    <t>2033</t>
  </si>
  <si>
    <t>Vuecrest</t>
  </si>
  <si>
    <t>Compass</t>
  </si>
  <si>
    <t>2016-10-21T00:00:00</t>
  </si>
  <si>
    <t>2018-11-16T00:00:00</t>
  </si>
  <si>
    <t>Rosen Supply Company, Inc. $Vuecrest</t>
  </si>
  <si>
    <t>2034</t>
  </si>
  <si>
    <t>Park Lane</t>
  </si>
  <si>
    <t>Rosen Supply Company, Inc. $Park Lane</t>
  </si>
  <si>
    <t>2035</t>
  </si>
  <si>
    <t>162 Ten</t>
  </si>
  <si>
    <t>Natural &amp; Built</t>
  </si>
  <si>
    <t>2016-12-02T00:00:00</t>
  </si>
  <si>
    <t>2018-04-20T00:00:00</t>
  </si>
  <si>
    <t>Consolidated Supply Co. $162Ten</t>
  </si>
  <si>
    <t>2036</t>
  </si>
  <si>
    <t>Westridge</t>
  </si>
  <si>
    <t>2017-05-19T00:00:00</t>
  </si>
  <si>
    <t>Ferguson Enterprises, Inc. $Westridge</t>
  </si>
  <si>
    <t>2037</t>
  </si>
  <si>
    <t>University Apartments</t>
  </si>
  <si>
    <t>Marpac</t>
  </si>
  <si>
    <t>2019-07-19T00:00:00</t>
  </si>
  <si>
    <t>Rosen Supply Company, Inc. $University</t>
  </si>
  <si>
    <t>2038</t>
  </si>
  <si>
    <t>2nd &amp; John</t>
  </si>
  <si>
    <t>2017-04-27T00:00:00</t>
  </si>
  <si>
    <t>2019-03-20T00:00:00</t>
  </si>
  <si>
    <t>Rosen Supply Company, Inc. $2nd &amp; John</t>
  </si>
  <si>
    <t>2039</t>
  </si>
  <si>
    <t>Ravello Gas Piping</t>
  </si>
  <si>
    <t>Shelter Holdings</t>
  </si>
  <si>
    <t>Franklin Engineering</t>
  </si>
  <si>
    <t>2040</t>
  </si>
  <si>
    <t>Roosevelt 65th</t>
  </si>
  <si>
    <t>2019-01-18T00:00:00</t>
  </si>
  <si>
    <t>2041</t>
  </si>
  <si>
    <t>V2.2</t>
  </si>
  <si>
    <t>Chinn California Ave Luna</t>
  </si>
  <si>
    <t>Chinn Construction</t>
  </si>
  <si>
    <t>2042</t>
  </si>
  <si>
    <t>ShelterHoldings MetroLine</t>
  </si>
  <si>
    <t>2043</t>
  </si>
  <si>
    <t>Compass Aegis-Mercer Isl</t>
  </si>
  <si>
    <t>Compass Harbor</t>
  </si>
  <si>
    <t>2044</t>
  </si>
  <si>
    <t>Blueprint Track 66 Apts</t>
  </si>
  <si>
    <t>2045</t>
  </si>
  <si>
    <t>GRE Notch Apartments</t>
  </si>
  <si>
    <t>GRE</t>
  </si>
  <si>
    <t>2046</t>
  </si>
  <si>
    <t>Marpac 4218 Roosevelt</t>
  </si>
  <si>
    <t>2047</t>
  </si>
  <si>
    <t>GRE Greenlake</t>
  </si>
  <si>
    <t>2048</t>
  </si>
  <si>
    <t>2049</t>
  </si>
  <si>
    <t>2050</t>
  </si>
  <si>
    <t>2051</t>
  </si>
  <si>
    <t>Vail Apartments</t>
  </si>
  <si>
    <t>2052</t>
  </si>
  <si>
    <t>Fifth &amp; Roy</t>
  </si>
  <si>
    <t>Farrell-McKenna Construction LLC</t>
  </si>
  <si>
    <t>2053</t>
  </si>
  <si>
    <t>Bellevue Parkside</t>
  </si>
  <si>
    <t>Compass Harbor Construction</t>
  </si>
  <si>
    <t>2054</t>
  </si>
  <si>
    <t>800 5th Apartments</t>
  </si>
  <si>
    <t>Blueprint Capital Services, LLC</t>
  </si>
  <si>
    <t>2055</t>
  </si>
  <si>
    <t>Dockside Apartments</t>
  </si>
  <si>
    <t>2056</t>
  </si>
  <si>
    <t>Acme Farms</t>
  </si>
  <si>
    <t>2057</t>
  </si>
  <si>
    <t>Plaza Apartments</t>
  </si>
  <si>
    <t>2058</t>
  </si>
  <si>
    <t>Howell Apartments</t>
  </si>
  <si>
    <t>2059</t>
  </si>
  <si>
    <t>Meeker</t>
  </si>
  <si>
    <t>GRE Construction LLC</t>
  </si>
  <si>
    <t>2060</t>
  </si>
  <si>
    <t>Marina Square</t>
  </si>
  <si>
    <t>Compass Construction</t>
  </si>
  <si>
    <t>2098</t>
  </si>
  <si>
    <t>LIVE</t>
  </si>
  <si>
    <t>Trailside Apartment Community Phase II</t>
  </si>
  <si>
    <t>Chinn Construction, LLC</t>
  </si>
  <si>
    <t>2103</t>
  </si>
  <si>
    <t>Northgate Station M2</t>
  </si>
  <si>
    <t>Compass General Construction I, LLC</t>
  </si>
  <si>
    <t>2104</t>
  </si>
  <si>
    <t>Big 1410 Apartments</t>
  </si>
  <si>
    <t>BMDC Services, LLC</t>
  </si>
  <si>
    <t>2105</t>
  </si>
  <si>
    <t>Compass, 3000 Western</t>
  </si>
  <si>
    <t>Compass General Construction</t>
  </si>
  <si>
    <t>2106</t>
  </si>
  <si>
    <t>Chinn, 6220 Roosevelt</t>
  </si>
  <si>
    <t>2107</t>
  </si>
  <si>
    <t>68th &amp; Roosevelt</t>
  </si>
  <si>
    <t>2111</t>
  </si>
  <si>
    <t>V_TX</t>
  </si>
  <si>
    <t>Northgate M3</t>
  </si>
  <si>
    <t>2025-05-09T00:00:00</t>
  </si>
  <si>
    <t>2026-04-03T00:00:00</t>
  </si>
  <si>
    <t>2112</t>
  </si>
  <si>
    <t>BIG3</t>
  </si>
  <si>
    <t>BMDC</t>
  </si>
  <si>
    <t>2025-05-02T00:00:00</t>
  </si>
  <si>
    <t>2114</t>
  </si>
  <si>
    <t>Ballard Blossom Apartments</t>
  </si>
  <si>
    <t>Holland Construction</t>
  </si>
  <si>
    <t>2115</t>
  </si>
  <si>
    <t>Elowen Apartments</t>
  </si>
  <si>
    <t>2116</t>
  </si>
  <si>
    <t>The V Apartments</t>
  </si>
  <si>
    <t>SRM Construction, Inc.</t>
  </si>
  <si>
    <t>2117</t>
  </si>
  <si>
    <t>Lachlan Apartments</t>
  </si>
  <si>
    <t>Ravenna Partners</t>
  </si>
  <si>
    <t>2118</t>
  </si>
  <si>
    <t>Exxel, Edmonds Behar</t>
  </si>
  <si>
    <t>Exxel Pacific, Inc.</t>
  </si>
  <si>
    <t>2119</t>
  </si>
  <si>
    <t>The Frank (508 Fremont)</t>
  </si>
  <si>
    <t>COUNT</t>
  </si>
  <si>
    <t>MEDIAN</t>
  </si>
  <si>
    <t>Productivity Rates · per plumbing unit</t>
  </si>
  <si>
    <t>Hours and dollars per unit, by phase. Live jobs and jobs without unit counts excluded from medians.</t>
  </si>
  <si>
    <t>Name</t>
  </si>
  <si>
    <t>Total Hrs</t>
  </si>
  <si>
    <t>Hrs/Unit</t>
  </si>
  <si>
    <t>Labor $/Unit</t>
  </si>
  <si>
    <t>Material $/Unit</t>
  </si>
  <si>
    <t>Hrs/Month</t>
  </si>
  <si>
    <t>Supervision Hrs/Unit</t>
  </si>
  <si>
    <t>Takeoff Hrs/Unit</t>
  </si>
  <si>
    <t>Underground Hrs/Unit</t>
  </si>
  <si>
    <t>Rough In Hrs/Unit</t>
  </si>
  <si>
    <t>Trim Finish Hrs/Unit</t>
  </si>
  <si>
    <t>Gas Hrs/Unit</t>
  </si>
  <si>
    <t>Water Main Hrs/Unit</t>
  </si>
  <si>
    <t>Mech Room Hrs/Unit</t>
  </si>
  <si>
    <t>Condensation Hrs/Unit</t>
  </si>
  <si>
    <t>Fire Caulking Hrs/Unit</t>
  </si>
  <si>
    <t>Service Other Hrs/Unit</t>
  </si>
  <si>
    <t>MEDIAN (completed, units &gt; 0)</t>
  </si>
  <si>
    <t>Phase Splits · Labor</t>
  </si>
  <si>
    <t>Labor hours and dollars by construction phase, by job.</t>
  </si>
  <si>
    <t>Supervision Hrs</t>
  </si>
  <si>
    <t>Takeoff Hrs</t>
  </si>
  <si>
    <t>Underground Hrs</t>
  </si>
  <si>
    <t>Rough In Hrs</t>
  </si>
  <si>
    <t>Trim Finish Hrs</t>
  </si>
  <si>
    <t>Gas Hrs</t>
  </si>
  <si>
    <t>Water Main Hrs</t>
  </si>
  <si>
    <t>Mech Room Hrs</t>
  </si>
  <si>
    <t>Condensation Hrs</t>
  </si>
  <si>
    <t>Fire Caulking Hrs</t>
  </si>
  <si>
    <t>Service Other Hrs</t>
  </si>
  <si>
    <t>Total Labor $</t>
  </si>
  <si>
    <t>Supervision $</t>
  </si>
  <si>
    <t>Takeoff $</t>
  </si>
  <si>
    <t>Underground $</t>
  </si>
  <si>
    <t>Rough In $</t>
  </si>
  <si>
    <t>Trim Finish $</t>
  </si>
  <si>
    <t>Gas $</t>
  </si>
  <si>
    <t>Water Main $</t>
  </si>
  <si>
    <t>Mech Room $</t>
  </si>
  <si>
    <t>Condensation $</t>
  </si>
  <si>
    <t>Fire Caulking $</t>
  </si>
  <si>
    <t>Service Other $</t>
  </si>
  <si>
    <t>Phase Splits · Material</t>
  </si>
  <si>
    <t>Material spend by construction phase, with original→revised→actual variance.</t>
  </si>
  <si>
    <t>Mat Orig</t>
  </si>
  <si>
    <t>Mat Rev</t>
  </si>
  <si>
    <t>Var (Orig→Act)</t>
  </si>
  <si>
    <t>Condensation Actual</t>
  </si>
  <si>
    <t>Fire Caulking Actual</t>
  </si>
  <si>
    <t>Gas Actual</t>
  </si>
  <si>
    <t>Mech Room Actual</t>
  </si>
  <si>
    <t>Other Material Actual</t>
  </si>
  <si>
    <t>Rough In Actual</t>
  </si>
  <si>
    <t>Trim Finish Actual</t>
  </si>
  <si>
    <t>Underground Actual</t>
  </si>
  <si>
    <t>Water Main Actual</t>
  </si>
  <si>
    <t>Crew Composition · workers, FTE, wages</t>
  </si>
  <si>
    <t>avg_crew_fte = total_hours / (duration × 173.33). Loaded wage adds burden (995 codes).</t>
  </si>
  <si>
    <t>All Workers</t>
  </si>
  <si>
    <t>Substantive (≥80h)</t>
  </si>
  <si>
    <t>Top-5 % Hrs</t>
  </si>
  <si>
    <t>OT % of Hrs</t>
  </si>
  <si>
    <t>OT Hrs</t>
  </si>
  <si>
    <t>Wage P25</t>
  </si>
  <si>
    <t>Wage P50</t>
  </si>
  <si>
    <t>Wage P75</t>
  </si>
  <si>
    <t>Wage P90</t>
  </si>
  <si>
    <t>Material Variance · takeoff calibration</t>
  </si>
  <si>
    <t>The single strongest signal for the bid model. Negative = under budget.</t>
  </si>
  <si>
    <t>Mat Cost</t>
  </si>
  <si>
    <t>Variance (Orig→Act)</t>
  </si>
  <si>
    <t>Variance (Rev→Act)</t>
  </si>
  <si>
    <t>Top Vendor $</t>
  </si>
  <si>
    <t>Total Vendors</t>
  </si>
  <si>
    <t>P25 (best 25%)</t>
  </si>
  <si>
    <t>P75 (worst 25%)</t>
  </si>
  <si>
    <t>Bid Calibration · benchmark inputs for the bidding tool</t>
  </si>
  <si>
    <t>Computed from completed (non-live) jobs with sufficient signal. Use these to seed the bid model.</t>
  </si>
  <si>
    <t>Productivity (per plumbing unit)</t>
  </si>
  <si>
    <t>Metric</t>
  </si>
  <si>
    <t>N</t>
  </si>
  <si>
    <t>P25</t>
  </si>
  <si>
    <t>Median</t>
  </si>
  <si>
    <t>P75</t>
  </si>
  <si>
    <t>Mean</t>
  </si>
  <si>
    <t>Min</t>
  </si>
  <si>
    <t>Max</t>
  </si>
  <si>
    <t>Notes</t>
  </si>
  <si>
    <t>Hours per unit</t>
  </si>
  <si>
    <t>Labor $ per unit</t>
  </si>
  <si>
    <t>Material $ per unit</t>
  </si>
  <si>
    <t>Revenue per unit</t>
  </si>
  <si>
    <t>Cost share of revenue</t>
  </si>
  <si>
    <t>Labor % of revenue</t>
  </si>
  <si>
    <t>Material % of revenue</t>
  </si>
  <si>
    <t>Gross margin %</t>
  </si>
  <si>
    <t>Throughput</t>
  </si>
  <si>
    <t>Hours per month</t>
  </si>
  <si>
    <t>Units per month</t>
  </si>
  <si>
    <t>Avg crew FTE</t>
  </si>
  <si>
    <t>Duration (months)</t>
  </si>
  <si>
    <t>Wages &amp; burden</t>
  </si>
  <si>
    <t>Blended wage ($/hr)</t>
  </si>
  <si>
    <t>Fully-loaded wage ($/hr)</t>
  </si>
  <si>
    <t>Burden multiplier</t>
  </si>
  <si>
    <t>OT % of hours</t>
  </si>
  <si>
    <t>Top-5 % concentration</t>
  </si>
  <si>
    <t>Variance (orig budget → actual)</t>
  </si>
  <si>
    <t>Labor variance</t>
  </si>
  <si>
    <t>Material variance</t>
  </si>
  <si>
    <t>Variance (revised budget → actual)</t>
  </si>
  <si>
    <t>How to use these numbers</t>
  </si>
  <si>
    <t>•  Default the bid model to the MEDIAN row for each metric. P25/P75 give the credible range — bids outside that band should require explicit justification.</t>
  </si>
  <si>
    <t>•  Material variance is the sharpest calibration: a typical OWP job comes in ~25% under original takeoff. The bid model can either tighten the takeoff by ~25% on a like-for-like job, or hold the cushion as a declared margin contribution.</t>
  </si>
  <si>
    <t>•  Hours per unit varies by project type more than productivity — segment by GC and unit type before applying medians to a new bid (residential apartment vs. mixed-use vs. senior living differ meaningfully). The Per-Job Rollup sheet has GC and project name for that segmentation.</t>
  </si>
  <si>
    <t>•  Live jobs (yellow rows in other sheets) are excluded here because their hours/dollars are partial — including them would understate productivity and inflate variance.</t>
  </si>
  <si>
    <t>•  Cortex (the cross-job intelligence layer) carries the narrative version of these numbers; this sheet is the structured input.</t>
  </si>
  <si>
    <t>Cost Code Calibration · per-code benchmarks</t>
  </si>
  <si>
    <t>One row per OWP cost code, aggregated across completed jobs (≥1,500 hrs). Use for line-item bid calibration.</t>
  </si>
  <si>
    <t>Code</t>
  </si>
  <si>
    <t>Category</t>
  </si>
  <si>
    <t>Phase</t>
  </si>
  <si>
    <t>Description</t>
  </si>
  <si>
    <t>N Jobs</t>
  </si>
  <si>
    <t>Hrs P25</t>
  </si>
  <si>
    <t>Hrs Median</t>
  </si>
  <si>
    <t>Hrs P75</t>
  </si>
  <si>
    <t>Actual $ P25</t>
  </si>
  <si>
    <t>Actual $ Median</t>
  </si>
  <si>
    <t>Actual $ P75</t>
  </si>
  <si>
    <t>Orig Bud P25</t>
  </si>
  <si>
    <t>Orig Bud Median</t>
  </si>
  <si>
    <t>Orig Bud P75</t>
  </si>
  <si>
    <t>Var(O→A) P25</t>
  </si>
  <si>
    <t>Var(O→A) Med</t>
  </si>
  <si>
    <t>Var(O→A) P75</t>
  </si>
  <si>
    <t>Var(R→A) Med</t>
  </si>
  <si>
    <t>Hrs/Unit Med</t>
  </si>
  <si>
    <t>$/Unit Med</t>
  </si>
  <si>
    <t>Total $ (sum)</t>
  </si>
  <si>
    <t>Total Hrs (sum)</t>
  </si>
  <si>
    <t>011</t>
  </si>
  <si>
    <t>labor</t>
  </si>
  <si>
    <t>underground</t>
  </si>
  <si>
    <t>DS &amp; RD Labor</t>
  </si>
  <si>
    <t>100</t>
  </si>
  <si>
    <t>supervision</t>
  </si>
  <si>
    <t>Supervision</t>
  </si>
  <si>
    <t>101</t>
  </si>
  <si>
    <t>takeoff_purchase</t>
  </si>
  <si>
    <t>Takeoff &amp; Purchase Labor</t>
  </si>
  <si>
    <t>110</t>
  </si>
  <si>
    <t>Underground Labor</t>
  </si>
  <si>
    <t>111</t>
  </si>
  <si>
    <t>Garage Labor</t>
  </si>
  <si>
    <t>112</t>
  </si>
  <si>
    <t>Canout Labor</t>
  </si>
  <si>
    <t>113</t>
  </si>
  <si>
    <t>Foundation Drain Labor</t>
  </si>
  <si>
    <t>120</t>
  </si>
  <si>
    <t>rough_in</t>
  </si>
  <si>
    <t>Roughin Labor</t>
  </si>
  <si>
    <t>130</t>
  </si>
  <si>
    <t>trim_finish</t>
  </si>
  <si>
    <t>Finish Labor</t>
  </si>
  <si>
    <t>140</t>
  </si>
  <si>
    <t>gas</t>
  </si>
  <si>
    <t>Gas Labor</t>
  </si>
  <si>
    <t>141</t>
  </si>
  <si>
    <t>water_main</t>
  </si>
  <si>
    <t>Water Main/Insulation Lab</t>
  </si>
  <si>
    <t>142</t>
  </si>
  <si>
    <t>mech_room</t>
  </si>
  <si>
    <t>Mech Room Labor</t>
  </si>
  <si>
    <t>143</t>
  </si>
  <si>
    <t>condensation</t>
  </si>
  <si>
    <t>Condensation Drains Labor</t>
  </si>
  <si>
    <t>145</t>
  </si>
  <si>
    <t>Tub/Shower Labor</t>
  </si>
  <si>
    <t>150</t>
  </si>
  <si>
    <t>warranty</t>
  </si>
  <si>
    <t>Warranty Labor</t>
  </si>
  <si>
    <t>151</t>
  </si>
  <si>
    <t>unmapped_labor</t>
  </si>
  <si>
    <t>T&amp;M Labor</t>
  </si>
  <si>
    <t>039</t>
  </si>
  <si>
    <t>material</t>
  </si>
  <si>
    <t>DS &amp; RD Material</t>
  </si>
  <si>
    <t>210</t>
  </si>
  <si>
    <t>Underground Material</t>
  </si>
  <si>
    <t>211</t>
  </si>
  <si>
    <t>Garage Material</t>
  </si>
  <si>
    <t>212</t>
  </si>
  <si>
    <t>Canout Material</t>
  </si>
  <si>
    <t>213</t>
  </si>
  <si>
    <t>Foundation Material</t>
  </si>
  <si>
    <t>220</t>
  </si>
  <si>
    <t>Roughin Material</t>
  </si>
  <si>
    <t>230</t>
  </si>
  <si>
    <t>Finish Material</t>
  </si>
  <si>
    <t>240</t>
  </si>
  <si>
    <t>Gas Material</t>
  </si>
  <si>
    <t>241</t>
  </si>
  <si>
    <t>Water Main/Insulation Mat</t>
  </si>
  <si>
    <t>242</t>
  </si>
  <si>
    <t>Mech Room Material</t>
  </si>
  <si>
    <t>243</t>
  </si>
  <si>
    <t>Condensation Drains Mat</t>
  </si>
  <si>
    <t>244</t>
  </si>
  <si>
    <t>fire_caulking</t>
  </si>
  <si>
    <t>Fire Caulking Material</t>
  </si>
  <si>
    <t>245</t>
  </si>
  <si>
    <t>Tub/Shower Material</t>
  </si>
  <si>
    <t>251</t>
  </si>
  <si>
    <t>unmapped_material</t>
  </si>
  <si>
    <t>T&amp;M Material</t>
  </si>
  <si>
    <t>600</t>
  </si>
  <si>
    <t>overhead</t>
  </si>
  <si>
    <t>Subcontractor</t>
  </si>
  <si>
    <t>601</t>
  </si>
  <si>
    <t>Engineering/Plans</t>
  </si>
  <si>
    <t>602</t>
  </si>
  <si>
    <t>Rental Equipment</t>
  </si>
  <si>
    <t>603</t>
  </si>
  <si>
    <t>Permits &amp; Licenses</t>
  </si>
  <si>
    <t>604</t>
  </si>
  <si>
    <t>Backcharges</t>
  </si>
  <si>
    <t>607</t>
  </si>
  <si>
    <t>Other Expenses</t>
  </si>
  <si>
    <t>995</t>
  </si>
  <si>
    <t>burden</t>
  </si>
  <si>
    <t>Payroll Burden</t>
  </si>
  <si>
    <t>998</t>
  </si>
  <si>
    <t>tax</t>
  </si>
  <si>
    <t>Payroll Taxes</t>
  </si>
  <si>
    <t>999</t>
  </si>
  <si>
    <t>sales</t>
  </si>
  <si>
    <t>Sales</t>
  </si>
  <si>
    <t>310</t>
  </si>
  <si>
    <t>other</t>
  </si>
  <si>
    <t>Flats Underground Labor</t>
  </si>
  <si>
    <t>320</t>
  </si>
  <si>
    <t>Flats Roughin Labor</t>
  </si>
  <si>
    <t>330</t>
  </si>
  <si>
    <t>Flats Finish Labor</t>
  </si>
  <si>
    <t>410</t>
  </si>
  <si>
    <t>Flats Underground Mat</t>
  </si>
  <si>
    <t>420</t>
  </si>
  <si>
    <t>Flats Roughin Material</t>
  </si>
  <si>
    <t>430</t>
  </si>
  <si>
    <t>Flats Finish Material</t>
  </si>
  <si>
    <t>800</t>
  </si>
  <si>
    <t>Office Time</t>
  </si>
  <si>
    <t>997</t>
  </si>
  <si>
    <t>Employee Benefits</t>
  </si>
  <si>
    <t>How to read</t>
  </si>
  <si>
    <t>Coverage</t>
  </si>
  <si>
    <t>N Jobs ≥ 20 → reliable benchmark. Codes with low N (≤10 jobs) shown for completeness but should not anchor bid defaults.</t>
  </si>
  <si>
    <t>Variance</t>
  </si>
  <si>
    <t>Negative Var(O→A) = actual came in UNDER original budget (cushion). Positive = over budget. Medians color-coded green↔red.</t>
  </si>
  <si>
    <t>Hours columns blank</t>
  </si>
  <si>
    <t>Material codes (200s) and overhead/burden/tax/sales codes do not carry direct labor hours — those columns blank by design.</t>
  </si>
  <si>
    <t>Bid mapping</t>
  </si>
  <si>
    <t>For a new bid: use Median row as the default; flag anything outside the P25–P75 band as a sanity check failure.</t>
  </si>
  <si>
    <t>Headline finding</t>
  </si>
  <si>
    <t>Rough-in labor (120) is the only major labor code that runs OVER budget at the median (+10%). Every other labor code is underrun. Material codes are systematically underrun (~−14% to −47%).</t>
  </si>
  <si>
    <t>Cost Code Detail · long table</t>
  </si>
  <si>
    <t>One row per (job, code). Filter or pivot to drill into any code or job.</t>
  </si>
  <si>
    <t>Actual $</t>
  </si>
  <si>
    <t>Original Bud $</t>
  </si>
  <si>
    <t>Revised Bud $</t>
  </si>
  <si>
    <t>Var (O→A)</t>
  </si>
  <si>
    <t>Var (R→A)</t>
  </si>
  <si>
    <t>Actual $/Unit</t>
  </si>
  <si>
    <t>250</t>
  </si>
  <si>
    <t>Warranty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</si>
</sst>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quot;($&quot;#,##0\);\-"/>
    <numFmt numFmtId="167" formatCode="0.0%;\(0.0%\);\-"/>
    <numFmt numFmtId="168" formatCode="\$#,##0.00;&quot;($&quot;#,##0.00\);\-"/>
    <numFmt numFmtId="169" formatCode="#,##0.00;\(#,##0.00\);\-"/>
  </numFmts>
  <fonts count="11" x14ac:knownFonts="1">
    <font>
      <sz val="11"/>
      <color theme="1"/>
      <name val="Calibri"/>
      <family val="2"/>
      <charset val="1"/>
    </font>
    <font>
      <b/>
      <sz val="18"/>
      <color rgb="FF1F1E1D"/>
      <name val="Arial"/>
      <family val="2"/>
    </font>
    <font>
      <i/>
      <sz val="9"/>
      <color rgb="FF8C8579"/>
      <name val="Arial"/>
      <family val="2"/>
    </font>
    <font>
      <b/>
      <sz val="12"/>
      <color rgb="FF1F1E1D"/>
      <name val="Arial"/>
      <family val="2"/>
    </font>
    <font>
      <sz val="10"/>
      <color rgb="FF1F1E1D"/>
      <name val="Arial"/>
      <family val="2"/>
    </font>
    <font>
      <b/>
      <sz val="9"/>
      <color rgb="FF1F1E1D"/>
      <name val="Arial"/>
      <family val="2"/>
    </font>
    <font>
      <sz val="9"/>
      <color rgb="FF8C8579"/>
      <name val="Arial"/>
      <family val="2"/>
    </font>
    <font>
      <b/>
      <sz val="13"/>
      <color rgb="FF1F1E1D"/>
      <name val="Arial"/>
      <family val="2"/>
    </font>
    <font>
      <b/>
      <sz val="11"/>
      <color rgb="FF1F1E1D"/>
      <name val="Arial"/>
      <family val="2"/>
    </font>
    <font>
      <b/>
      <sz val="11"/>
      <color rgb="FFFFFFFF"/>
      <name val="Arial"/>
      <family val="2"/>
    </font>
    <font>
      <b/>
      <sz val="10"/>
      <color rgb="FFFFFFFF"/>
      <name val="Arial"/>
      <family val="2"/>
    </font>
  </fonts>
  <fills count="10">
    <fill>
      <patternFill patternType="none"/>
    </fill>
    <fill>
      <patternFill patternType="gray125"/>
    </fill>
    <fill>
      <patternFill patternType="solid">
        <fgColor rgb="FFEFE8DA"/>
        <bgColor rgb="FFF1EBDC"/>
      </patternFill>
    </fill>
    <fill>
      <patternFill patternType="solid">
        <fgColor rgb="FFB85C3E"/>
        <bgColor rgb="FF993366"/>
      </patternFill>
    </fill>
    <fill>
      <patternFill patternType="solid">
        <fgColor rgb="FF1F1E1D"/>
        <bgColor rgb="FF333300"/>
      </patternFill>
    </fill>
    <fill>
      <patternFill patternType="solid">
        <fgColor rgb="FFF5F1EB"/>
        <bgColor rgb="FFF1EBDC"/>
      </patternFill>
    </fill>
    <fill>
      <patternFill patternType="solid">
        <fgColor rgb="FFFFF2CC"/>
        <bgColor rgb="FFF1EBDC"/>
      </patternFill>
    </fill>
    <fill>
      <patternFill patternType="solid">
        <fgColor rgb="FFEAF1F8"/>
        <bgColor rgb="FFF5F1EB"/>
      </patternFill>
    </fill>
    <fill>
      <patternFill patternType="solid">
        <fgColor rgb="FFF1EBDC"/>
        <bgColor rgb="FFEFE8DA"/>
      </patternFill>
    </fill>
    <fill>
      <patternFill patternType="solid">
        <fgColor rgb="FFE8E4DD"/>
        <bgColor rgb="FFEFE8DA"/>
      </patternFill>
    </fill>
  </fills>
  <borders count="2">
    <border>
      <left/>
      <right/>
      <top/>
      <bottom/>
      <diagonal/>
    </border>
    <border>
      <left style="thin">
        <color rgb="FFD6CFC0"/>
      </left>
      <right style="thin">
        <color rgb="FFD6CFC0"/>
      </right>
      <top style="thin">
        <color rgb="FFD6CFC0"/>
      </top>
      <bottom style="thin">
        <color rgb="FFD6CFC0"/>
      </bottom>
      <diagonal/>
    </border>
  </borders>
  <cellStyleXfs count="1">
    <xf numFmtId="0" fontId="0" fillId="0" borderId="0"/>
  </cellStyleXfs>
  <cellXfs count="70">
    <xf numFmtId="0" fontId="0" fillId="0" borderId="0" xfId="0"/>
    <xf numFmtId="0" fontId="4" fillId="0" borderId="1" xfId="0" applyFont="1" applyBorder="1" applyAlignment="1">
      <alignment horizontal="left" vertical="top" wrapText="1"/>
    </xf>
    <xf numFmtId="0" fontId="3" fillId="0" borderId="0" xfId="0" applyFont="1"/>
    <xf numFmtId="0" fontId="4" fillId="0" borderId="0" xfId="0" applyFont="1" applyAlignment="1">
      <alignment horizontal="left" vertical="top" wrapText="1"/>
    </xf>
    <xf numFmtId="0" fontId="3" fillId="2" borderId="0" xfId="0" applyFont="1" applyFill="1" applyAlignment="1">
      <alignment horizontal="left" vertical="center"/>
    </xf>
    <xf numFmtId="0" fontId="5" fillId="2" borderId="1" xfId="0" applyFont="1" applyFill="1" applyBorder="1" applyAlignment="1">
      <alignment horizontal="left" vertical="center"/>
    </xf>
    <xf numFmtId="0" fontId="7" fillId="2" borderId="0" xfId="0" applyFont="1" applyFill="1" applyAlignment="1">
      <alignment horizontal="left" vertical="top" wrapText="1"/>
    </xf>
    <xf numFmtId="0" fontId="1" fillId="0" borderId="0" xfId="0" applyFont="1" applyAlignment="1">
      <alignment horizontal="left" vertical="center"/>
    </xf>
    <xf numFmtId="0" fontId="2" fillId="0" borderId="0" xfId="0" applyFont="1"/>
    <xf numFmtId="0" fontId="3" fillId="0" borderId="0" xfId="0" applyFont="1" applyAlignment="1">
      <alignment horizontal="left" vertical="top"/>
    </xf>
    <xf numFmtId="0" fontId="4" fillId="0" borderId="0" xfId="0" applyFont="1" applyAlignment="1">
      <alignment horizontal="left" vertical="top" wrapText="1"/>
    </xf>
    <xf numFmtId="0" fontId="5" fillId="0" borderId="0" xfId="0" applyFont="1"/>
    <xf numFmtId="0" fontId="6" fillId="0" borderId="0" xfId="0" applyFont="1"/>
    <xf numFmtId="0" fontId="1" fillId="0" borderId="0" xfId="0" applyFont="1"/>
    <xf numFmtId="0" fontId="8" fillId="0" borderId="0" xfId="0" applyFont="1" applyAlignment="1">
      <alignment horizontal="left" vertical="top" wrapText="1"/>
    </xf>
    <xf numFmtId="0" fontId="9" fillId="3" borderId="0" xfId="0" applyFont="1" applyFill="1" applyAlignment="1">
      <alignment horizontal="center" vertical="center"/>
    </xf>
    <xf numFmtId="0" fontId="10" fillId="4" borderId="1" xfId="0" applyFont="1" applyFill="1" applyBorder="1" applyAlignment="1">
      <alignment horizontal="center" vertical="center"/>
    </xf>
    <xf numFmtId="164" fontId="4" fillId="5" borderId="1" xfId="0" applyNumberFormat="1"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xf>
    <xf numFmtId="164" fontId="4" fillId="5" borderId="1" xfId="0" applyNumberFormat="1" applyFont="1" applyFill="1" applyBorder="1" applyAlignment="1">
      <alignment horizontal="right" vertical="center"/>
    </xf>
    <xf numFmtId="165" fontId="4" fillId="5" borderId="1" xfId="0" applyNumberFormat="1" applyFont="1" applyFill="1" applyBorder="1" applyAlignment="1">
      <alignment horizontal="right" vertical="center"/>
    </xf>
    <xf numFmtId="166" fontId="4" fillId="5" borderId="1" xfId="0" applyNumberFormat="1" applyFont="1" applyFill="1" applyBorder="1" applyAlignment="1">
      <alignment horizontal="right" vertical="center"/>
    </xf>
    <xf numFmtId="167" fontId="4" fillId="5" borderId="1" xfId="0" applyNumberFormat="1" applyFont="1" applyFill="1" applyBorder="1" applyAlignment="1">
      <alignment horizontal="right" vertical="center"/>
    </xf>
    <xf numFmtId="168" fontId="4" fillId="5" borderId="1" xfId="0" applyNumberFormat="1" applyFont="1" applyFill="1" applyBorder="1" applyAlignment="1">
      <alignment horizontal="right" vertical="center"/>
    </xf>
    <xf numFmtId="169" fontId="4" fillId="5" borderId="1" xfId="0" applyNumberFormat="1" applyFont="1" applyFill="1" applyBorder="1" applyAlignment="1">
      <alignment horizontal="right" vertical="center"/>
    </xf>
    <xf numFmtId="164"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164" fontId="4" fillId="0" borderId="1" xfId="0" applyNumberFormat="1" applyFont="1" applyBorder="1" applyAlignment="1">
      <alignment horizontal="right" vertical="center"/>
    </xf>
    <xf numFmtId="165" fontId="4" fillId="0" borderId="1" xfId="0" applyNumberFormat="1" applyFont="1" applyBorder="1" applyAlignment="1">
      <alignment horizontal="right" vertical="center"/>
    </xf>
    <xf numFmtId="166" fontId="4" fillId="0" borderId="1" xfId="0" applyNumberFormat="1" applyFont="1" applyBorder="1" applyAlignment="1">
      <alignment horizontal="right" vertical="center"/>
    </xf>
    <xf numFmtId="167" fontId="4" fillId="0" borderId="1" xfId="0" applyNumberFormat="1" applyFont="1" applyBorder="1" applyAlignment="1">
      <alignment horizontal="right" vertical="center"/>
    </xf>
    <xf numFmtId="168" fontId="4" fillId="0" borderId="1" xfId="0" applyNumberFormat="1" applyFont="1" applyBorder="1" applyAlignment="1">
      <alignment horizontal="right" vertical="center"/>
    </xf>
    <xf numFmtId="169" fontId="4" fillId="0" borderId="1" xfId="0" applyNumberFormat="1" applyFont="1" applyBorder="1" applyAlignment="1">
      <alignment horizontal="right" vertical="center"/>
    </xf>
    <xf numFmtId="164" fontId="4" fillId="6" borderId="1" xfId="0" applyNumberFormat="1"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xf>
    <xf numFmtId="164" fontId="4" fillId="6" borderId="1" xfId="0" applyNumberFormat="1" applyFont="1" applyFill="1" applyBorder="1" applyAlignment="1">
      <alignment horizontal="right" vertical="center"/>
    </xf>
    <xf numFmtId="165" fontId="4" fillId="6" borderId="1" xfId="0" applyNumberFormat="1" applyFont="1" applyFill="1" applyBorder="1" applyAlignment="1">
      <alignment horizontal="right" vertical="center"/>
    </xf>
    <xf numFmtId="166" fontId="4" fillId="6" borderId="1" xfId="0" applyNumberFormat="1" applyFont="1" applyFill="1" applyBorder="1" applyAlignment="1">
      <alignment horizontal="right" vertical="center"/>
    </xf>
    <xf numFmtId="167" fontId="4" fillId="6" borderId="1" xfId="0" applyNumberFormat="1" applyFont="1" applyFill="1" applyBorder="1" applyAlignment="1">
      <alignment horizontal="right" vertical="center"/>
    </xf>
    <xf numFmtId="168" fontId="4" fillId="6" borderId="1" xfId="0" applyNumberFormat="1" applyFont="1" applyFill="1" applyBorder="1" applyAlignment="1">
      <alignment horizontal="right" vertical="center"/>
    </xf>
    <xf numFmtId="169" fontId="4" fillId="6" borderId="1" xfId="0" applyNumberFormat="1" applyFont="1" applyFill="1" applyBorder="1" applyAlignment="1">
      <alignment horizontal="right" vertical="center"/>
    </xf>
    <xf numFmtId="0" fontId="5" fillId="2" borderId="1" xfId="0" applyFont="1" applyFill="1" applyBorder="1" applyAlignment="1">
      <alignment horizontal="center" vertical="center"/>
    </xf>
    <xf numFmtId="164" fontId="5" fillId="2" borderId="1" xfId="0" applyNumberFormat="1" applyFont="1" applyFill="1" applyBorder="1" applyAlignment="1">
      <alignment horizontal="right" vertical="center"/>
    </xf>
    <xf numFmtId="165" fontId="5" fillId="2" borderId="1" xfId="0" applyNumberFormat="1" applyFont="1" applyFill="1" applyBorder="1" applyAlignment="1">
      <alignment horizontal="right" vertical="center"/>
    </xf>
    <xf numFmtId="166" fontId="5" fillId="2" borderId="1" xfId="0" applyNumberFormat="1" applyFont="1" applyFill="1" applyBorder="1" applyAlignment="1">
      <alignment horizontal="right" vertical="center"/>
    </xf>
    <xf numFmtId="167" fontId="5" fillId="2" borderId="1" xfId="0" applyNumberFormat="1" applyFont="1" applyFill="1" applyBorder="1" applyAlignment="1">
      <alignment horizontal="right" vertical="center"/>
    </xf>
    <xf numFmtId="168" fontId="5" fillId="2" borderId="1" xfId="0" applyNumberFormat="1" applyFont="1" applyFill="1" applyBorder="1" applyAlignment="1">
      <alignment horizontal="right" vertical="center"/>
    </xf>
    <xf numFmtId="169" fontId="5" fillId="2" borderId="1" xfId="0" applyNumberFormat="1" applyFont="1" applyFill="1" applyBorder="1" applyAlignment="1">
      <alignment horizontal="right" vertical="center"/>
    </xf>
    <xf numFmtId="0" fontId="3" fillId="0" borderId="0" xfId="0" applyFont="1"/>
    <xf numFmtId="164" fontId="4" fillId="7" borderId="1" xfId="0" applyNumberFormat="1" applyFont="1" applyFill="1" applyBorder="1" applyAlignment="1">
      <alignment horizontal="center" vertical="center"/>
    </xf>
    <xf numFmtId="0" fontId="4" fillId="7" borderId="1" xfId="0" applyFont="1" applyFill="1" applyBorder="1" applyAlignment="1">
      <alignment horizontal="left" vertical="center"/>
    </xf>
    <xf numFmtId="165" fontId="4" fillId="7" borderId="1" xfId="0" applyNumberFormat="1" applyFont="1" applyFill="1" applyBorder="1" applyAlignment="1">
      <alignment horizontal="right" vertical="center"/>
    </xf>
    <xf numFmtId="166" fontId="4" fillId="7" borderId="1" xfId="0" applyNumberFormat="1" applyFont="1" applyFill="1" applyBorder="1" applyAlignment="1">
      <alignment horizontal="right" vertical="center"/>
    </xf>
    <xf numFmtId="167" fontId="4" fillId="7" borderId="1" xfId="0" applyNumberFormat="1" applyFont="1" applyFill="1" applyBorder="1" applyAlignment="1">
      <alignment horizontal="right" vertical="center"/>
    </xf>
    <xf numFmtId="164" fontId="4" fillId="7" borderId="1" xfId="0" applyNumberFormat="1" applyFont="1" applyFill="1" applyBorder="1" applyAlignment="1">
      <alignment horizontal="right" vertical="center"/>
    </xf>
    <xf numFmtId="164" fontId="4" fillId="8" borderId="1" xfId="0" applyNumberFormat="1" applyFont="1" applyFill="1" applyBorder="1" applyAlignment="1">
      <alignment horizontal="center" vertical="center"/>
    </xf>
    <xf numFmtId="0" fontId="4" fillId="8" borderId="1" xfId="0" applyFont="1" applyFill="1" applyBorder="1" applyAlignment="1">
      <alignment horizontal="left" vertical="center"/>
    </xf>
    <xf numFmtId="165" fontId="4" fillId="8" borderId="1" xfId="0" applyNumberFormat="1" applyFont="1" applyFill="1" applyBorder="1" applyAlignment="1">
      <alignment horizontal="right" vertical="center"/>
    </xf>
    <xf numFmtId="166" fontId="4" fillId="8" borderId="1" xfId="0" applyNumberFormat="1" applyFont="1" applyFill="1" applyBorder="1" applyAlignment="1">
      <alignment horizontal="right" vertical="center"/>
    </xf>
    <xf numFmtId="167" fontId="4" fillId="8" borderId="1" xfId="0" applyNumberFormat="1" applyFont="1" applyFill="1" applyBorder="1" applyAlignment="1">
      <alignment horizontal="right" vertical="center"/>
    </xf>
    <xf numFmtId="164" fontId="4" fillId="8" borderId="1" xfId="0" applyNumberFormat="1" applyFont="1" applyFill="1" applyBorder="1" applyAlignment="1">
      <alignment horizontal="right" vertical="center"/>
    </xf>
    <xf numFmtId="164" fontId="4" fillId="9" borderId="1" xfId="0" applyNumberFormat="1" applyFont="1" applyFill="1" applyBorder="1" applyAlignment="1">
      <alignment horizontal="center" vertical="center"/>
    </xf>
    <xf numFmtId="0" fontId="4" fillId="9" borderId="1" xfId="0" applyFont="1" applyFill="1" applyBorder="1" applyAlignment="1">
      <alignment horizontal="left" vertical="center"/>
    </xf>
    <xf numFmtId="165" fontId="4" fillId="9" borderId="1" xfId="0" applyNumberFormat="1" applyFont="1" applyFill="1" applyBorder="1" applyAlignment="1">
      <alignment horizontal="right" vertical="center"/>
    </xf>
    <xf numFmtId="166" fontId="4" fillId="9" borderId="1" xfId="0" applyNumberFormat="1" applyFont="1" applyFill="1" applyBorder="1" applyAlignment="1">
      <alignment horizontal="right" vertical="center"/>
    </xf>
    <xf numFmtId="167" fontId="4" fillId="9" borderId="1" xfId="0" applyNumberFormat="1" applyFont="1" applyFill="1" applyBorder="1" applyAlignment="1">
      <alignment horizontal="right" vertical="center"/>
    </xf>
    <xf numFmtId="164" fontId="4" fillId="9" borderId="1"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6CFC0"/>
      <rgbColor rgb="FF8C8579"/>
      <rgbColor rgb="FF9999FF"/>
      <rgbColor rgb="FFB85C3E"/>
      <rgbColor rgb="FFFFF2CC"/>
      <rgbColor rgb="FFEAF1F8"/>
      <rgbColor rgb="FF660066"/>
      <rgbColor rgb="FFFF8080"/>
      <rgbColor rgb="FF0066CC"/>
      <rgbColor rgb="FFE8E4DD"/>
      <rgbColor rgb="FF000080"/>
      <rgbColor rgb="FFFF00FF"/>
      <rgbColor rgb="FFFFFF00"/>
      <rgbColor rgb="FF00FFFF"/>
      <rgbColor rgb="FF800080"/>
      <rgbColor rgb="FF800000"/>
      <rgbColor rgb="FF008080"/>
      <rgbColor rgb="FF0000FF"/>
      <rgbColor rgb="FF00CCFF"/>
      <rgbColor rgb="FFF5F1EB"/>
      <rgbColor rgb="FFF1EBDC"/>
      <rgbColor rgb="FFEFE8DA"/>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E1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6"/>
  <sheetViews>
    <sheetView showGridLines="0" zoomScaleNormal="100" workbookViewId="0"/>
  </sheetViews>
  <sheetFormatPr baseColWidth="10" defaultColWidth="8.6640625" defaultRowHeight="15" x14ac:dyDescent="0.2"/>
  <cols>
    <col min="1" max="1" width="22" customWidth="1"/>
    <col min="2" max="2" width="110" customWidth="1"/>
  </cols>
  <sheetData>
    <row r="2" spans="1:2" ht="21.75" customHeight="1" x14ac:dyDescent="0.2">
      <c r="A2" s="7" t="s">
        <v>0</v>
      </c>
    </row>
    <row r="3" spans="1:2" ht="15" customHeight="1" x14ac:dyDescent="0.2">
      <c r="A3" s="8" t="s">
        <v>1</v>
      </c>
    </row>
    <row r="5" spans="1:2" ht="55.5" customHeight="1" x14ac:dyDescent="0.2">
      <c r="A5" s="9" t="s">
        <v>2</v>
      </c>
      <c r="B5" s="10" t="s">
        <v>3</v>
      </c>
    </row>
    <row r="7" spans="1:2" ht="42" customHeight="1" x14ac:dyDescent="0.2">
      <c r="A7" s="9" t="s">
        <v>4</v>
      </c>
      <c r="B7" s="10" t="s">
        <v>5</v>
      </c>
    </row>
    <row r="9" spans="1:2" ht="55.5" customHeight="1" x14ac:dyDescent="0.2">
      <c r="A9" s="9" t="s">
        <v>6</v>
      </c>
      <c r="B9" s="10" t="s">
        <v>7</v>
      </c>
    </row>
    <row r="11" spans="1:2" ht="42" customHeight="1" x14ac:dyDescent="0.2">
      <c r="A11" s="9" t="s">
        <v>8</v>
      </c>
      <c r="B11" s="10" t="s">
        <v>9</v>
      </c>
    </row>
    <row r="13" spans="1:2" ht="55.5" customHeight="1" x14ac:dyDescent="0.2">
      <c r="A13" s="9" t="s">
        <v>10</v>
      </c>
      <c r="B13" s="10" t="s">
        <v>11</v>
      </c>
    </row>
    <row r="15" spans="1:2" ht="55.5" customHeight="1" x14ac:dyDescent="0.2">
      <c r="A15" s="9" t="s">
        <v>12</v>
      </c>
      <c r="B15" s="10" t="s">
        <v>13</v>
      </c>
    </row>
    <row r="17" spans="1:2" ht="42" customHeight="1" x14ac:dyDescent="0.2">
      <c r="A17" s="9" t="s">
        <v>14</v>
      </c>
      <c r="B17" s="10" t="s">
        <v>15</v>
      </c>
    </row>
    <row r="19" spans="1:2" ht="55.5" customHeight="1" x14ac:dyDescent="0.2">
      <c r="A19" s="9" t="s">
        <v>16</v>
      </c>
      <c r="B19" s="10" t="s">
        <v>17</v>
      </c>
    </row>
    <row r="21" spans="1:2" ht="55.5" customHeight="1" x14ac:dyDescent="0.2">
      <c r="A21" s="9" t="s">
        <v>18</v>
      </c>
      <c r="B21" s="10" t="s">
        <v>19</v>
      </c>
    </row>
    <row r="23" spans="1:2" ht="42" customHeight="1" x14ac:dyDescent="0.2">
      <c r="A23" s="9" t="s">
        <v>20</v>
      </c>
      <c r="B23" s="10" t="s">
        <v>21</v>
      </c>
    </row>
    <row r="26" spans="1:2" ht="15" customHeight="1" x14ac:dyDescent="0.2">
      <c r="A26" s="11" t="s">
        <v>22</v>
      </c>
      <c r="B26" s="12" t="s">
        <v>23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72"/>
  <sheetViews>
    <sheetView showGridLines="0" topLeftCell="A17" zoomScaleNormal="100" workbookViewId="0"/>
  </sheetViews>
  <sheetFormatPr baseColWidth="10" defaultColWidth="8.6640625" defaultRowHeight="15" x14ac:dyDescent="0.2"/>
  <cols>
    <col min="1" max="1" width="24" customWidth="1"/>
    <col min="2" max="2" width="110" customWidth="1"/>
  </cols>
  <sheetData>
    <row r="2" spans="1:2" ht="23" x14ac:dyDescent="0.25">
      <c r="A2" s="13" t="s">
        <v>24</v>
      </c>
    </row>
    <row r="3" spans="1:2" x14ac:dyDescent="0.2">
      <c r="A3" s="8" t="s">
        <v>25</v>
      </c>
    </row>
    <row r="5" spans="1:2" ht="21.75" customHeight="1" x14ac:dyDescent="0.2">
      <c r="A5" s="6" t="s">
        <v>2</v>
      </c>
      <c r="B5" s="6"/>
    </row>
    <row r="6" spans="1:2" ht="42" customHeight="1" x14ac:dyDescent="0.2">
      <c r="B6" s="10" t="s">
        <v>26</v>
      </c>
    </row>
    <row r="8" spans="1:2" ht="21.75" customHeight="1" x14ac:dyDescent="0.2">
      <c r="A8" s="6" t="s">
        <v>27</v>
      </c>
      <c r="B8" s="6"/>
    </row>
    <row r="10" spans="1:2" ht="27.75" customHeight="1" x14ac:dyDescent="0.2">
      <c r="A10" s="14" t="s">
        <v>28</v>
      </c>
      <c r="B10" s="10" t="s">
        <v>29</v>
      </c>
    </row>
    <row r="11" spans="1:2" ht="27.75" customHeight="1" x14ac:dyDescent="0.2">
      <c r="A11" s="14" t="s">
        <v>30</v>
      </c>
      <c r="B11" s="10" t="s">
        <v>31</v>
      </c>
    </row>
    <row r="12" spans="1:2" ht="27.75" customHeight="1" x14ac:dyDescent="0.2">
      <c r="A12" s="14" t="s">
        <v>32</v>
      </c>
      <c r="B12" s="10" t="s">
        <v>33</v>
      </c>
    </row>
    <row r="14" spans="1:2" ht="21.75" customHeight="1" x14ac:dyDescent="0.2">
      <c r="A14" s="6" t="s">
        <v>34</v>
      </c>
      <c r="B14" s="6"/>
    </row>
    <row r="16" spans="1:2" ht="19.5" customHeight="1" x14ac:dyDescent="0.2">
      <c r="A16" s="14" t="s">
        <v>35</v>
      </c>
      <c r="B16" s="10" t="s">
        <v>36</v>
      </c>
    </row>
    <row r="17" spans="1:2" ht="19.5" customHeight="1" x14ac:dyDescent="0.2">
      <c r="A17" s="14" t="s">
        <v>37</v>
      </c>
      <c r="B17" s="10" t="s">
        <v>38</v>
      </c>
    </row>
    <row r="18" spans="1:2" ht="19.5" customHeight="1" x14ac:dyDescent="0.2">
      <c r="A18" s="14" t="s">
        <v>39</v>
      </c>
      <c r="B18" s="10" t="s">
        <v>40</v>
      </c>
    </row>
    <row r="19" spans="1:2" ht="19.5" customHeight="1" x14ac:dyDescent="0.2">
      <c r="A19" s="14" t="s">
        <v>41</v>
      </c>
      <c r="B19" s="10" t="s">
        <v>42</v>
      </c>
    </row>
    <row r="20" spans="1:2" ht="19.5" customHeight="1" x14ac:dyDescent="0.2">
      <c r="A20" s="14" t="s">
        <v>43</v>
      </c>
      <c r="B20" s="10" t="s">
        <v>44</v>
      </c>
    </row>
    <row r="22" spans="1:2" ht="21.75" customHeight="1" x14ac:dyDescent="0.2">
      <c r="A22" s="6" t="s">
        <v>45</v>
      </c>
      <c r="B22" s="6"/>
    </row>
    <row r="24" spans="1:2" ht="21.75" customHeight="1" x14ac:dyDescent="0.2">
      <c r="A24" s="15" t="s">
        <v>46</v>
      </c>
      <c r="B24" s="14" t="s">
        <v>47</v>
      </c>
    </row>
    <row r="25" spans="1:2" ht="27.75" customHeight="1" x14ac:dyDescent="0.2">
      <c r="B25" s="10" t="s">
        <v>48</v>
      </c>
    </row>
    <row r="27" spans="1:2" ht="21.75" customHeight="1" x14ac:dyDescent="0.2">
      <c r="A27" s="15" t="s">
        <v>49</v>
      </c>
      <c r="B27" s="14" t="s">
        <v>50</v>
      </c>
    </row>
    <row r="28" spans="1:2" ht="55.5" customHeight="1" x14ac:dyDescent="0.2">
      <c r="B28" s="10" t="s">
        <v>51</v>
      </c>
    </row>
    <row r="30" spans="1:2" ht="21.75" customHeight="1" x14ac:dyDescent="0.2">
      <c r="A30" s="15" t="s">
        <v>52</v>
      </c>
      <c r="B30" s="14" t="s">
        <v>53</v>
      </c>
    </row>
    <row r="31" spans="1:2" ht="42" customHeight="1" x14ac:dyDescent="0.2">
      <c r="B31" s="10" t="s">
        <v>54</v>
      </c>
    </row>
    <row r="33" spans="1:2" ht="21.75" customHeight="1" x14ac:dyDescent="0.2">
      <c r="A33" s="15" t="s">
        <v>55</v>
      </c>
      <c r="B33" s="14" t="s">
        <v>56</v>
      </c>
    </row>
    <row r="34" spans="1:2" ht="84" customHeight="1" x14ac:dyDescent="0.2">
      <c r="B34" s="10" t="s">
        <v>57</v>
      </c>
    </row>
    <row r="36" spans="1:2" ht="21.75" customHeight="1" x14ac:dyDescent="0.2">
      <c r="A36" s="15" t="s">
        <v>58</v>
      </c>
      <c r="B36" s="14" t="s">
        <v>59</v>
      </c>
    </row>
    <row r="37" spans="1:2" ht="27.75" customHeight="1" x14ac:dyDescent="0.2">
      <c r="B37" s="10" t="s">
        <v>60</v>
      </c>
    </row>
    <row r="39" spans="1:2" ht="21.75" customHeight="1" x14ac:dyDescent="0.2">
      <c r="A39" s="15" t="s">
        <v>61</v>
      </c>
      <c r="B39" s="14" t="s">
        <v>62</v>
      </c>
    </row>
    <row r="40" spans="1:2" ht="55.5" customHeight="1" x14ac:dyDescent="0.2">
      <c r="B40" s="10" t="s">
        <v>63</v>
      </c>
    </row>
    <row r="42" spans="1:2" ht="21.75" customHeight="1" x14ac:dyDescent="0.2">
      <c r="A42" s="15" t="s">
        <v>64</v>
      </c>
      <c r="B42" s="14" t="s">
        <v>65</v>
      </c>
    </row>
    <row r="43" spans="1:2" ht="55.5" customHeight="1" x14ac:dyDescent="0.2">
      <c r="B43" s="10" t="s">
        <v>66</v>
      </c>
    </row>
    <row r="45" spans="1:2" ht="21.75" customHeight="1" x14ac:dyDescent="0.2">
      <c r="A45" s="6" t="s">
        <v>67</v>
      </c>
      <c r="B45" s="6"/>
    </row>
    <row r="47" spans="1:2" ht="19.5" customHeight="1" x14ac:dyDescent="0.2">
      <c r="A47" s="14" t="s">
        <v>68</v>
      </c>
      <c r="B47" s="10" t="s">
        <v>69</v>
      </c>
    </row>
    <row r="48" spans="1:2" ht="27.75" customHeight="1" x14ac:dyDescent="0.2">
      <c r="A48" s="14" t="s">
        <v>70</v>
      </c>
      <c r="B48" s="10" t="s">
        <v>71</v>
      </c>
    </row>
    <row r="49" spans="1:2" ht="27.75" customHeight="1" x14ac:dyDescent="0.2">
      <c r="A49" s="14" t="s">
        <v>72</v>
      </c>
      <c r="B49" s="10" t="s">
        <v>73</v>
      </c>
    </row>
    <row r="50" spans="1:2" ht="27.75" customHeight="1" x14ac:dyDescent="0.2">
      <c r="A50" s="14" t="s">
        <v>74</v>
      </c>
      <c r="B50" s="10" t="s">
        <v>75</v>
      </c>
    </row>
    <row r="51" spans="1:2" ht="19.5" customHeight="1" x14ac:dyDescent="0.2">
      <c r="A51" s="14" t="s">
        <v>76</v>
      </c>
      <c r="B51" s="10" t="s">
        <v>77</v>
      </c>
    </row>
    <row r="53" spans="1:2" ht="21.75" customHeight="1" x14ac:dyDescent="0.2">
      <c r="A53" s="6" t="s">
        <v>78</v>
      </c>
      <c r="B53" s="6"/>
    </row>
    <row r="55" spans="1:2" ht="19.5" customHeight="1" x14ac:dyDescent="0.2">
      <c r="A55" s="14" t="s">
        <v>79</v>
      </c>
      <c r="B55" s="10" t="s">
        <v>80</v>
      </c>
    </row>
    <row r="56" spans="1:2" ht="19.5" customHeight="1" x14ac:dyDescent="0.2">
      <c r="A56" s="14" t="s">
        <v>81</v>
      </c>
      <c r="B56" s="10" t="s">
        <v>82</v>
      </c>
    </row>
    <row r="57" spans="1:2" ht="19.5" customHeight="1" x14ac:dyDescent="0.2">
      <c r="A57" s="14" t="s">
        <v>83</v>
      </c>
      <c r="B57" s="10" t="s">
        <v>84</v>
      </c>
    </row>
    <row r="58" spans="1:2" ht="19.5" customHeight="1" x14ac:dyDescent="0.2">
      <c r="A58" s="14" t="s">
        <v>85</v>
      </c>
      <c r="B58" s="10" t="s">
        <v>86</v>
      </c>
    </row>
    <row r="60" spans="1:2" ht="21.75" customHeight="1" x14ac:dyDescent="0.2">
      <c r="A60" s="6" t="s">
        <v>87</v>
      </c>
      <c r="B60" s="6"/>
    </row>
    <row r="62" spans="1:2" ht="19.5" customHeight="1" x14ac:dyDescent="0.2">
      <c r="A62" s="14" t="s">
        <v>88</v>
      </c>
      <c r="B62" s="10" t="s">
        <v>89</v>
      </c>
    </row>
    <row r="63" spans="1:2" ht="19.5" customHeight="1" x14ac:dyDescent="0.2">
      <c r="A63" s="14" t="s">
        <v>88</v>
      </c>
      <c r="B63" s="10" t="s">
        <v>90</v>
      </c>
    </row>
    <row r="64" spans="1:2" ht="27.75" customHeight="1" x14ac:dyDescent="0.2">
      <c r="A64" s="14" t="s">
        <v>88</v>
      </c>
      <c r="B64" s="10" t="s">
        <v>91</v>
      </c>
    </row>
    <row r="65" spans="1:2" ht="19.5" customHeight="1" x14ac:dyDescent="0.2">
      <c r="A65" s="14" t="s">
        <v>88</v>
      </c>
      <c r="B65" s="10" t="s">
        <v>92</v>
      </c>
    </row>
    <row r="67" spans="1:2" ht="21.75" customHeight="1" x14ac:dyDescent="0.2">
      <c r="A67" s="6" t="s">
        <v>93</v>
      </c>
      <c r="B67" s="6"/>
    </row>
    <row r="69" spans="1:2" ht="19.5" customHeight="1" x14ac:dyDescent="0.2">
      <c r="A69" s="14" t="s">
        <v>94</v>
      </c>
      <c r="B69" s="10" t="s">
        <v>95</v>
      </c>
    </row>
    <row r="70" spans="1:2" ht="19.5" customHeight="1" x14ac:dyDescent="0.2">
      <c r="A70" s="14" t="s">
        <v>96</v>
      </c>
      <c r="B70" s="10" t="s">
        <v>97</v>
      </c>
    </row>
    <row r="71" spans="1:2" ht="19.5" customHeight="1" x14ac:dyDescent="0.2">
      <c r="A71" s="14" t="s">
        <v>98</v>
      </c>
      <c r="B71" s="10" t="s">
        <v>99</v>
      </c>
    </row>
    <row r="72" spans="1:2" ht="27.75" customHeight="1" x14ac:dyDescent="0.2">
      <c r="A72" s="14" t="s">
        <v>100</v>
      </c>
      <c r="B72" s="10" t="s">
        <v>101</v>
      </c>
    </row>
  </sheetData>
  <mergeCells count="8">
    <mergeCell ref="A53:B53"/>
    <mergeCell ref="A60:B60"/>
    <mergeCell ref="A67:B67"/>
    <mergeCell ref="A5:B5"/>
    <mergeCell ref="A8:B8"/>
    <mergeCell ref="A14:B14"/>
    <mergeCell ref="A22:B22"/>
    <mergeCell ref="A45:B4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69"/>
  <sheetViews>
    <sheetView showGridLines="0" zoomScaleNormal="100" workbookViewId="0">
      <pane xSplit="4" ySplit="1" topLeftCell="E2" activePane="bottomRight" state="frozen"/>
      <selection pane="topRight" activeCell="E1" sqref="E1"/>
      <selection pane="bottomLeft" activeCell="A2" sqref="A2"/>
      <selection pane="bottomRight"/>
    </sheetView>
  </sheetViews>
  <sheetFormatPr baseColWidth="10" defaultColWidth="8.6640625" defaultRowHeight="15" x14ac:dyDescent="0.2"/>
  <cols>
    <col min="1" max="1" width="8" customWidth="1"/>
    <col min="2" max="3" width="10" customWidth="1"/>
    <col min="4" max="4" width="32" customWidth="1"/>
    <col min="5" max="5" width="22" customWidth="1"/>
    <col min="6" max="6" width="8" customWidth="1"/>
    <col min="7" max="9" width="11" customWidth="1"/>
    <col min="10" max="13" width="14" customWidth="1"/>
    <col min="14" max="14" width="12" customWidth="1"/>
    <col min="15" max="15" width="13" customWidth="1"/>
    <col min="16" max="16" width="12" customWidth="1"/>
    <col min="17" max="17" width="9" customWidth="1"/>
    <col min="18" max="18" width="14" customWidth="1"/>
    <col min="19" max="19" width="11" customWidth="1"/>
    <col min="20" max="21" width="13" customWidth="1"/>
    <col min="22" max="23" width="12" customWidth="1"/>
    <col min="24" max="24" width="11" customWidth="1"/>
    <col min="25" max="25" width="8" customWidth="1"/>
    <col min="26" max="26" width="13" customWidth="1"/>
    <col min="27" max="27" width="9" customWidth="1"/>
    <col min="28" max="28" width="22" customWidth="1"/>
    <col min="29" max="29" width="11" customWidth="1"/>
    <col min="30" max="30" width="10" customWidth="1"/>
    <col min="31" max="31" width="11" customWidth="1"/>
    <col min="32" max="33" width="12" customWidth="1"/>
    <col min="34" max="34" width="11" customWidth="1"/>
    <col min="35" max="35" width="12" customWidth="1"/>
    <col min="36" max="37" width="11" customWidth="1"/>
    <col min="38" max="45" width="13" customWidth="1"/>
  </cols>
  <sheetData>
    <row r="1" spans="1:45" ht="27.75" customHeight="1" x14ac:dyDescent="0.2">
      <c r="A1" s="16" t="s">
        <v>102</v>
      </c>
      <c r="B1" s="16" t="s">
        <v>103</v>
      </c>
      <c r="C1" s="16" t="s">
        <v>104</v>
      </c>
      <c r="D1" s="16" t="s">
        <v>105</v>
      </c>
      <c r="E1" s="16" t="s">
        <v>106</v>
      </c>
      <c r="F1" s="16" t="s">
        <v>107</v>
      </c>
      <c r="G1" s="16" t="s">
        <v>108</v>
      </c>
      <c r="H1" s="16" t="s">
        <v>109</v>
      </c>
      <c r="I1" s="16" t="s">
        <v>110</v>
      </c>
      <c r="J1" s="16" t="s">
        <v>111</v>
      </c>
      <c r="K1" s="16" t="s">
        <v>112</v>
      </c>
      <c r="L1" s="16" t="s">
        <v>113</v>
      </c>
      <c r="M1" s="16" t="s">
        <v>114</v>
      </c>
      <c r="N1" s="16" t="s">
        <v>115</v>
      </c>
      <c r="O1" s="16" t="s">
        <v>116</v>
      </c>
      <c r="P1" s="16" t="s">
        <v>117</v>
      </c>
      <c r="Q1" s="16" t="s">
        <v>118</v>
      </c>
      <c r="R1" s="16" t="s">
        <v>119</v>
      </c>
      <c r="S1" s="16" t="s">
        <v>120</v>
      </c>
      <c r="T1" s="16" t="s">
        <v>121</v>
      </c>
      <c r="U1" s="16" t="s">
        <v>122</v>
      </c>
      <c r="V1" s="16" t="s">
        <v>123</v>
      </c>
      <c r="W1" s="16" t="s">
        <v>124</v>
      </c>
      <c r="X1" s="16" t="s">
        <v>125</v>
      </c>
      <c r="Y1" s="16" t="s">
        <v>126</v>
      </c>
      <c r="Z1" s="16" t="s">
        <v>127</v>
      </c>
      <c r="AA1" s="16" t="s">
        <v>128</v>
      </c>
      <c r="AB1" s="16" t="s">
        <v>129</v>
      </c>
      <c r="AC1" s="16" t="s">
        <v>130</v>
      </c>
      <c r="AD1" s="16" t="s">
        <v>131</v>
      </c>
      <c r="AE1" s="16" t="s">
        <v>132</v>
      </c>
      <c r="AF1" s="16" t="s">
        <v>133</v>
      </c>
      <c r="AG1" s="16" t="s">
        <v>134</v>
      </c>
      <c r="AH1" s="16" t="s">
        <v>135</v>
      </c>
      <c r="AI1" s="16" t="s">
        <v>136</v>
      </c>
      <c r="AJ1" s="16" t="s">
        <v>137</v>
      </c>
      <c r="AK1" s="16" t="s">
        <v>138</v>
      </c>
      <c r="AL1" s="16" t="s">
        <v>139</v>
      </c>
      <c r="AM1" s="16" t="s">
        <v>140</v>
      </c>
      <c r="AN1" s="16" t="s">
        <v>141</v>
      </c>
      <c r="AO1" s="16" t="s">
        <v>142</v>
      </c>
      <c r="AP1" s="16" t="s">
        <v>143</v>
      </c>
      <c r="AQ1" s="16" t="s">
        <v>144</v>
      </c>
      <c r="AR1" s="16" t="s">
        <v>145</v>
      </c>
      <c r="AS1" s="16" t="s">
        <v>146</v>
      </c>
    </row>
    <row r="2" spans="1:45" ht="15" customHeight="1" x14ac:dyDescent="0.2">
      <c r="A2" s="17" t="s">
        <v>147</v>
      </c>
      <c r="B2" s="18" t="s">
        <v>148</v>
      </c>
      <c r="C2" s="18" t="s">
        <v>149</v>
      </c>
      <c r="D2" s="19" t="s">
        <v>150</v>
      </c>
      <c r="E2" s="19" t="s">
        <v>151</v>
      </c>
      <c r="F2" s="20">
        <v>234</v>
      </c>
      <c r="G2" s="21">
        <v>18</v>
      </c>
      <c r="H2" s="18"/>
      <c r="I2" s="18"/>
      <c r="J2" s="22">
        <v>2121873.5</v>
      </c>
      <c r="K2" s="22">
        <v>2121873.5</v>
      </c>
      <c r="L2" s="22">
        <v>1278216.4099999999</v>
      </c>
      <c r="M2" s="22">
        <v>843657.09</v>
      </c>
      <c r="N2" s="23"/>
      <c r="O2" s="22">
        <v>425500.68</v>
      </c>
      <c r="P2" s="20">
        <v>44632</v>
      </c>
      <c r="Q2" s="20">
        <v>28</v>
      </c>
      <c r="R2" s="20">
        <v>25</v>
      </c>
      <c r="S2" s="21">
        <v>14.305403309038001</v>
      </c>
      <c r="T2" s="23">
        <v>0.66409750851407101</v>
      </c>
      <c r="U2" s="21"/>
      <c r="V2" s="24">
        <v>21.079762950349501</v>
      </c>
      <c r="W2" s="24">
        <v>14.42</v>
      </c>
      <c r="X2" s="25">
        <v>0.68</v>
      </c>
      <c r="Y2" s="23">
        <v>0</v>
      </c>
      <c r="Z2" s="22">
        <v>637990.88</v>
      </c>
      <c r="AA2" s="20">
        <v>0</v>
      </c>
      <c r="AB2" s="19"/>
      <c r="AC2" s="23"/>
      <c r="AD2" s="21">
        <v>190.73504273504301</v>
      </c>
      <c r="AE2" s="22">
        <v>1818.37897435897</v>
      </c>
      <c r="AF2" s="22">
        <v>2726.4567521367499</v>
      </c>
      <c r="AG2" s="22">
        <v>9067.8354700854707</v>
      </c>
      <c r="AH2" s="23">
        <v>0.200530653688827</v>
      </c>
      <c r="AI2" s="23">
        <v>0.30067338133022498</v>
      </c>
      <c r="AJ2" s="20">
        <v>2479.5555555555602</v>
      </c>
      <c r="AK2" s="21">
        <v>13</v>
      </c>
      <c r="AL2" s="22">
        <v>396328</v>
      </c>
      <c r="AM2" s="22">
        <v>396328</v>
      </c>
      <c r="AN2" s="22">
        <v>425500.68</v>
      </c>
      <c r="AO2" s="23">
        <v>7.3607416079610799E-2</v>
      </c>
      <c r="AP2" s="22">
        <v>717142</v>
      </c>
      <c r="AQ2" s="22">
        <v>717142</v>
      </c>
      <c r="AR2" s="22">
        <v>637990.88</v>
      </c>
      <c r="AS2" s="23">
        <v>-0.110370219566</v>
      </c>
    </row>
    <row r="3" spans="1:45" ht="15" customHeight="1" x14ac:dyDescent="0.2">
      <c r="A3" s="26" t="s">
        <v>152</v>
      </c>
      <c r="B3" s="27" t="s">
        <v>148</v>
      </c>
      <c r="C3" s="27" t="s">
        <v>149</v>
      </c>
      <c r="D3" s="28" t="s">
        <v>153</v>
      </c>
      <c r="E3" s="28" t="s">
        <v>151</v>
      </c>
      <c r="F3" s="29">
        <v>258</v>
      </c>
      <c r="G3" s="30">
        <v>15</v>
      </c>
      <c r="H3" s="27"/>
      <c r="I3" s="27"/>
      <c r="J3" s="31"/>
      <c r="K3" s="31">
        <v>2328917</v>
      </c>
      <c r="L3" s="31">
        <v>1782682.55</v>
      </c>
      <c r="M3" s="31">
        <v>546234.44999999995</v>
      </c>
      <c r="N3" s="32"/>
      <c r="O3" s="31">
        <v>593780.07999999996</v>
      </c>
      <c r="P3" s="29">
        <v>59248.5</v>
      </c>
      <c r="Q3" s="29">
        <v>50</v>
      </c>
      <c r="R3" s="29">
        <v>44</v>
      </c>
      <c r="S3" s="30">
        <v>22.788322852362501</v>
      </c>
      <c r="T3" s="32">
        <v>0.62347148029064003</v>
      </c>
      <c r="U3" s="30"/>
      <c r="V3" s="33">
        <v>20.027573693848801</v>
      </c>
      <c r="W3" s="33">
        <v>15.4</v>
      </c>
      <c r="X3" s="34">
        <v>0.77</v>
      </c>
      <c r="Y3" s="32">
        <v>0</v>
      </c>
      <c r="Z3" s="31">
        <v>816046.33</v>
      </c>
      <c r="AA3" s="29">
        <v>0</v>
      </c>
      <c r="AB3" s="28"/>
      <c r="AC3" s="32"/>
      <c r="AD3" s="30">
        <v>229.64534883720901</v>
      </c>
      <c r="AE3" s="31">
        <v>2301.4731782945701</v>
      </c>
      <c r="AF3" s="31">
        <v>3162.9702713178299</v>
      </c>
      <c r="AG3" s="31">
        <v>9026.8100775193798</v>
      </c>
      <c r="AH3" s="32">
        <v>0.25495974309088698</v>
      </c>
      <c r="AI3" s="32">
        <v>0.350397343486264</v>
      </c>
      <c r="AJ3" s="29">
        <v>3949.9</v>
      </c>
      <c r="AK3" s="30">
        <v>17.2</v>
      </c>
      <c r="AL3" s="31">
        <v>535720</v>
      </c>
      <c r="AM3" s="31">
        <v>551450</v>
      </c>
      <c r="AN3" s="31">
        <v>593780.07999999996</v>
      </c>
      <c r="AO3" s="32">
        <v>0.108377659971627</v>
      </c>
      <c r="AP3" s="31">
        <v>1016555</v>
      </c>
      <c r="AQ3" s="31">
        <v>1043740</v>
      </c>
      <c r="AR3" s="31">
        <v>816046.33</v>
      </c>
      <c r="AS3" s="32">
        <v>-0.19724330705175799</v>
      </c>
    </row>
    <row r="4" spans="1:45" ht="15" customHeight="1" x14ac:dyDescent="0.2">
      <c r="A4" s="17" t="s">
        <v>154</v>
      </c>
      <c r="B4" s="18" t="s">
        <v>148</v>
      </c>
      <c r="C4" s="18" t="s">
        <v>149</v>
      </c>
      <c r="D4" s="19" t="s">
        <v>155</v>
      </c>
      <c r="E4" s="19" t="s">
        <v>156</v>
      </c>
      <c r="F4" s="20">
        <v>56</v>
      </c>
      <c r="G4" s="21">
        <v>16</v>
      </c>
      <c r="H4" s="18"/>
      <c r="I4" s="18"/>
      <c r="J4" s="22">
        <v>392855</v>
      </c>
      <c r="K4" s="22">
        <v>394208</v>
      </c>
      <c r="L4" s="22">
        <v>279998.81</v>
      </c>
      <c r="M4" s="22">
        <v>114209.19</v>
      </c>
      <c r="N4" s="23"/>
      <c r="O4" s="22">
        <v>80901.5</v>
      </c>
      <c r="P4" s="20">
        <v>8318</v>
      </c>
      <c r="Q4" s="20">
        <v>24</v>
      </c>
      <c r="R4" s="20">
        <v>17</v>
      </c>
      <c r="S4" s="21">
        <v>2.9993365257024198</v>
      </c>
      <c r="T4" s="23">
        <v>0.71237076220245299</v>
      </c>
      <c r="U4" s="21"/>
      <c r="V4" s="24">
        <v>20.670281317624401</v>
      </c>
      <c r="W4" s="24">
        <v>14.64</v>
      </c>
      <c r="X4" s="25">
        <v>0.71</v>
      </c>
      <c r="Y4" s="23">
        <v>0</v>
      </c>
      <c r="Z4" s="22">
        <v>151064.39000000001</v>
      </c>
      <c r="AA4" s="20">
        <v>0</v>
      </c>
      <c r="AB4" s="19"/>
      <c r="AC4" s="23"/>
      <c r="AD4" s="21">
        <v>148.53571428571399</v>
      </c>
      <c r="AE4" s="22">
        <v>1444.6696428571399</v>
      </c>
      <c r="AF4" s="22">
        <v>2697.57839285714</v>
      </c>
      <c r="AG4" s="22">
        <v>7039.4285714285697</v>
      </c>
      <c r="AH4" s="23">
        <v>0.205225413994642</v>
      </c>
      <c r="AI4" s="23">
        <v>0.383209853681305</v>
      </c>
      <c r="AJ4" s="20">
        <v>519.875</v>
      </c>
      <c r="AK4" s="21">
        <v>3.5</v>
      </c>
      <c r="AL4" s="22">
        <v>69240</v>
      </c>
      <c r="AM4" s="22">
        <v>72340</v>
      </c>
      <c r="AN4" s="22">
        <v>80901.5</v>
      </c>
      <c r="AO4" s="23">
        <v>0.168421432697863</v>
      </c>
      <c r="AP4" s="22">
        <v>196250</v>
      </c>
      <c r="AQ4" s="22">
        <v>195311</v>
      </c>
      <c r="AR4" s="22">
        <v>151064.39000000001</v>
      </c>
      <c r="AS4" s="23">
        <v>-0.23024514649681499</v>
      </c>
    </row>
    <row r="5" spans="1:45" ht="15" customHeight="1" x14ac:dyDescent="0.2">
      <c r="A5" s="26" t="s">
        <v>157</v>
      </c>
      <c r="B5" s="27" t="s">
        <v>148</v>
      </c>
      <c r="C5" s="27" t="s">
        <v>149</v>
      </c>
      <c r="D5" s="28" t="s">
        <v>158</v>
      </c>
      <c r="E5" s="28" t="s">
        <v>156</v>
      </c>
      <c r="F5" s="29">
        <v>149</v>
      </c>
      <c r="G5" s="30">
        <v>24</v>
      </c>
      <c r="H5" s="27"/>
      <c r="I5" s="27"/>
      <c r="J5" s="31">
        <v>1386419</v>
      </c>
      <c r="K5" s="31">
        <v>1386419</v>
      </c>
      <c r="L5" s="31">
        <v>584809.72</v>
      </c>
      <c r="M5" s="31">
        <v>801609.28</v>
      </c>
      <c r="N5" s="32"/>
      <c r="O5" s="31">
        <v>196271.13</v>
      </c>
      <c r="P5" s="29">
        <v>19847</v>
      </c>
      <c r="Q5" s="29">
        <v>23</v>
      </c>
      <c r="R5" s="29">
        <v>14</v>
      </c>
      <c r="S5" s="30">
        <v>4.7710052116386903</v>
      </c>
      <c r="T5" s="32">
        <v>0.79858416889202399</v>
      </c>
      <c r="U5" s="30"/>
      <c r="V5" s="33">
        <v>19.323852471406301</v>
      </c>
      <c r="W5" s="33">
        <v>15.1</v>
      </c>
      <c r="X5" s="34">
        <v>0.78</v>
      </c>
      <c r="Y5" s="32">
        <v>0</v>
      </c>
      <c r="Z5" s="31">
        <v>282662.77</v>
      </c>
      <c r="AA5" s="29">
        <v>0</v>
      </c>
      <c r="AB5" s="28"/>
      <c r="AC5" s="32"/>
      <c r="AD5" s="30">
        <v>133.20134228187899</v>
      </c>
      <c r="AE5" s="31">
        <v>1317.25590604027</v>
      </c>
      <c r="AF5" s="31">
        <v>1897.0655704697999</v>
      </c>
      <c r="AG5" s="31">
        <v>9304.8255033557107</v>
      </c>
      <c r="AH5" s="32">
        <v>0.14156696496513699</v>
      </c>
      <c r="AI5" s="32">
        <v>0.203879757850982</v>
      </c>
      <c r="AJ5" s="29">
        <v>826.95833333333303</v>
      </c>
      <c r="AK5" s="30">
        <v>6.2083333333333304</v>
      </c>
      <c r="AL5" s="31">
        <v>329465</v>
      </c>
      <c r="AM5" s="31">
        <v>303565</v>
      </c>
      <c r="AN5" s="31">
        <v>196271.13</v>
      </c>
      <c r="AO5" s="32">
        <v>-0.40427320049170601</v>
      </c>
      <c r="AP5" s="31">
        <v>570975</v>
      </c>
      <c r="AQ5" s="31">
        <v>504680</v>
      </c>
      <c r="AR5" s="31">
        <v>282662.77</v>
      </c>
      <c r="AS5" s="32">
        <v>-0.50494720434344798</v>
      </c>
    </row>
    <row r="6" spans="1:45" ht="15" customHeight="1" x14ac:dyDescent="0.2">
      <c r="A6" s="17" t="s">
        <v>159</v>
      </c>
      <c r="B6" s="18" t="s">
        <v>148</v>
      </c>
      <c r="C6" s="18" t="s">
        <v>149</v>
      </c>
      <c r="D6" s="19" t="s">
        <v>160</v>
      </c>
      <c r="E6" s="19" t="s">
        <v>156</v>
      </c>
      <c r="F6" s="20">
        <v>117</v>
      </c>
      <c r="G6" s="21">
        <v>17</v>
      </c>
      <c r="H6" s="18"/>
      <c r="I6" s="18"/>
      <c r="J6" s="22">
        <v>869823.5</v>
      </c>
      <c r="K6" s="22">
        <v>869823.5</v>
      </c>
      <c r="L6" s="22">
        <v>535728.68999999994</v>
      </c>
      <c r="M6" s="22">
        <v>334094.81</v>
      </c>
      <c r="N6" s="23"/>
      <c r="O6" s="22">
        <v>142882.75</v>
      </c>
      <c r="P6" s="20">
        <v>13606</v>
      </c>
      <c r="Q6" s="20">
        <v>32</v>
      </c>
      <c r="R6" s="20">
        <v>22</v>
      </c>
      <c r="S6" s="21">
        <v>4.6175096127414204</v>
      </c>
      <c r="T6" s="23">
        <v>0.70851095105100703</v>
      </c>
      <c r="U6" s="21"/>
      <c r="V6" s="24">
        <v>20.387108628546201</v>
      </c>
      <c r="W6" s="24">
        <v>15.85</v>
      </c>
      <c r="X6" s="25">
        <v>0.78</v>
      </c>
      <c r="Y6" s="23">
        <v>0</v>
      </c>
      <c r="Z6" s="22">
        <v>295005.88</v>
      </c>
      <c r="AA6" s="20">
        <v>0</v>
      </c>
      <c r="AB6" s="19"/>
      <c r="AC6" s="23"/>
      <c r="AD6" s="21">
        <v>116.290598290598</v>
      </c>
      <c r="AE6" s="22">
        <v>1221.22008547009</v>
      </c>
      <c r="AF6" s="22">
        <v>2521.41777777778</v>
      </c>
      <c r="AG6" s="22">
        <v>7434.3888888888896</v>
      </c>
      <c r="AH6" s="23">
        <v>0.16426637128106999</v>
      </c>
      <c r="AI6" s="23">
        <v>0.33915602418191698</v>
      </c>
      <c r="AJ6" s="20">
        <v>800.35294117647095</v>
      </c>
      <c r="AK6" s="21">
        <v>6.8823529411764701</v>
      </c>
      <c r="AL6" s="22">
        <v>168705</v>
      </c>
      <c r="AM6" s="22">
        <v>174655</v>
      </c>
      <c r="AN6" s="22">
        <v>142882.75</v>
      </c>
      <c r="AO6" s="23">
        <v>-0.15306155715598199</v>
      </c>
      <c r="AP6" s="22">
        <v>358945</v>
      </c>
      <c r="AQ6" s="22">
        <v>393359</v>
      </c>
      <c r="AR6" s="22">
        <v>295005.88</v>
      </c>
      <c r="AS6" s="23">
        <v>-0.17813068854559899</v>
      </c>
    </row>
    <row r="7" spans="1:45" ht="15" customHeight="1" x14ac:dyDescent="0.2">
      <c r="A7" s="26" t="s">
        <v>161</v>
      </c>
      <c r="B7" s="27" t="s">
        <v>148</v>
      </c>
      <c r="C7" s="27" t="s">
        <v>149</v>
      </c>
      <c r="D7" s="28" t="s">
        <v>162</v>
      </c>
      <c r="E7" s="28" t="s">
        <v>163</v>
      </c>
      <c r="F7" s="29">
        <v>162</v>
      </c>
      <c r="G7" s="30">
        <v>16</v>
      </c>
      <c r="H7" s="27"/>
      <c r="I7" s="27"/>
      <c r="J7" s="31">
        <v>1393316</v>
      </c>
      <c r="K7" s="31">
        <v>1323743.25</v>
      </c>
      <c r="L7" s="31">
        <v>851276.4</v>
      </c>
      <c r="M7" s="31">
        <v>472466.85</v>
      </c>
      <c r="N7" s="32"/>
      <c r="O7" s="31">
        <v>291321.88</v>
      </c>
      <c r="P7" s="29">
        <v>14607.25</v>
      </c>
      <c r="Q7" s="29">
        <v>42</v>
      </c>
      <c r="R7" s="29">
        <v>31</v>
      </c>
      <c r="S7" s="30">
        <v>5.2671385507413602</v>
      </c>
      <c r="T7" s="32">
        <v>0.35318807691651499</v>
      </c>
      <c r="U7" s="30">
        <v>43.6095238095238</v>
      </c>
      <c r="V7" s="33">
        <v>30.026359091607102</v>
      </c>
      <c r="W7" s="33">
        <v>30.02</v>
      </c>
      <c r="X7" s="34">
        <v>1</v>
      </c>
      <c r="Y7" s="32">
        <v>0</v>
      </c>
      <c r="Z7" s="31">
        <v>390750.86</v>
      </c>
      <c r="AA7" s="29">
        <v>17</v>
      </c>
      <c r="AB7" s="28" t="s">
        <v>164</v>
      </c>
      <c r="AC7" s="32">
        <v>0.38389648073967098</v>
      </c>
      <c r="AD7" s="30">
        <v>90.168209876543202</v>
      </c>
      <c r="AE7" s="31">
        <v>1798.28320987654</v>
      </c>
      <c r="AF7" s="31">
        <v>2412.0423456790099</v>
      </c>
      <c r="AG7" s="31">
        <v>8171.2546296296296</v>
      </c>
      <c r="AH7" s="32">
        <v>0.22007430821649099</v>
      </c>
      <c r="AI7" s="32">
        <v>0.29518629084605302</v>
      </c>
      <c r="AJ7" s="29">
        <v>912.953125</v>
      </c>
      <c r="AK7" s="30">
        <v>10.125</v>
      </c>
      <c r="AL7" s="31">
        <v>305975</v>
      </c>
      <c r="AM7" s="31">
        <v>305975</v>
      </c>
      <c r="AN7" s="31">
        <v>291321.88</v>
      </c>
      <c r="AO7" s="32">
        <v>-4.7889925647520197E-2</v>
      </c>
      <c r="AP7" s="31">
        <v>553400</v>
      </c>
      <c r="AQ7" s="31">
        <v>561666</v>
      </c>
      <c r="AR7" s="31">
        <v>390750.86</v>
      </c>
      <c r="AS7" s="32">
        <v>-0.29390881821467302</v>
      </c>
    </row>
    <row r="8" spans="1:45" ht="15" customHeight="1" x14ac:dyDescent="0.2">
      <c r="A8" s="17" t="s">
        <v>165</v>
      </c>
      <c r="B8" s="18" t="s">
        <v>148</v>
      </c>
      <c r="C8" s="18" t="s">
        <v>149</v>
      </c>
      <c r="D8" s="19" t="s">
        <v>166</v>
      </c>
      <c r="E8" s="19" t="s">
        <v>163</v>
      </c>
      <c r="F8" s="20">
        <v>197</v>
      </c>
      <c r="G8" s="21">
        <v>25</v>
      </c>
      <c r="H8" s="18"/>
      <c r="I8" s="18"/>
      <c r="J8" s="22">
        <v>2045883</v>
      </c>
      <c r="K8" s="22">
        <v>2146708</v>
      </c>
      <c r="L8" s="22">
        <v>1583004.56</v>
      </c>
      <c r="M8" s="22">
        <v>563703.43999999994</v>
      </c>
      <c r="N8" s="23"/>
      <c r="O8" s="22">
        <v>583482.62</v>
      </c>
      <c r="P8" s="20">
        <v>51911</v>
      </c>
      <c r="Q8" s="20">
        <v>54</v>
      </c>
      <c r="R8" s="20">
        <v>48</v>
      </c>
      <c r="S8" s="21">
        <v>11.9796919171523</v>
      </c>
      <c r="T8" s="23">
        <v>0.60966847103696697</v>
      </c>
      <c r="U8" s="21"/>
      <c r="V8" s="24">
        <v>19.733678796401499</v>
      </c>
      <c r="W8" s="24">
        <v>16.920000000000002</v>
      </c>
      <c r="X8" s="25">
        <v>0.86</v>
      </c>
      <c r="Y8" s="23">
        <v>0</v>
      </c>
      <c r="Z8" s="22">
        <v>661468.32999999996</v>
      </c>
      <c r="AA8" s="20">
        <v>0</v>
      </c>
      <c r="AB8" s="19"/>
      <c r="AC8" s="23"/>
      <c r="AD8" s="21">
        <v>263.507614213198</v>
      </c>
      <c r="AE8" s="22">
        <v>2961.8407106599002</v>
      </c>
      <c r="AF8" s="22">
        <v>3357.7072588832498</v>
      </c>
      <c r="AG8" s="22">
        <v>10896.994923857899</v>
      </c>
      <c r="AH8" s="23">
        <v>0.27180344043065002</v>
      </c>
      <c r="AI8" s="23">
        <v>0.30813148784091698</v>
      </c>
      <c r="AJ8" s="20">
        <v>2076.44</v>
      </c>
      <c r="AK8" s="21">
        <v>7.88</v>
      </c>
      <c r="AL8" s="22">
        <v>428030</v>
      </c>
      <c r="AM8" s="22">
        <v>479050</v>
      </c>
      <c r="AN8" s="22">
        <v>583482.62</v>
      </c>
      <c r="AO8" s="23">
        <v>0.36318159942060102</v>
      </c>
      <c r="AP8" s="22">
        <v>841015</v>
      </c>
      <c r="AQ8" s="22">
        <v>866894</v>
      </c>
      <c r="AR8" s="22">
        <v>661468.32999999996</v>
      </c>
      <c r="AS8" s="23">
        <v>-0.213488070961874</v>
      </c>
    </row>
    <row r="9" spans="1:45" ht="15" customHeight="1" x14ac:dyDescent="0.2">
      <c r="A9" s="26" t="s">
        <v>167</v>
      </c>
      <c r="B9" s="27" t="s">
        <v>148</v>
      </c>
      <c r="C9" s="27" t="s">
        <v>149</v>
      </c>
      <c r="D9" s="28" t="s">
        <v>168</v>
      </c>
      <c r="E9" s="28" t="s">
        <v>163</v>
      </c>
      <c r="F9" s="29">
        <v>119</v>
      </c>
      <c r="G9" s="30">
        <v>16</v>
      </c>
      <c r="H9" s="27"/>
      <c r="I9" s="27"/>
      <c r="J9" s="31">
        <v>1365227</v>
      </c>
      <c r="K9" s="31">
        <v>1369989</v>
      </c>
      <c r="L9" s="31">
        <v>856803.39</v>
      </c>
      <c r="M9" s="31">
        <v>513185.61</v>
      </c>
      <c r="N9" s="32"/>
      <c r="O9" s="31">
        <v>292755.75</v>
      </c>
      <c r="P9" s="29">
        <v>29950</v>
      </c>
      <c r="Q9" s="29">
        <v>46</v>
      </c>
      <c r="R9" s="29">
        <v>30</v>
      </c>
      <c r="S9" s="30">
        <v>10.799486528587099</v>
      </c>
      <c r="T9" s="32">
        <v>0.65527545909849805</v>
      </c>
      <c r="U9" s="30"/>
      <c r="V9" s="33">
        <v>19.669532554257099</v>
      </c>
      <c r="W9" s="33">
        <v>14.93</v>
      </c>
      <c r="X9" s="34">
        <v>0.76</v>
      </c>
      <c r="Y9" s="32">
        <v>0</v>
      </c>
      <c r="Z9" s="31">
        <v>378313.74</v>
      </c>
      <c r="AA9" s="29">
        <v>0</v>
      </c>
      <c r="AB9" s="28"/>
      <c r="AC9" s="32"/>
      <c r="AD9" s="30">
        <v>251.68067226890801</v>
      </c>
      <c r="AE9" s="31">
        <v>2460.1323529411802</v>
      </c>
      <c r="AF9" s="31">
        <v>3179.1070588235302</v>
      </c>
      <c r="AG9" s="31">
        <v>11512.512605042</v>
      </c>
      <c r="AH9" s="32">
        <v>0.213692044242691</v>
      </c>
      <c r="AI9" s="32">
        <v>0.27614363327004798</v>
      </c>
      <c r="AJ9" s="29">
        <v>1871.875</v>
      </c>
      <c r="AK9" s="30">
        <v>7.4375</v>
      </c>
      <c r="AL9" s="31">
        <v>267020</v>
      </c>
      <c r="AM9" s="31">
        <v>272340</v>
      </c>
      <c r="AN9" s="31">
        <v>292755.75</v>
      </c>
      <c r="AO9" s="32">
        <v>9.6381357201707707E-2</v>
      </c>
      <c r="AP9" s="31">
        <v>534360</v>
      </c>
      <c r="AQ9" s="31">
        <v>502391</v>
      </c>
      <c r="AR9" s="31">
        <v>378313.74</v>
      </c>
      <c r="AS9" s="32">
        <v>-0.29202459016393401</v>
      </c>
    </row>
    <row r="10" spans="1:45" ht="15" customHeight="1" x14ac:dyDescent="0.2">
      <c r="A10" s="17" t="s">
        <v>169</v>
      </c>
      <c r="B10" s="18" t="s">
        <v>148</v>
      </c>
      <c r="C10" s="18" t="s">
        <v>149</v>
      </c>
      <c r="D10" s="19" t="s">
        <v>170</v>
      </c>
      <c r="E10" s="19" t="s">
        <v>151</v>
      </c>
      <c r="F10" s="20">
        <v>211</v>
      </c>
      <c r="G10" s="21">
        <v>15</v>
      </c>
      <c r="H10" s="18"/>
      <c r="I10" s="18"/>
      <c r="J10" s="22">
        <v>2524038.4900000002</v>
      </c>
      <c r="K10" s="22">
        <v>2305058</v>
      </c>
      <c r="L10" s="22">
        <v>1232269.8</v>
      </c>
      <c r="M10" s="22">
        <v>1072788.2</v>
      </c>
      <c r="N10" s="23"/>
      <c r="O10" s="22">
        <v>440392.94</v>
      </c>
      <c r="P10" s="20">
        <v>47132</v>
      </c>
      <c r="Q10" s="20">
        <v>49</v>
      </c>
      <c r="R10" s="20">
        <v>43</v>
      </c>
      <c r="S10" s="21">
        <v>18.1280409238639</v>
      </c>
      <c r="T10" s="23">
        <v>0.58448081982517197</v>
      </c>
      <c r="U10" s="21"/>
      <c r="V10" s="24">
        <v>19.043887380123898</v>
      </c>
      <c r="W10" s="24">
        <v>14.22</v>
      </c>
      <c r="X10" s="25">
        <v>0.75</v>
      </c>
      <c r="Y10" s="23">
        <v>0</v>
      </c>
      <c r="Z10" s="22">
        <v>556906.77</v>
      </c>
      <c r="AA10" s="20">
        <v>0</v>
      </c>
      <c r="AB10" s="19"/>
      <c r="AC10" s="23"/>
      <c r="AD10" s="21">
        <v>223.37440758293801</v>
      </c>
      <c r="AE10" s="22">
        <v>2087.1703317535498</v>
      </c>
      <c r="AF10" s="22">
        <v>2639.3685781990498</v>
      </c>
      <c r="AG10" s="22">
        <v>10924.4454976303</v>
      </c>
      <c r="AH10" s="23">
        <v>0.19105503635917201</v>
      </c>
      <c r="AI10" s="23">
        <v>0.24160206380923999</v>
      </c>
      <c r="AJ10" s="20">
        <v>3142.13333333333</v>
      </c>
      <c r="AK10" s="21">
        <v>14.0666666666667</v>
      </c>
      <c r="AL10" s="22">
        <v>463275</v>
      </c>
      <c r="AM10" s="22">
        <v>468235</v>
      </c>
      <c r="AN10" s="22">
        <v>440392.94</v>
      </c>
      <c r="AO10" s="23">
        <v>-4.9391959419351497E-2</v>
      </c>
      <c r="AP10" s="22">
        <v>776247</v>
      </c>
      <c r="AQ10" s="22">
        <v>722677</v>
      </c>
      <c r="AR10" s="22">
        <v>556906.77</v>
      </c>
      <c r="AS10" s="23">
        <v>-0.28256499542027202</v>
      </c>
    </row>
    <row r="11" spans="1:45" ht="15" customHeight="1" x14ac:dyDescent="0.2">
      <c r="A11" s="26" t="s">
        <v>171</v>
      </c>
      <c r="B11" s="27" t="s">
        <v>148</v>
      </c>
      <c r="C11" s="27" t="s">
        <v>149</v>
      </c>
      <c r="D11" s="28" t="s">
        <v>172</v>
      </c>
      <c r="E11" s="28" t="s">
        <v>163</v>
      </c>
      <c r="F11" s="29">
        <v>211</v>
      </c>
      <c r="G11" s="30">
        <v>22</v>
      </c>
      <c r="H11" s="27"/>
      <c r="I11" s="27"/>
      <c r="J11" s="31"/>
      <c r="K11" s="31">
        <v>2877218.6</v>
      </c>
      <c r="L11" s="31">
        <v>1524058.73</v>
      </c>
      <c r="M11" s="31">
        <v>1353159.87</v>
      </c>
      <c r="N11" s="32"/>
      <c r="O11" s="31">
        <v>550832.62</v>
      </c>
      <c r="P11" s="29">
        <v>52897</v>
      </c>
      <c r="Q11" s="29">
        <v>57</v>
      </c>
      <c r="R11" s="29">
        <v>43</v>
      </c>
      <c r="S11" s="30">
        <v>13.8718576755847</v>
      </c>
      <c r="T11" s="32">
        <v>0.62633041571355696</v>
      </c>
      <c r="U11" s="30"/>
      <c r="V11" s="33">
        <v>20.586762954420902</v>
      </c>
      <c r="W11" s="33">
        <v>15.19</v>
      </c>
      <c r="X11" s="34">
        <v>0.74</v>
      </c>
      <c r="Y11" s="32">
        <v>0</v>
      </c>
      <c r="Z11" s="31">
        <v>660548.93000000005</v>
      </c>
      <c r="AA11" s="29">
        <v>0</v>
      </c>
      <c r="AB11" s="28"/>
      <c r="AC11" s="32"/>
      <c r="AD11" s="30">
        <v>250.69668246445499</v>
      </c>
      <c r="AE11" s="31">
        <v>2610.5811374407599</v>
      </c>
      <c r="AF11" s="31">
        <v>3130.5636492890999</v>
      </c>
      <c r="AG11" s="31">
        <v>13636.107109004701</v>
      </c>
      <c r="AH11" s="32">
        <v>0.19144621823312299</v>
      </c>
      <c r="AI11" s="32">
        <v>0.22957898645587799</v>
      </c>
      <c r="AJ11" s="29">
        <v>2404.4090909090901</v>
      </c>
      <c r="AK11" s="30">
        <v>9.5909090909090899</v>
      </c>
      <c r="AL11" s="31">
        <v>592300</v>
      </c>
      <c r="AM11" s="31">
        <v>630261</v>
      </c>
      <c r="AN11" s="31">
        <v>550832.62</v>
      </c>
      <c r="AO11" s="32">
        <v>-7.0010771568461902E-2</v>
      </c>
      <c r="AP11" s="31">
        <v>941700</v>
      </c>
      <c r="AQ11" s="31">
        <v>974017</v>
      </c>
      <c r="AR11" s="31">
        <v>660548.93000000005</v>
      </c>
      <c r="AS11" s="32">
        <v>-0.29855693957736001</v>
      </c>
    </row>
    <row r="12" spans="1:45" ht="15" customHeight="1" x14ac:dyDescent="0.2">
      <c r="A12" s="17" t="s">
        <v>173</v>
      </c>
      <c r="B12" s="18" t="s">
        <v>148</v>
      </c>
      <c r="C12" s="18" t="s">
        <v>149</v>
      </c>
      <c r="D12" s="19" t="s">
        <v>174</v>
      </c>
      <c r="E12" s="19" t="s">
        <v>151</v>
      </c>
      <c r="F12" s="20">
        <v>256</v>
      </c>
      <c r="G12" s="21">
        <v>22</v>
      </c>
      <c r="H12" s="18"/>
      <c r="I12" s="18"/>
      <c r="J12" s="22"/>
      <c r="K12" s="22">
        <v>3119000</v>
      </c>
      <c r="L12" s="22">
        <v>1934503.21</v>
      </c>
      <c r="M12" s="22">
        <v>1184496.79</v>
      </c>
      <c r="N12" s="23"/>
      <c r="O12" s="22">
        <v>766929.01</v>
      </c>
      <c r="P12" s="20">
        <v>76015</v>
      </c>
      <c r="Q12" s="20">
        <v>58</v>
      </c>
      <c r="R12" s="20">
        <v>52</v>
      </c>
      <c r="S12" s="21">
        <v>19.9343868500968</v>
      </c>
      <c r="T12" s="23">
        <v>0.64076826942050902</v>
      </c>
      <c r="U12" s="21"/>
      <c r="V12" s="24">
        <v>19.6157600473591</v>
      </c>
      <c r="W12" s="24">
        <v>15.33</v>
      </c>
      <c r="X12" s="25">
        <v>0.78</v>
      </c>
      <c r="Y12" s="23">
        <v>0</v>
      </c>
      <c r="Z12" s="22">
        <v>735694.62</v>
      </c>
      <c r="AA12" s="20">
        <v>0</v>
      </c>
      <c r="AB12" s="19"/>
      <c r="AC12" s="23"/>
      <c r="AD12" s="21">
        <v>296.93359375</v>
      </c>
      <c r="AE12" s="22">
        <v>2995.8164453125</v>
      </c>
      <c r="AF12" s="22">
        <v>2873.807109375</v>
      </c>
      <c r="AG12" s="22">
        <v>12183.59375</v>
      </c>
      <c r="AH12" s="23">
        <v>0.24588939083039399</v>
      </c>
      <c r="AI12" s="23">
        <v>0.23587515870471301</v>
      </c>
      <c r="AJ12" s="20">
        <v>3455.2272727272698</v>
      </c>
      <c r="AK12" s="21">
        <v>11.636363636363599</v>
      </c>
      <c r="AL12" s="22">
        <v>680013</v>
      </c>
      <c r="AM12" s="22">
        <v>593974</v>
      </c>
      <c r="AN12" s="22">
        <v>766929.01</v>
      </c>
      <c r="AO12" s="23">
        <v>0.127815218238475</v>
      </c>
      <c r="AP12" s="22">
        <v>1099380</v>
      </c>
      <c r="AQ12" s="22">
        <v>997196</v>
      </c>
      <c r="AR12" s="22">
        <v>735694.62</v>
      </c>
      <c r="AS12" s="23">
        <v>-0.33080952900725902</v>
      </c>
    </row>
    <row r="13" spans="1:45" ht="15" customHeight="1" x14ac:dyDescent="0.2">
      <c r="A13" s="26" t="s">
        <v>175</v>
      </c>
      <c r="B13" s="27" t="s">
        <v>148</v>
      </c>
      <c r="C13" s="27" t="s">
        <v>149</v>
      </c>
      <c r="D13" s="28" t="s">
        <v>176</v>
      </c>
      <c r="E13" s="28" t="s">
        <v>163</v>
      </c>
      <c r="F13" s="29">
        <v>136</v>
      </c>
      <c r="G13" s="30">
        <v>19</v>
      </c>
      <c r="H13" s="27"/>
      <c r="I13" s="27"/>
      <c r="J13" s="31"/>
      <c r="K13" s="31">
        <v>1581818</v>
      </c>
      <c r="L13" s="31">
        <v>1133076.79</v>
      </c>
      <c r="M13" s="31">
        <v>448741.21</v>
      </c>
      <c r="N13" s="32"/>
      <c r="O13" s="31">
        <v>429422.78</v>
      </c>
      <c r="P13" s="29">
        <v>41555</v>
      </c>
      <c r="Q13" s="29">
        <v>41</v>
      </c>
      <c r="R13" s="29">
        <v>35</v>
      </c>
      <c r="S13" s="30">
        <v>12.618157636634701</v>
      </c>
      <c r="T13" s="32">
        <v>0.64282276501022695</v>
      </c>
      <c r="U13" s="30"/>
      <c r="V13" s="33">
        <v>22.059655877752402</v>
      </c>
      <c r="W13" s="33">
        <v>15.46</v>
      </c>
      <c r="X13" s="34">
        <v>0.7</v>
      </c>
      <c r="Y13" s="32">
        <v>0</v>
      </c>
      <c r="Z13" s="31">
        <v>423924.46</v>
      </c>
      <c r="AA13" s="29">
        <v>0</v>
      </c>
      <c r="AB13" s="28"/>
      <c r="AC13" s="32"/>
      <c r="AD13" s="30">
        <v>305.55147058823502</v>
      </c>
      <c r="AE13" s="31">
        <v>3157.5204411764698</v>
      </c>
      <c r="AF13" s="31">
        <v>3117.09161764706</v>
      </c>
      <c r="AG13" s="31">
        <v>11631.0147058824</v>
      </c>
      <c r="AH13" s="32">
        <v>0.27147420246829901</v>
      </c>
      <c r="AI13" s="32">
        <v>0.26799825264347699</v>
      </c>
      <c r="AJ13" s="29">
        <v>2187.1052631579</v>
      </c>
      <c r="AK13" s="30">
        <v>7.1578947368421098</v>
      </c>
      <c r="AL13" s="31">
        <v>370930</v>
      </c>
      <c r="AM13" s="31">
        <v>387079</v>
      </c>
      <c r="AN13" s="31">
        <v>429422.78</v>
      </c>
      <c r="AO13" s="32">
        <v>0.15769223303588301</v>
      </c>
      <c r="AP13" s="31">
        <v>512085</v>
      </c>
      <c r="AQ13" s="31">
        <v>494749</v>
      </c>
      <c r="AR13" s="31">
        <v>423924.46</v>
      </c>
      <c r="AS13" s="32">
        <v>-0.172159973441909</v>
      </c>
    </row>
    <row r="14" spans="1:45" ht="15" customHeight="1" x14ac:dyDescent="0.2">
      <c r="A14" s="17" t="s">
        <v>177</v>
      </c>
      <c r="B14" s="18" t="s">
        <v>148</v>
      </c>
      <c r="C14" s="18" t="s">
        <v>149</v>
      </c>
      <c r="D14" s="19" t="s">
        <v>178</v>
      </c>
      <c r="E14" s="19" t="s">
        <v>163</v>
      </c>
      <c r="F14" s="20">
        <v>18</v>
      </c>
      <c r="G14" s="21">
        <v>11</v>
      </c>
      <c r="H14" s="18"/>
      <c r="I14" s="18"/>
      <c r="J14" s="22">
        <v>242637</v>
      </c>
      <c r="K14" s="22">
        <v>242637</v>
      </c>
      <c r="L14" s="22">
        <v>155475.37</v>
      </c>
      <c r="M14" s="22">
        <v>87161.63</v>
      </c>
      <c r="N14" s="23"/>
      <c r="O14" s="22">
        <v>57917.75</v>
      </c>
      <c r="P14" s="20">
        <v>3952</v>
      </c>
      <c r="Q14" s="20">
        <v>21</v>
      </c>
      <c r="R14" s="20">
        <v>10</v>
      </c>
      <c r="S14" s="21">
        <v>2.0727671336336901</v>
      </c>
      <c r="T14" s="23">
        <v>0.78643724696356299</v>
      </c>
      <c r="U14" s="21"/>
      <c r="V14" s="24">
        <v>21.979504048582999</v>
      </c>
      <c r="W14" s="24">
        <v>22.11</v>
      </c>
      <c r="X14" s="25">
        <v>1.01</v>
      </c>
      <c r="Y14" s="23">
        <v>0</v>
      </c>
      <c r="Z14" s="22">
        <v>60804.36</v>
      </c>
      <c r="AA14" s="20">
        <v>0</v>
      </c>
      <c r="AB14" s="19"/>
      <c r="AC14" s="23"/>
      <c r="AD14" s="21">
        <v>219.555555555556</v>
      </c>
      <c r="AE14" s="22">
        <v>3217.6527777777801</v>
      </c>
      <c r="AF14" s="22">
        <v>3378.02</v>
      </c>
      <c r="AG14" s="22">
        <v>13479.833333333299</v>
      </c>
      <c r="AH14" s="23">
        <v>0.23870122858426401</v>
      </c>
      <c r="AI14" s="23">
        <v>0.25059805388296102</v>
      </c>
      <c r="AJ14" s="20">
        <v>359.27272727272702</v>
      </c>
      <c r="AK14" s="21">
        <v>1.63636363636364</v>
      </c>
      <c r="AL14" s="22">
        <v>51190</v>
      </c>
      <c r="AM14" s="22">
        <v>52240</v>
      </c>
      <c r="AN14" s="22">
        <v>57917.75</v>
      </c>
      <c r="AO14" s="23">
        <v>0.131427036530572</v>
      </c>
      <c r="AP14" s="22">
        <v>82480</v>
      </c>
      <c r="AQ14" s="22">
        <v>89109</v>
      </c>
      <c r="AR14" s="22">
        <v>60804.36</v>
      </c>
      <c r="AS14" s="23">
        <v>-0.26279873908826401</v>
      </c>
    </row>
    <row r="15" spans="1:45" ht="15" customHeight="1" x14ac:dyDescent="0.2">
      <c r="A15" s="26" t="s">
        <v>179</v>
      </c>
      <c r="B15" s="27" t="s">
        <v>148</v>
      </c>
      <c r="C15" s="27" t="s">
        <v>180</v>
      </c>
      <c r="D15" s="28" t="s">
        <v>181</v>
      </c>
      <c r="E15" s="28" t="s">
        <v>156</v>
      </c>
      <c r="F15" s="29">
        <v>209</v>
      </c>
      <c r="G15" s="30">
        <v>22.9</v>
      </c>
      <c r="H15" s="27" t="s">
        <v>182</v>
      </c>
      <c r="I15" s="27" t="s">
        <v>183</v>
      </c>
      <c r="J15" s="31">
        <v>2771369</v>
      </c>
      <c r="K15" s="31">
        <v>2771369</v>
      </c>
      <c r="L15" s="31">
        <v>1873341.4399999999</v>
      </c>
      <c r="M15" s="31">
        <v>898027.56</v>
      </c>
      <c r="N15" s="32">
        <v>0.324037528023154</v>
      </c>
      <c r="O15" s="31">
        <v>702744.35</v>
      </c>
      <c r="P15" s="29">
        <v>33107</v>
      </c>
      <c r="Q15" s="29">
        <v>52</v>
      </c>
      <c r="R15" s="29">
        <v>47</v>
      </c>
      <c r="S15" s="30">
        <v>8.3408557319417707</v>
      </c>
      <c r="T15" s="32">
        <v>0.24391641286976501</v>
      </c>
      <c r="U15" s="30">
        <v>24.653846153846199</v>
      </c>
      <c r="V15" s="33">
        <v>21.4920091668426</v>
      </c>
      <c r="W15" s="33">
        <v>32.301236898541099</v>
      </c>
      <c r="X15" s="34">
        <v>1.5029417048814</v>
      </c>
      <c r="Y15" s="32">
        <v>1.20820370314435E-3</v>
      </c>
      <c r="Z15" s="31">
        <v>725504.82</v>
      </c>
      <c r="AA15" s="29">
        <v>31</v>
      </c>
      <c r="AB15" s="28" t="s">
        <v>184</v>
      </c>
      <c r="AC15" s="32">
        <v>0.26276510471701597</v>
      </c>
      <c r="AD15" s="30">
        <v>158.406698564593</v>
      </c>
      <c r="AE15" s="31">
        <v>3362.4131578947399</v>
      </c>
      <c r="AF15" s="31">
        <v>3471.3149282296699</v>
      </c>
      <c r="AG15" s="31">
        <v>13260.138755980901</v>
      </c>
      <c r="AH15" s="32">
        <v>0.25357299948148398</v>
      </c>
      <c r="AI15" s="32">
        <v>0.26178571673422102</v>
      </c>
      <c r="AJ15" s="29">
        <v>1445.7205240174701</v>
      </c>
      <c r="AK15" s="30">
        <v>9.1266375545851499</v>
      </c>
      <c r="AL15" s="31">
        <v>505870</v>
      </c>
      <c r="AM15" s="31">
        <v>609147</v>
      </c>
      <c r="AN15" s="31">
        <v>702744.35</v>
      </c>
      <c r="AO15" s="32">
        <v>0.38917972997015099</v>
      </c>
      <c r="AP15" s="31">
        <v>900375</v>
      </c>
      <c r="AQ15" s="31">
        <v>982300</v>
      </c>
      <c r="AR15" s="31">
        <v>725504.82</v>
      </c>
      <c r="AS15" s="32">
        <v>-0.19421927530195801</v>
      </c>
    </row>
    <row r="16" spans="1:45" ht="15" customHeight="1" x14ac:dyDescent="0.2">
      <c r="A16" s="17" t="s">
        <v>185</v>
      </c>
      <c r="B16" s="18" t="s">
        <v>148</v>
      </c>
      <c r="C16" s="18" t="s">
        <v>180</v>
      </c>
      <c r="D16" s="19" t="s">
        <v>186</v>
      </c>
      <c r="E16" s="19" t="s">
        <v>151</v>
      </c>
      <c r="F16" s="20">
        <v>117</v>
      </c>
      <c r="G16" s="21">
        <v>15.1</v>
      </c>
      <c r="H16" s="18" t="s">
        <v>187</v>
      </c>
      <c r="I16" s="18" t="s">
        <v>188</v>
      </c>
      <c r="J16" s="22">
        <v>1811843</v>
      </c>
      <c r="K16" s="22">
        <v>1811843</v>
      </c>
      <c r="L16" s="22">
        <v>925434.96</v>
      </c>
      <c r="M16" s="22">
        <v>886408.04</v>
      </c>
      <c r="N16" s="23">
        <v>0.489230049181965</v>
      </c>
      <c r="O16" s="22">
        <v>379757.5</v>
      </c>
      <c r="P16" s="20">
        <v>17098</v>
      </c>
      <c r="Q16" s="20">
        <v>40</v>
      </c>
      <c r="R16" s="20">
        <v>28</v>
      </c>
      <c r="S16" s="21">
        <v>6.5327287878307398</v>
      </c>
      <c r="T16" s="23">
        <v>0.374362581325831</v>
      </c>
      <c r="U16" s="21">
        <v>17.850000000000001</v>
      </c>
      <c r="V16" s="24">
        <v>22.244241251978199</v>
      </c>
      <c r="W16" s="24">
        <v>33.716968066440501</v>
      </c>
      <c r="X16" s="25">
        <v>1.51576166093964</v>
      </c>
      <c r="Y16" s="23">
        <v>2.16399578898117E-3</v>
      </c>
      <c r="Z16" s="22">
        <v>336538.34</v>
      </c>
      <c r="AA16" s="20">
        <v>23</v>
      </c>
      <c r="AB16" s="19" t="s">
        <v>189</v>
      </c>
      <c r="AC16" s="23">
        <v>0.30330122267792697</v>
      </c>
      <c r="AD16" s="21">
        <v>146.13675213675199</v>
      </c>
      <c r="AE16" s="22">
        <v>3245.7905982906</v>
      </c>
      <c r="AF16" s="22">
        <v>2876.3960683760702</v>
      </c>
      <c r="AG16" s="22">
        <v>15485.8376068376</v>
      </c>
      <c r="AH16" s="23">
        <v>0.20959735473769001</v>
      </c>
      <c r="AI16" s="23">
        <v>0.18574365438948101</v>
      </c>
      <c r="AJ16" s="20">
        <v>1132.3178807946999</v>
      </c>
      <c r="AK16" s="21">
        <v>7.7483443708609299</v>
      </c>
      <c r="AL16" s="22">
        <v>399300</v>
      </c>
      <c r="AM16" s="22">
        <v>414758</v>
      </c>
      <c r="AN16" s="22">
        <v>379757.5</v>
      </c>
      <c r="AO16" s="23">
        <v>-4.8941898322063603E-2</v>
      </c>
      <c r="AP16" s="22">
        <v>574700</v>
      </c>
      <c r="AQ16" s="22">
        <v>587857</v>
      </c>
      <c r="AR16" s="22">
        <v>336538.34</v>
      </c>
      <c r="AS16" s="23">
        <v>-0.41441040542891899</v>
      </c>
    </row>
    <row r="17" spans="1:45" ht="15" customHeight="1" x14ac:dyDescent="0.2">
      <c r="A17" s="26" t="s">
        <v>190</v>
      </c>
      <c r="B17" s="27" t="s">
        <v>148</v>
      </c>
      <c r="C17" s="27" t="s">
        <v>180</v>
      </c>
      <c r="D17" s="28" t="s">
        <v>191</v>
      </c>
      <c r="E17" s="28" t="s">
        <v>163</v>
      </c>
      <c r="F17" s="29">
        <v>75</v>
      </c>
      <c r="G17" s="30">
        <v>17.8</v>
      </c>
      <c r="H17" s="27" t="s">
        <v>192</v>
      </c>
      <c r="I17" s="27" t="s">
        <v>193</v>
      </c>
      <c r="J17" s="31">
        <v>1208338</v>
      </c>
      <c r="K17" s="31">
        <v>1208338</v>
      </c>
      <c r="L17" s="31">
        <v>746934.31</v>
      </c>
      <c r="M17" s="31">
        <v>461403.69</v>
      </c>
      <c r="N17" s="32">
        <v>0.38184985492469797</v>
      </c>
      <c r="O17" s="31">
        <v>287298.5</v>
      </c>
      <c r="P17" s="29">
        <v>11488.5</v>
      </c>
      <c r="Q17" s="29">
        <v>36</v>
      </c>
      <c r="R17" s="29">
        <v>27</v>
      </c>
      <c r="S17" s="30">
        <v>3.7236563105902398</v>
      </c>
      <c r="T17" s="32">
        <v>0.40773771605724701</v>
      </c>
      <c r="U17" s="30">
        <v>14.4722222222222</v>
      </c>
      <c r="V17" s="33">
        <v>24.397417930097301</v>
      </c>
      <c r="W17" s="33">
        <v>38.0012603908256</v>
      </c>
      <c r="X17" s="34">
        <v>1.55759353304131</v>
      </c>
      <c r="Y17" s="32">
        <v>8.7043565304434895E-5</v>
      </c>
      <c r="Z17" s="31">
        <v>263607.67</v>
      </c>
      <c r="AA17" s="29">
        <v>23</v>
      </c>
      <c r="AB17" s="28" t="s">
        <v>194</v>
      </c>
      <c r="AC17" s="32">
        <v>0.29775738315960198</v>
      </c>
      <c r="AD17" s="30">
        <v>153.18</v>
      </c>
      <c r="AE17" s="31">
        <v>3830.6466666666702</v>
      </c>
      <c r="AF17" s="31">
        <v>3514.7689333333301</v>
      </c>
      <c r="AG17" s="31">
        <v>16111.1733333333</v>
      </c>
      <c r="AH17" s="32">
        <v>0.237763357603584</v>
      </c>
      <c r="AI17" s="32">
        <v>0.21815722918587399</v>
      </c>
      <c r="AJ17" s="29">
        <v>645.42134831460703</v>
      </c>
      <c r="AK17" s="30">
        <v>4.2134831460674196</v>
      </c>
      <c r="AL17" s="31">
        <v>268960</v>
      </c>
      <c r="AM17" s="31">
        <v>275655.5</v>
      </c>
      <c r="AN17" s="31">
        <v>287298.5</v>
      </c>
      <c r="AO17" s="32">
        <v>6.8183001189768E-2</v>
      </c>
      <c r="AP17" s="31">
        <v>369935</v>
      </c>
      <c r="AQ17" s="31">
        <v>376656.5</v>
      </c>
      <c r="AR17" s="31">
        <v>263607.67</v>
      </c>
      <c r="AS17" s="32">
        <v>-0.287421655155636</v>
      </c>
    </row>
    <row r="18" spans="1:45" ht="15" customHeight="1" x14ac:dyDescent="0.2">
      <c r="A18" s="17" t="s">
        <v>195</v>
      </c>
      <c r="B18" s="18" t="s">
        <v>148</v>
      </c>
      <c r="C18" s="18" t="s">
        <v>180</v>
      </c>
      <c r="D18" s="19" t="s">
        <v>196</v>
      </c>
      <c r="E18" s="19" t="s">
        <v>197</v>
      </c>
      <c r="F18" s="20">
        <v>49</v>
      </c>
      <c r="G18" s="21">
        <v>16.100000000000001</v>
      </c>
      <c r="H18" s="18" t="s">
        <v>198</v>
      </c>
      <c r="I18" s="18" t="s">
        <v>199</v>
      </c>
      <c r="J18" s="22">
        <v>830667</v>
      </c>
      <c r="K18" s="22">
        <v>830667</v>
      </c>
      <c r="L18" s="22">
        <v>547967.06000000006</v>
      </c>
      <c r="M18" s="22">
        <v>282699.94</v>
      </c>
      <c r="N18" s="23">
        <v>0.34032884416980602</v>
      </c>
      <c r="O18" s="22">
        <v>210715.5</v>
      </c>
      <c r="P18" s="20">
        <v>8541.5</v>
      </c>
      <c r="Q18" s="20">
        <v>25</v>
      </c>
      <c r="R18" s="20">
        <v>16</v>
      </c>
      <c r="S18" s="21">
        <v>3.0607970363500798</v>
      </c>
      <c r="T18" s="23">
        <v>0.71936437974830403</v>
      </c>
      <c r="U18" s="21">
        <v>16.239999999999998</v>
      </c>
      <c r="V18" s="24">
        <v>24.440700574146</v>
      </c>
      <c r="W18" s="24">
        <v>37.489771117485198</v>
      </c>
      <c r="X18" s="25">
        <v>1.53390738550035</v>
      </c>
      <c r="Y18" s="23">
        <v>0</v>
      </c>
      <c r="Z18" s="22">
        <v>194870.36</v>
      </c>
      <c r="AA18" s="20">
        <v>13</v>
      </c>
      <c r="AB18" s="19" t="s">
        <v>200</v>
      </c>
      <c r="AC18" s="23">
        <v>0.25483208426360998</v>
      </c>
      <c r="AD18" s="21">
        <v>174.316326530612</v>
      </c>
      <c r="AE18" s="22">
        <v>4300.3163265306102</v>
      </c>
      <c r="AF18" s="22">
        <v>3976.9461224489801</v>
      </c>
      <c r="AG18" s="22">
        <v>16952.387755102001</v>
      </c>
      <c r="AH18" s="23">
        <v>0.25367024331049598</v>
      </c>
      <c r="AI18" s="23">
        <v>0.23459504229733499</v>
      </c>
      <c r="AJ18" s="20">
        <v>530.52795031055905</v>
      </c>
      <c r="AK18" s="21">
        <v>3.0434782608695699</v>
      </c>
      <c r="AL18" s="22">
        <v>191780</v>
      </c>
      <c r="AM18" s="22">
        <v>191921</v>
      </c>
      <c r="AN18" s="22">
        <v>210715.5</v>
      </c>
      <c r="AO18" s="23">
        <v>9.8735530295129798E-2</v>
      </c>
      <c r="AP18" s="22">
        <v>261100</v>
      </c>
      <c r="AQ18" s="22">
        <v>265270</v>
      </c>
      <c r="AR18" s="22">
        <v>194870.36</v>
      </c>
      <c r="AS18" s="23">
        <v>-0.25365622366909302</v>
      </c>
    </row>
    <row r="19" spans="1:45" ht="15" customHeight="1" x14ac:dyDescent="0.2">
      <c r="A19" s="26" t="s">
        <v>201</v>
      </c>
      <c r="B19" s="27" t="s">
        <v>148</v>
      </c>
      <c r="C19" s="27" t="s">
        <v>180</v>
      </c>
      <c r="D19" s="28" t="s">
        <v>202</v>
      </c>
      <c r="E19" s="28" t="s">
        <v>163</v>
      </c>
      <c r="F19" s="29">
        <v>170</v>
      </c>
      <c r="G19" s="30">
        <v>18.899999999999999</v>
      </c>
      <c r="H19" s="27" t="s">
        <v>192</v>
      </c>
      <c r="I19" s="27" t="s">
        <v>203</v>
      </c>
      <c r="J19" s="31">
        <v>2275444</v>
      </c>
      <c r="K19" s="31">
        <v>2275444</v>
      </c>
      <c r="L19" s="31">
        <v>1353483.06</v>
      </c>
      <c r="M19" s="31">
        <v>921960.94</v>
      </c>
      <c r="N19" s="32">
        <v>0.405178479452801</v>
      </c>
      <c r="O19" s="31">
        <v>491249.77</v>
      </c>
      <c r="P19" s="29">
        <v>21014</v>
      </c>
      <c r="Q19" s="29">
        <v>43</v>
      </c>
      <c r="R19" s="29">
        <v>36</v>
      </c>
      <c r="S19" s="30">
        <v>6.4146532732467101</v>
      </c>
      <c r="T19" s="32">
        <v>0.37431733256682997</v>
      </c>
      <c r="U19" s="30">
        <v>18.930232558139501</v>
      </c>
      <c r="V19" s="33">
        <v>23.138425792852399</v>
      </c>
      <c r="W19" s="33">
        <v>34.123865042352698</v>
      </c>
      <c r="X19" s="34">
        <v>1.4747703818681499</v>
      </c>
      <c r="Y19" s="32">
        <v>1.2229941943466299E-2</v>
      </c>
      <c r="Z19" s="31">
        <v>548337.59</v>
      </c>
      <c r="AA19" s="29">
        <v>26</v>
      </c>
      <c r="AB19" s="28" t="s">
        <v>204</v>
      </c>
      <c r="AC19" s="32">
        <v>0.237420436559894</v>
      </c>
      <c r="AD19" s="30">
        <v>123.611764705882</v>
      </c>
      <c r="AE19" s="31">
        <v>2889.7045294117702</v>
      </c>
      <c r="AF19" s="31">
        <v>3225.51523529412</v>
      </c>
      <c r="AG19" s="31">
        <v>13384.964705882399</v>
      </c>
      <c r="AH19" s="32">
        <v>0.21589183034168299</v>
      </c>
      <c r="AI19" s="32">
        <v>0.240980481172026</v>
      </c>
      <c r="AJ19" s="29">
        <v>1111.8518518518499</v>
      </c>
      <c r="AK19" s="30">
        <v>8.9947089947090006</v>
      </c>
      <c r="AL19" s="31">
        <v>557925</v>
      </c>
      <c r="AM19" s="31">
        <v>559702</v>
      </c>
      <c r="AN19" s="31">
        <v>491249.77</v>
      </c>
      <c r="AO19" s="32">
        <v>-0.119505722095264</v>
      </c>
      <c r="AP19" s="31">
        <v>686465</v>
      </c>
      <c r="AQ19" s="31">
        <v>696496</v>
      </c>
      <c r="AR19" s="31">
        <v>548337.59</v>
      </c>
      <c r="AS19" s="32">
        <v>-0.20121551717858899</v>
      </c>
    </row>
    <row r="20" spans="1:45" ht="15" customHeight="1" x14ac:dyDescent="0.2">
      <c r="A20" s="17" t="s">
        <v>205</v>
      </c>
      <c r="B20" s="18" t="s">
        <v>148</v>
      </c>
      <c r="C20" s="18" t="s">
        <v>180</v>
      </c>
      <c r="D20" s="19" t="s">
        <v>206</v>
      </c>
      <c r="E20" s="19" t="s">
        <v>163</v>
      </c>
      <c r="F20" s="20">
        <v>296</v>
      </c>
      <c r="G20" s="21">
        <v>12.4</v>
      </c>
      <c r="H20" s="18" t="s">
        <v>207</v>
      </c>
      <c r="I20" s="18" t="s">
        <v>208</v>
      </c>
      <c r="J20" s="22">
        <v>2684887</v>
      </c>
      <c r="K20" s="22">
        <v>2684887</v>
      </c>
      <c r="L20" s="22">
        <v>1371278.1</v>
      </c>
      <c r="M20" s="22">
        <v>1313608.8999999999</v>
      </c>
      <c r="N20" s="23">
        <v>0.48926040462782999</v>
      </c>
      <c r="O20" s="22">
        <v>567651.09</v>
      </c>
      <c r="P20" s="20">
        <v>24097</v>
      </c>
      <c r="Q20" s="20">
        <v>45</v>
      </c>
      <c r="R20" s="20">
        <v>41</v>
      </c>
      <c r="S20" s="21">
        <v>11.211598982362601</v>
      </c>
      <c r="T20" s="23">
        <v>0.25310470779220801</v>
      </c>
      <c r="U20" s="21">
        <v>19.088888888888899</v>
      </c>
      <c r="V20" s="24">
        <v>23.148518668831201</v>
      </c>
      <c r="W20" s="24">
        <v>35.839110677677702</v>
      </c>
      <c r="X20" s="25">
        <v>1.5482247996254801</v>
      </c>
      <c r="Y20" s="23">
        <v>0</v>
      </c>
      <c r="Z20" s="22">
        <v>458753.13</v>
      </c>
      <c r="AA20" s="20">
        <v>21</v>
      </c>
      <c r="AB20" s="19" t="s">
        <v>209</v>
      </c>
      <c r="AC20" s="23">
        <v>0.29151761863728298</v>
      </c>
      <c r="AD20" s="21">
        <v>81.408783783783804</v>
      </c>
      <c r="AE20" s="22">
        <v>1917.7401689189201</v>
      </c>
      <c r="AF20" s="22">
        <v>1549.8416554054099</v>
      </c>
      <c r="AG20" s="22">
        <v>9070.5641891891901</v>
      </c>
      <c r="AH20" s="23">
        <v>0.211424573920616</v>
      </c>
      <c r="AI20" s="23">
        <v>0.17086496750142599</v>
      </c>
      <c r="AJ20" s="20">
        <v>1943.3064516129</v>
      </c>
      <c r="AK20" s="21">
        <v>23.870967741935502</v>
      </c>
      <c r="AL20" s="22">
        <v>812960</v>
      </c>
      <c r="AM20" s="22">
        <v>707526.5</v>
      </c>
      <c r="AN20" s="22">
        <v>567651.09</v>
      </c>
      <c r="AO20" s="23">
        <v>-0.30174782277110801</v>
      </c>
      <c r="AP20" s="22">
        <v>826455</v>
      </c>
      <c r="AQ20" s="22">
        <v>694434</v>
      </c>
      <c r="AR20" s="22">
        <v>458753.13</v>
      </c>
      <c r="AS20" s="23">
        <v>-0.44491456885129899</v>
      </c>
    </row>
    <row r="21" spans="1:45" ht="15" customHeight="1" x14ac:dyDescent="0.2">
      <c r="A21" s="26" t="s">
        <v>210</v>
      </c>
      <c r="B21" s="27" t="s">
        <v>148</v>
      </c>
      <c r="C21" s="27" t="s">
        <v>180</v>
      </c>
      <c r="D21" s="28" t="s">
        <v>211</v>
      </c>
      <c r="E21" s="28" t="s">
        <v>163</v>
      </c>
      <c r="F21" s="29">
        <v>83</v>
      </c>
      <c r="G21" s="30">
        <v>14</v>
      </c>
      <c r="H21" s="27" t="s">
        <v>212</v>
      </c>
      <c r="I21" s="27" t="s">
        <v>203</v>
      </c>
      <c r="J21" s="31">
        <v>1123747</v>
      </c>
      <c r="K21" s="31">
        <v>1123747</v>
      </c>
      <c r="L21" s="31">
        <v>563588.99</v>
      </c>
      <c r="M21" s="31">
        <v>560158.01</v>
      </c>
      <c r="N21" s="32">
        <v>0.49847341972881798</v>
      </c>
      <c r="O21" s="31">
        <v>188045.5</v>
      </c>
      <c r="P21" s="29">
        <v>7596</v>
      </c>
      <c r="Q21" s="29">
        <v>21</v>
      </c>
      <c r="R21" s="29">
        <v>12</v>
      </c>
      <c r="S21" s="30">
        <v>3.1302799779116599</v>
      </c>
      <c r="T21" s="32">
        <v>0.69982914969115495</v>
      </c>
      <c r="U21" s="30">
        <v>17.761904761904798</v>
      </c>
      <c r="V21" s="33">
        <v>24.713562886056</v>
      </c>
      <c r="W21" s="33">
        <v>37.628709847288</v>
      </c>
      <c r="X21" s="34">
        <v>1.5225934852363601</v>
      </c>
      <c r="Y21" s="32">
        <v>0</v>
      </c>
      <c r="Z21" s="31">
        <v>242874.9</v>
      </c>
      <c r="AA21" s="29">
        <v>13</v>
      </c>
      <c r="AB21" s="28" t="s">
        <v>213</v>
      </c>
      <c r="AC21" s="32">
        <v>0.39686229412755297</v>
      </c>
      <c r="AD21" s="30">
        <v>91.518072289156606</v>
      </c>
      <c r="AE21" s="31">
        <v>2265.6084337349398</v>
      </c>
      <c r="AF21" s="31">
        <v>2926.2036144578301</v>
      </c>
      <c r="AG21" s="31">
        <v>13539.120481927701</v>
      </c>
      <c r="AH21" s="32">
        <v>0.16733793282651699</v>
      </c>
      <c r="AI21" s="32">
        <v>0.216129520256784</v>
      </c>
      <c r="AJ21" s="29">
        <v>542.57142857142901</v>
      </c>
      <c r="AK21" s="30">
        <v>5.9285714285714297</v>
      </c>
      <c r="AL21" s="31">
        <v>257600</v>
      </c>
      <c r="AM21" s="31">
        <v>260628.5</v>
      </c>
      <c r="AN21" s="31">
        <v>188045.5</v>
      </c>
      <c r="AO21" s="32">
        <v>-0.270009704968944</v>
      </c>
      <c r="AP21" s="31">
        <v>306800</v>
      </c>
      <c r="AQ21" s="31">
        <v>310049.5</v>
      </c>
      <c r="AR21" s="31">
        <v>242874.9</v>
      </c>
      <c r="AS21" s="32">
        <v>-0.20836082138200801</v>
      </c>
    </row>
    <row r="22" spans="1:45" ht="15" customHeight="1" x14ac:dyDescent="0.2">
      <c r="A22" s="17" t="s">
        <v>214</v>
      </c>
      <c r="B22" s="18" t="s">
        <v>148</v>
      </c>
      <c r="C22" s="18" t="s">
        <v>180</v>
      </c>
      <c r="D22" s="19" t="s">
        <v>215</v>
      </c>
      <c r="E22" s="19" t="s">
        <v>163</v>
      </c>
      <c r="F22" s="20">
        <v>144</v>
      </c>
      <c r="G22" s="21">
        <v>20.5</v>
      </c>
      <c r="H22" s="18" t="s">
        <v>216</v>
      </c>
      <c r="I22" s="18" t="s">
        <v>217</v>
      </c>
      <c r="J22" s="22">
        <v>2322781</v>
      </c>
      <c r="K22" s="22">
        <v>2322781</v>
      </c>
      <c r="L22" s="22">
        <v>1437428.97</v>
      </c>
      <c r="M22" s="22">
        <v>885352.03</v>
      </c>
      <c r="N22" s="23">
        <v>0.38116035476439702</v>
      </c>
      <c r="O22" s="22">
        <v>504091.25</v>
      </c>
      <c r="P22" s="20">
        <v>18665</v>
      </c>
      <c r="Q22" s="20">
        <v>45</v>
      </c>
      <c r="R22" s="20">
        <v>30</v>
      </c>
      <c r="S22" s="21">
        <v>5.2529152765132903</v>
      </c>
      <c r="T22" s="23">
        <v>0.43845325555086101</v>
      </c>
      <c r="U22" s="21">
        <v>16.488888888888901</v>
      </c>
      <c r="V22" s="24">
        <v>26.235092071367198</v>
      </c>
      <c r="W22" s="24">
        <v>41.051130993838697</v>
      </c>
      <c r="X22" s="25">
        <v>1.5647412588516001</v>
      </c>
      <c r="Y22" s="23">
        <v>2.8355210286632699E-2</v>
      </c>
      <c r="Z22" s="22">
        <v>569904.99</v>
      </c>
      <c r="AA22" s="20">
        <v>26</v>
      </c>
      <c r="AB22" s="19" t="s">
        <v>218</v>
      </c>
      <c r="AC22" s="23">
        <v>0.240474662276602</v>
      </c>
      <c r="AD22" s="21">
        <v>129.618055555556</v>
      </c>
      <c r="AE22" s="22">
        <v>3500.6336805555602</v>
      </c>
      <c r="AF22" s="22">
        <v>3957.6735416666702</v>
      </c>
      <c r="AG22" s="22">
        <v>16130.4236111111</v>
      </c>
      <c r="AH22" s="23">
        <v>0.21702056715635301</v>
      </c>
      <c r="AI22" s="23">
        <v>0.24535459434186899</v>
      </c>
      <c r="AJ22" s="20">
        <v>910.48780487804902</v>
      </c>
      <c r="AK22" s="21">
        <v>7.0243902439024399</v>
      </c>
      <c r="AL22" s="22">
        <v>541485</v>
      </c>
      <c r="AM22" s="22">
        <v>575631</v>
      </c>
      <c r="AN22" s="22">
        <v>504091.25</v>
      </c>
      <c r="AO22" s="23">
        <v>-6.9057776300359197E-2</v>
      </c>
      <c r="AP22" s="22">
        <v>713730</v>
      </c>
      <c r="AQ22" s="22">
        <v>771610</v>
      </c>
      <c r="AR22" s="22">
        <v>569904.99</v>
      </c>
      <c r="AS22" s="23">
        <v>-0.201511790172754</v>
      </c>
    </row>
    <row r="23" spans="1:45" ht="15" customHeight="1" x14ac:dyDescent="0.2">
      <c r="A23" s="26" t="s">
        <v>219</v>
      </c>
      <c r="B23" s="27" t="s">
        <v>148</v>
      </c>
      <c r="C23" s="27" t="s">
        <v>180</v>
      </c>
      <c r="D23" s="28" t="s">
        <v>220</v>
      </c>
      <c r="E23" s="28" t="s">
        <v>163</v>
      </c>
      <c r="F23" s="29">
        <v>398</v>
      </c>
      <c r="G23" s="30">
        <v>31.1</v>
      </c>
      <c r="H23" s="27" t="s">
        <v>221</v>
      </c>
      <c r="I23" s="27" t="s">
        <v>222</v>
      </c>
      <c r="J23" s="31">
        <v>5187754</v>
      </c>
      <c r="K23" s="31">
        <v>5187754</v>
      </c>
      <c r="L23" s="31">
        <v>1129564.53</v>
      </c>
      <c r="M23" s="31">
        <v>4058189.47</v>
      </c>
      <c r="N23" s="32">
        <v>0.78226328195207395</v>
      </c>
      <c r="O23" s="31">
        <v>564920.38</v>
      </c>
      <c r="P23" s="29">
        <v>22023</v>
      </c>
      <c r="Q23" s="29">
        <v>72</v>
      </c>
      <c r="R23" s="29">
        <v>54</v>
      </c>
      <c r="S23" s="30">
        <v>4.0854730758178697</v>
      </c>
      <c r="T23" s="32">
        <v>0.28670938716872701</v>
      </c>
      <c r="U23" s="30">
        <v>26.5694444444444</v>
      </c>
      <c r="V23" s="33">
        <v>23.1074155986541</v>
      </c>
      <c r="W23" s="33">
        <v>25.651381737274701</v>
      </c>
      <c r="X23" s="34">
        <v>1.1100930620198299</v>
      </c>
      <c r="Y23" s="32">
        <v>1.06933660264269E-2</v>
      </c>
      <c r="Z23" s="31">
        <v>485439.43</v>
      </c>
      <c r="AA23" s="29">
        <v>28</v>
      </c>
      <c r="AB23" s="28" t="s">
        <v>223</v>
      </c>
      <c r="AC23" s="32">
        <v>0.92125178212243697</v>
      </c>
      <c r="AD23" s="30">
        <v>55.334170854271399</v>
      </c>
      <c r="AE23" s="31">
        <v>1419.3979396984901</v>
      </c>
      <c r="AF23" s="31">
        <v>1219.69706030151</v>
      </c>
      <c r="AG23" s="31">
        <v>13034.557788944699</v>
      </c>
      <c r="AH23" s="32">
        <v>0.108894982298698</v>
      </c>
      <c r="AI23" s="32">
        <v>9.3574103552327301E-2</v>
      </c>
      <c r="AJ23" s="29">
        <v>708.13504823151095</v>
      </c>
      <c r="AK23" s="30">
        <v>12.7974276527331</v>
      </c>
      <c r="AL23" s="31">
        <v>607025</v>
      </c>
      <c r="AM23" s="31">
        <v>648765</v>
      </c>
      <c r="AN23" s="31">
        <v>564920.38</v>
      </c>
      <c r="AO23" s="32">
        <v>-6.93622503191796E-2</v>
      </c>
      <c r="AP23" s="31">
        <v>657109</v>
      </c>
      <c r="AQ23" s="31">
        <v>642830</v>
      </c>
      <c r="AR23" s="31">
        <v>485439.43</v>
      </c>
      <c r="AS23" s="32">
        <v>-0.26124976221600998</v>
      </c>
    </row>
    <row r="24" spans="1:45" ht="15" customHeight="1" x14ac:dyDescent="0.2">
      <c r="A24" s="17" t="s">
        <v>224</v>
      </c>
      <c r="B24" s="18" t="s">
        <v>148</v>
      </c>
      <c r="C24" s="18" t="s">
        <v>180</v>
      </c>
      <c r="D24" s="19" t="s">
        <v>225</v>
      </c>
      <c r="E24" s="19" t="s">
        <v>226</v>
      </c>
      <c r="F24" s="20">
        <v>71</v>
      </c>
      <c r="G24" s="21">
        <v>15.6</v>
      </c>
      <c r="H24" s="18" t="s">
        <v>227</v>
      </c>
      <c r="I24" s="18" t="s">
        <v>228</v>
      </c>
      <c r="J24" s="22">
        <v>726403</v>
      </c>
      <c r="K24" s="22">
        <v>726403</v>
      </c>
      <c r="L24" s="22">
        <v>398294.52</v>
      </c>
      <c r="M24" s="22">
        <v>328108.48</v>
      </c>
      <c r="N24" s="23">
        <v>0.45168932397030298</v>
      </c>
      <c r="O24" s="22">
        <v>134465.25</v>
      </c>
      <c r="P24" s="20">
        <v>5157</v>
      </c>
      <c r="Q24" s="20">
        <v>26</v>
      </c>
      <c r="R24" s="20">
        <v>16</v>
      </c>
      <c r="S24" s="21">
        <v>1.9072112333521201</v>
      </c>
      <c r="T24" s="23">
        <v>0.61383230696352398</v>
      </c>
      <c r="U24" s="21">
        <v>12.653846153846199</v>
      </c>
      <c r="V24" s="24">
        <v>25.399147323543399</v>
      </c>
      <c r="W24" s="24">
        <v>39.651566802404503</v>
      </c>
      <c r="X24" s="25">
        <v>1.5611377144795</v>
      </c>
      <c r="Y24" s="23">
        <v>3.78126817917394E-3</v>
      </c>
      <c r="Z24" s="22">
        <v>167700.53</v>
      </c>
      <c r="AA24" s="20">
        <v>16</v>
      </c>
      <c r="AB24" s="19" t="s">
        <v>229</v>
      </c>
      <c r="AC24" s="23">
        <v>0.28482414456292998</v>
      </c>
      <c r="AD24" s="21">
        <v>72.633802816901394</v>
      </c>
      <c r="AE24" s="22">
        <v>1893.87676056338</v>
      </c>
      <c r="AF24" s="22">
        <v>2361.9792957746499</v>
      </c>
      <c r="AG24" s="22">
        <v>10231.0281690141</v>
      </c>
      <c r="AH24" s="23">
        <v>0.18511108847292801</v>
      </c>
      <c r="AI24" s="23">
        <v>0.23086431361104001</v>
      </c>
      <c r="AJ24" s="20">
        <v>330.57692307692298</v>
      </c>
      <c r="AK24" s="21">
        <v>4.5512820512820502</v>
      </c>
      <c r="AL24" s="22">
        <v>176220</v>
      </c>
      <c r="AM24" s="22">
        <v>181623</v>
      </c>
      <c r="AN24" s="22">
        <v>134465.25</v>
      </c>
      <c r="AO24" s="23">
        <v>-0.23694671433435499</v>
      </c>
      <c r="AP24" s="22">
        <v>204375</v>
      </c>
      <c r="AQ24" s="22">
        <v>230569</v>
      </c>
      <c r="AR24" s="22">
        <v>167700.53</v>
      </c>
      <c r="AS24" s="23">
        <v>-0.17944694801223199</v>
      </c>
    </row>
    <row r="25" spans="1:45" ht="15" customHeight="1" x14ac:dyDescent="0.2">
      <c r="A25" s="26" t="s">
        <v>230</v>
      </c>
      <c r="B25" s="27" t="s">
        <v>148</v>
      </c>
      <c r="C25" s="27" t="s">
        <v>180</v>
      </c>
      <c r="D25" s="28" t="s">
        <v>231</v>
      </c>
      <c r="E25" s="28" t="s">
        <v>232</v>
      </c>
      <c r="F25" s="29">
        <v>139</v>
      </c>
      <c r="G25" s="30">
        <v>24.8</v>
      </c>
      <c r="H25" s="27" t="s">
        <v>233</v>
      </c>
      <c r="I25" s="27" t="s">
        <v>234</v>
      </c>
      <c r="J25" s="31">
        <v>2343188</v>
      </c>
      <c r="K25" s="31">
        <v>2343188</v>
      </c>
      <c r="L25" s="31">
        <v>1332680.44</v>
      </c>
      <c r="M25" s="31">
        <v>1010507.56</v>
      </c>
      <c r="N25" s="32">
        <v>0.43125330105821602</v>
      </c>
      <c r="O25" s="31">
        <v>526277.63</v>
      </c>
      <c r="P25" s="29">
        <v>19509</v>
      </c>
      <c r="Q25" s="29">
        <v>44</v>
      </c>
      <c r="R25" s="29">
        <v>25</v>
      </c>
      <c r="S25" s="30">
        <v>4.5384712733309396</v>
      </c>
      <c r="T25" s="32">
        <v>0.46768750958638</v>
      </c>
      <c r="U25" s="30">
        <v>19.386363636363601</v>
      </c>
      <c r="V25" s="33">
        <v>26.6936193056905</v>
      </c>
      <c r="W25" s="33">
        <v>39.783375365216102</v>
      </c>
      <c r="X25" s="34">
        <v>1.4903702232965901</v>
      </c>
      <c r="Y25" s="32">
        <v>5.5359065046901397E-3</v>
      </c>
      <c r="Z25" s="31">
        <v>460263.33</v>
      </c>
      <c r="AA25" s="29">
        <v>25</v>
      </c>
      <c r="AB25" s="28" t="s">
        <v>235</v>
      </c>
      <c r="AC25" s="32">
        <v>0.368413077791794</v>
      </c>
      <c r="AD25" s="30">
        <v>140.352517985612</v>
      </c>
      <c r="AE25" s="31">
        <v>3786.17</v>
      </c>
      <c r="AF25" s="31">
        <v>3311.2469784172699</v>
      </c>
      <c r="AG25" s="31">
        <v>16857.467625899299</v>
      </c>
      <c r="AH25" s="32">
        <v>0.22459897797359801</v>
      </c>
      <c r="AI25" s="32">
        <v>0.19642612116484001</v>
      </c>
      <c r="AJ25" s="29">
        <v>786.65322580645204</v>
      </c>
      <c r="AK25" s="30">
        <v>5.6048387096774199</v>
      </c>
      <c r="AL25" s="31">
        <v>611660</v>
      </c>
      <c r="AM25" s="31">
        <v>569257</v>
      </c>
      <c r="AN25" s="31">
        <v>526277.63</v>
      </c>
      <c r="AO25" s="32">
        <v>-0.13959122715233999</v>
      </c>
      <c r="AP25" s="31">
        <v>850125</v>
      </c>
      <c r="AQ25" s="31">
        <v>691518</v>
      </c>
      <c r="AR25" s="31">
        <v>460263.33</v>
      </c>
      <c r="AS25" s="32">
        <v>-0.45859334803705298</v>
      </c>
    </row>
    <row r="26" spans="1:45" ht="15" customHeight="1" x14ac:dyDescent="0.2">
      <c r="A26" s="17" t="s">
        <v>236</v>
      </c>
      <c r="B26" s="18" t="s">
        <v>148</v>
      </c>
      <c r="C26" s="18" t="s">
        <v>180</v>
      </c>
      <c r="D26" s="19" t="s">
        <v>237</v>
      </c>
      <c r="E26" s="19" t="s">
        <v>232</v>
      </c>
      <c r="F26" s="20">
        <v>128</v>
      </c>
      <c r="G26" s="21">
        <v>17.100000000000001</v>
      </c>
      <c r="H26" s="18" t="s">
        <v>183</v>
      </c>
      <c r="I26" s="18" t="s">
        <v>228</v>
      </c>
      <c r="J26" s="22">
        <v>1897650.9</v>
      </c>
      <c r="K26" s="22">
        <v>1897650.9</v>
      </c>
      <c r="L26" s="22">
        <v>1281948.22</v>
      </c>
      <c r="M26" s="22">
        <v>615702.68000000005</v>
      </c>
      <c r="N26" s="23">
        <v>0.324455188254067</v>
      </c>
      <c r="O26" s="22">
        <v>539464.25</v>
      </c>
      <c r="P26" s="20">
        <v>21637.75</v>
      </c>
      <c r="Q26" s="20">
        <v>45</v>
      </c>
      <c r="R26" s="20">
        <v>36</v>
      </c>
      <c r="S26" s="21">
        <v>7.3003259509376504</v>
      </c>
      <c r="T26" s="23">
        <v>0.36990689184069397</v>
      </c>
      <c r="U26" s="21">
        <v>18.622222222222199</v>
      </c>
      <c r="V26" s="24">
        <v>24.727437631310099</v>
      </c>
      <c r="W26" s="24">
        <v>36.843580778962703</v>
      </c>
      <c r="X26" s="25">
        <v>1.4899878154908801</v>
      </c>
      <c r="Y26" s="23">
        <v>1.0167415743319E-3</v>
      </c>
      <c r="Z26" s="22">
        <v>419880.12</v>
      </c>
      <c r="AA26" s="20">
        <v>23</v>
      </c>
      <c r="AB26" s="19" t="s">
        <v>238</v>
      </c>
      <c r="AC26" s="23">
        <v>0.427286888457591</v>
      </c>
      <c r="AD26" s="21">
        <v>169.044921875</v>
      </c>
      <c r="AE26" s="22">
        <v>4214.564453125</v>
      </c>
      <c r="AF26" s="22">
        <v>3280.3134375</v>
      </c>
      <c r="AG26" s="22">
        <v>14825.397656249999</v>
      </c>
      <c r="AH26" s="23">
        <v>0.28428002748029202</v>
      </c>
      <c r="AI26" s="23">
        <v>0.22126309955113499</v>
      </c>
      <c r="AJ26" s="20">
        <v>1265.3654970760199</v>
      </c>
      <c r="AK26" s="21">
        <v>7.4853801169590604</v>
      </c>
      <c r="AL26" s="22">
        <v>448700</v>
      </c>
      <c r="AM26" s="22">
        <v>477178</v>
      </c>
      <c r="AN26" s="22">
        <v>539464.25</v>
      </c>
      <c r="AO26" s="23">
        <v>0.20228270559393799</v>
      </c>
      <c r="AP26" s="22">
        <v>614030</v>
      </c>
      <c r="AQ26" s="22">
        <v>602753</v>
      </c>
      <c r="AR26" s="22">
        <v>419880.12</v>
      </c>
      <c r="AS26" s="23">
        <v>-0.31618956728498598</v>
      </c>
    </row>
    <row r="27" spans="1:45" ht="15" customHeight="1" x14ac:dyDescent="0.2">
      <c r="A27" s="26" t="s">
        <v>239</v>
      </c>
      <c r="B27" s="27" t="s">
        <v>148</v>
      </c>
      <c r="C27" s="27" t="s">
        <v>180</v>
      </c>
      <c r="D27" s="28" t="s">
        <v>240</v>
      </c>
      <c r="E27" s="28" t="s">
        <v>241</v>
      </c>
      <c r="F27" s="29">
        <v>92</v>
      </c>
      <c r="G27" s="30">
        <v>16.600000000000001</v>
      </c>
      <c r="H27" s="27" t="s">
        <v>242</v>
      </c>
      <c r="I27" s="27" t="s">
        <v>243</v>
      </c>
      <c r="J27" s="31">
        <v>722290</v>
      </c>
      <c r="K27" s="31">
        <v>722290</v>
      </c>
      <c r="L27" s="31">
        <v>363766.71</v>
      </c>
      <c r="M27" s="31">
        <v>358523.29</v>
      </c>
      <c r="N27" s="32">
        <v>0.496370280635202</v>
      </c>
      <c r="O27" s="31">
        <v>133452.5</v>
      </c>
      <c r="P27" s="29">
        <v>5204.75</v>
      </c>
      <c r="Q27" s="29">
        <v>24</v>
      </c>
      <c r="R27" s="29">
        <v>13</v>
      </c>
      <c r="S27" s="30">
        <v>1.80891453658632</v>
      </c>
      <c r="T27" s="32">
        <v>0.69612579331249402</v>
      </c>
      <c r="U27" s="30">
        <v>13.25</v>
      </c>
      <c r="V27" s="33">
        <v>25.194752297054102</v>
      </c>
      <c r="W27" s="33">
        <v>38.973649070560597</v>
      </c>
      <c r="X27" s="34">
        <v>1.5468955047086399</v>
      </c>
      <c r="Y27" s="32">
        <v>1.5850905422930999E-3</v>
      </c>
      <c r="Z27" s="31">
        <v>159409.60999999999</v>
      </c>
      <c r="AA27" s="29">
        <v>15</v>
      </c>
      <c r="AB27" s="28" t="s">
        <v>244</v>
      </c>
      <c r="AC27" s="32">
        <v>0.40057440702602598</v>
      </c>
      <c r="AD27" s="30">
        <v>56.573369565217398</v>
      </c>
      <c r="AE27" s="31">
        <v>1450.57065217391</v>
      </c>
      <c r="AF27" s="31">
        <v>1732.71315217391</v>
      </c>
      <c r="AG27" s="31">
        <v>7850.9782608695696</v>
      </c>
      <c r="AH27" s="32">
        <v>0.18476304531420901</v>
      </c>
      <c r="AI27" s="32">
        <v>0.220700286588489</v>
      </c>
      <c r="AJ27" s="29">
        <v>313.53915662650599</v>
      </c>
      <c r="AK27" s="30">
        <v>5.5421686746988001</v>
      </c>
      <c r="AL27" s="31">
        <v>183890</v>
      </c>
      <c r="AM27" s="31">
        <v>185274</v>
      </c>
      <c r="AN27" s="31">
        <v>133452.5</v>
      </c>
      <c r="AO27" s="32">
        <v>-0.274280820055468</v>
      </c>
      <c r="AP27" s="31">
        <v>211875</v>
      </c>
      <c r="AQ27" s="31">
        <v>210340</v>
      </c>
      <c r="AR27" s="31">
        <v>159409.60999999999</v>
      </c>
      <c r="AS27" s="32">
        <v>-0.247624259587021</v>
      </c>
    </row>
    <row r="28" spans="1:45" ht="15" customHeight="1" x14ac:dyDescent="0.2">
      <c r="A28" s="17" t="s">
        <v>245</v>
      </c>
      <c r="B28" s="18" t="s">
        <v>148</v>
      </c>
      <c r="C28" s="18" t="s">
        <v>180</v>
      </c>
      <c r="D28" s="19" t="s">
        <v>246</v>
      </c>
      <c r="E28" s="19" t="s">
        <v>163</v>
      </c>
      <c r="F28" s="20">
        <v>31</v>
      </c>
      <c r="G28" s="21">
        <v>17.899999999999999</v>
      </c>
      <c r="H28" s="18" t="s">
        <v>247</v>
      </c>
      <c r="I28" s="18" t="s">
        <v>234</v>
      </c>
      <c r="J28" s="22">
        <v>418677</v>
      </c>
      <c r="K28" s="22">
        <v>418677</v>
      </c>
      <c r="L28" s="22">
        <v>276208.96000000002</v>
      </c>
      <c r="M28" s="22">
        <v>142468.04</v>
      </c>
      <c r="N28" s="23">
        <v>0.34028150579085997</v>
      </c>
      <c r="O28" s="22">
        <v>112585.75</v>
      </c>
      <c r="P28" s="20">
        <v>4098</v>
      </c>
      <c r="Q28" s="20">
        <v>30</v>
      </c>
      <c r="R28" s="20">
        <v>10</v>
      </c>
      <c r="S28" s="21">
        <v>1.32082471289467</v>
      </c>
      <c r="T28" s="23">
        <v>0.69580078125</v>
      </c>
      <c r="U28" s="21">
        <v>9.8333333333333304</v>
      </c>
      <c r="V28" s="24">
        <v>27.34228515625</v>
      </c>
      <c r="W28" s="24">
        <v>41.759548560273302</v>
      </c>
      <c r="X28" s="25">
        <v>1.52728816635605</v>
      </c>
      <c r="Y28" s="23">
        <v>4.3923865300146397E-3</v>
      </c>
      <c r="Z28" s="22">
        <v>104252.85</v>
      </c>
      <c r="AA28" s="20">
        <v>12</v>
      </c>
      <c r="AB28" s="19" t="s">
        <v>248</v>
      </c>
      <c r="AC28" s="23">
        <v>0.32957583413786801</v>
      </c>
      <c r="AD28" s="21">
        <v>132.193548387097</v>
      </c>
      <c r="AE28" s="22">
        <v>3631.7983870967701</v>
      </c>
      <c r="AF28" s="22">
        <v>3362.9951612903201</v>
      </c>
      <c r="AG28" s="22">
        <v>13505.7096774194</v>
      </c>
      <c r="AH28" s="23">
        <v>0.26890837089212</v>
      </c>
      <c r="AI28" s="23">
        <v>0.24900543856003601</v>
      </c>
      <c r="AJ28" s="20">
        <v>228.938547486034</v>
      </c>
      <c r="AK28" s="21">
        <v>1.73184357541899</v>
      </c>
      <c r="AL28" s="22">
        <v>107430</v>
      </c>
      <c r="AM28" s="22">
        <v>112414</v>
      </c>
      <c r="AN28" s="22">
        <v>112585.75</v>
      </c>
      <c r="AO28" s="23">
        <v>4.7991715535697699E-2</v>
      </c>
      <c r="AP28" s="22">
        <v>102770</v>
      </c>
      <c r="AQ28" s="22">
        <v>115827</v>
      </c>
      <c r="AR28" s="22">
        <v>104252.85</v>
      </c>
      <c r="AS28" s="23">
        <v>1.44288216405566E-2</v>
      </c>
    </row>
    <row r="29" spans="1:45" ht="15" customHeight="1" x14ac:dyDescent="0.2">
      <c r="A29" s="26" t="s">
        <v>249</v>
      </c>
      <c r="B29" s="27" t="s">
        <v>148</v>
      </c>
      <c r="C29" s="27" t="s">
        <v>180</v>
      </c>
      <c r="D29" s="28" t="s">
        <v>250</v>
      </c>
      <c r="E29" s="28" t="s">
        <v>251</v>
      </c>
      <c r="F29" s="29">
        <v>122</v>
      </c>
      <c r="G29" s="30">
        <v>26</v>
      </c>
      <c r="H29" s="27" t="s">
        <v>247</v>
      </c>
      <c r="I29" s="27" t="s">
        <v>252</v>
      </c>
      <c r="J29" s="31">
        <v>2076783</v>
      </c>
      <c r="K29" s="31">
        <v>2076783</v>
      </c>
      <c r="L29" s="31">
        <v>1217234.6299999999</v>
      </c>
      <c r="M29" s="31">
        <v>859548.37</v>
      </c>
      <c r="N29" s="32">
        <v>0.41388453680524201</v>
      </c>
      <c r="O29" s="31">
        <v>440145.25</v>
      </c>
      <c r="P29" s="29">
        <v>14799</v>
      </c>
      <c r="Q29" s="29">
        <v>50</v>
      </c>
      <c r="R29" s="29">
        <v>29</v>
      </c>
      <c r="S29" s="30">
        <v>3.2838649263965101</v>
      </c>
      <c r="T29" s="32">
        <v>0.42520055807464302</v>
      </c>
      <c r="U29" s="30">
        <v>15.04</v>
      </c>
      <c r="V29" s="33">
        <v>29.115399372165999</v>
      </c>
      <c r="W29" s="33">
        <v>45.324077302520401</v>
      </c>
      <c r="X29" s="34">
        <v>1.55670464015169</v>
      </c>
      <c r="Y29" s="32">
        <v>4.1219001283870502E-2</v>
      </c>
      <c r="Z29" s="31">
        <v>487276.21</v>
      </c>
      <c r="AA29" s="29">
        <v>26</v>
      </c>
      <c r="AB29" s="28" t="s">
        <v>253</v>
      </c>
      <c r="AC29" s="32">
        <v>0.19248526415849501</v>
      </c>
      <c r="AD29" s="30">
        <v>121.303278688525</v>
      </c>
      <c r="AE29" s="31">
        <v>3607.7479508196702</v>
      </c>
      <c r="AF29" s="31">
        <v>3994.0672950819699</v>
      </c>
      <c r="AG29" s="31">
        <v>17022.811475409799</v>
      </c>
      <c r="AH29" s="32">
        <v>0.21193608094827401</v>
      </c>
      <c r="AI29" s="32">
        <v>0.234630295991444</v>
      </c>
      <c r="AJ29" s="29">
        <v>569.19230769230796</v>
      </c>
      <c r="AK29" s="30">
        <v>4.6923076923076898</v>
      </c>
      <c r="AL29" s="31">
        <v>494845</v>
      </c>
      <c r="AM29" s="31">
        <v>521000</v>
      </c>
      <c r="AN29" s="31">
        <v>440145.25</v>
      </c>
      <c r="AO29" s="32">
        <v>-0.11053915872646999</v>
      </c>
      <c r="AP29" s="31">
        <v>576480</v>
      </c>
      <c r="AQ29" s="31">
        <v>643201</v>
      </c>
      <c r="AR29" s="31">
        <v>487276.21</v>
      </c>
      <c r="AS29" s="32">
        <v>-0.154738742020539</v>
      </c>
    </row>
    <row r="30" spans="1:45" ht="15" customHeight="1" x14ac:dyDescent="0.2">
      <c r="A30" s="17" t="s">
        <v>254</v>
      </c>
      <c r="B30" s="18" t="s">
        <v>148</v>
      </c>
      <c r="C30" s="18" t="s">
        <v>180</v>
      </c>
      <c r="D30" s="19" t="s">
        <v>255</v>
      </c>
      <c r="E30" s="19" t="s">
        <v>232</v>
      </c>
      <c r="F30" s="20">
        <v>80</v>
      </c>
      <c r="G30" s="21">
        <v>22.7</v>
      </c>
      <c r="H30" s="18" t="s">
        <v>256</v>
      </c>
      <c r="I30" s="18" t="s">
        <v>257</v>
      </c>
      <c r="J30" s="22">
        <v>1229419</v>
      </c>
      <c r="K30" s="22">
        <v>1229419</v>
      </c>
      <c r="L30" s="22">
        <v>807313.13</v>
      </c>
      <c r="M30" s="22">
        <v>422105.87</v>
      </c>
      <c r="N30" s="23">
        <v>0.34333768227105599</v>
      </c>
      <c r="O30" s="22">
        <v>324824.75</v>
      </c>
      <c r="P30" s="20">
        <v>11814.25</v>
      </c>
      <c r="Q30" s="20">
        <v>36</v>
      </c>
      <c r="R30" s="20">
        <v>24</v>
      </c>
      <c r="S30" s="21">
        <v>3.00266279265113</v>
      </c>
      <c r="T30" s="23">
        <v>0.41373735698889103</v>
      </c>
      <c r="U30" s="21">
        <v>16.1944444444444</v>
      </c>
      <c r="V30" s="24">
        <v>26.393798706682102</v>
      </c>
      <c r="W30" s="24">
        <v>40.678600842203302</v>
      </c>
      <c r="X30" s="25">
        <v>1.5412181207514</v>
      </c>
      <c r="Y30" s="23">
        <v>1.0940178174662E-2</v>
      </c>
      <c r="Z30" s="22">
        <v>268693.53999999998</v>
      </c>
      <c r="AA30" s="20">
        <v>20</v>
      </c>
      <c r="AB30" s="19" t="s">
        <v>258</v>
      </c>
      <c r="AC30" s="23">
        <v>0.44427052470260397</v>
      </c>
      <c r="AD30" s="21">
        <v>147.67812499999999</v>
      </c>
      <c r="AE30" s="22">
        <v>4060.3093749999998</v>
      </c>
      <c r="AF30" s="22">
        <v>3358.6692499999999</v>
      </c>
      <c r="AG30" s="22">
        <v>15367.737499999999</v>
      </c>
      <c r="AH30" s="23">
        <v>0.264209964218871</v>
      </c>
      <c r="AI30" s="23">
        <v>0.21855326784440501</v>
      </c>
      <c r="AJ30" s="20">
        <v>520.45154185022</v>
      </c>
      <c r="AK30" s="21">
        <v>3.5242290748898699</v>
      </c>
      <c r="AL30" s="22">
        <v>285250</v>
      </c>
      <c r="AM30" s="22">
        <v>300550</v>
      </c>
      <c r="AN30" s="22">
        <v>324824.75</v>
      </c>
      <c r="AO30" s="23">
        <v>0.13873707274320801</v>
      </c>
      <c r="AP30" s="22">
        <v>391395</v>
      </c>
      <c r="AQ30" s="22">
        <v>372182</v>
      </c>
      <c r="AR30" s="22">
        <v>268693.53999999998</v>
      </c>
      <c r="AS30" s="23">
        <v>-0.31349777079420998</v>
      </c>
    </row>
    <row r="31" spans="1:45" ht="15" customHeight="1" x14ac:dyDescent="0.2">
      <c r="A31" s="26" t="s">
        <v>259</v>
      </c>
      <c r="B31" s="27" t="s">
        <v>148</v>
      </c>
      <c r="C31" s="27" t="s">
        <v>180</v>
      </c>
      <c r="D31" s="28" t="s">
        <v>260</v>
      </c>
      <c r="E31" s="28" t="s">
        <v>261</v>
      </c>
      <c r="F31" s="29"/>
      <c r="G31" s="30">
        <v>9.8000000000000007</v>
      </c>
      <c r="H31" s="27" t="s">
        <v>199</v>
      </c>
      <c r="I31" s="27" t="s">
        <v>228</v>
      </c>
      <c r="J31" s="31">
        <v>54900</v>
      </c>
      <c r="K31" s="31">
        <v>54900</v>
      </c>
      <c r="L31" s="31">
        <v>19392.46</v>
      </c>
      <c r="M31" s="31">
        <v>35507.54</v>
      </c>
      <c r="N31" s="32">
        <v>0.64676757741347901</v>
      </c>
      <c r="O31" s="31">
        <v>8172.25</v>
      </c>
      <c r="P31" s="29">
        <v>238</v>
      </c>
      <c r="Q31" s="29">
        <v>12</v>
      </c>
      <c r="R31" s="29">
        <v>1</v>
      </c>
      <c r="S31" s="30">
        <v>0.14011258458267101</v>
      </c>
      <c r="T31" s="32">
        <v>0.84761904761904805</v>
      </c>
      <c r="U31" s="30">
        <v>3.4166666666666701</v>
      </c>
      <c r="V31" s="33">
        <v>27.5371428571429</v>
      </c>
      <c r="W31" s="33">
        <v>52.582226890756303</v>
      </c>
      <c r="X31" s="34">
        <v>1.90950191033043</v>
      </c>
      <c r="Y31" s="32">
        <v>7.3529411764705899E-2</v>
      </c>
      <c r="Z31" s="31">
        <v>2697.34</v>
      </c>
      <c r="AA31" s="29">
        <v>4</v>
      </c>
      <c r="AB31" s="28" t="s">
        <v>262</v>
      </c>
      <c r="AC31" s="32">
        <v>1.23733011040507</v>
      </c>
      <c r="AD31" s="30"/>
      <c r="AE31" s="31"/>
      <c r="AF31" s="31"/>
      <c r="AG31" s="31"/>
      <c r="AH31" s="32">
        <v>0.14885701275045499</v>
      </c>
      <c r="AI31" s="32">
        <v>4.9131876138433499E-2</v>
      </c>
      <c r="AJ31" s="29">
        <v>24.285714285714299</v>
      </c>
      <c r="AK31" s="30"/>
      <c r="AL31" s="31">
        <v>9976</v>
      </c>
      <c r="AM31" s="31">
        <v>9976</v>
      </c>
      <c r="AN31" s="31">
        <v>8172.25</v>
      </c>
      <c r="AO31" s="32">
        <v>-0.18080894145950299</v>
      </c>
      <c r="AP31" s="31">
        <v>10650</v>
      </c>
      <c r="AQ31" s="31">
        <v>10650</v>
      </c>
      <c r="AR31" s="31">
        <v>2697.34</v>
      </c>
      <c r="AS31" s="32">
        <v>-0.74672863849765303</v>
      </c>
    </row>
    <row r="32" spans="1:45" ht="15" customHeight="1" x14ac:dyDescent="0.2">
      <c r="A32" s="17" t="s">
        <v>263</v>
      </c>
      <c r="B32" s="18" t="s">
        <v>148</v>
      </c>
      <c r="C32" s="18" t="s">
        <v>180</v>
      </c>
      <c r="D32" s="19" t="s">
        <v>264</v>
      </c>
      <c r="E32" s="19" t="s">
        <v>226</v>
      </c>
      <c r="F32" s="20">
        <v>55</v>
      </c>
      <c r="G32" s="21">
        <v>17</v>
      </c>
      <c r="H32" s="18" t="s">
        <v>193</v>
      </c>
      <c r="I32" s="18" t="s">
        <v>265</v>
      </c>
      <c r="J32" s="22">
        <v>624171</v>
      </c>
      <c r="K32" s="22">
        <v>624171</v>
      </c>
      <c r="L32" s="22">
        <v>404517.76</v>
      </c>
      <c r="M32" s="22">
        <v>219653.24</v>
      </c>
      <c r="N32" s="23">
        <v>0.35191196002377501</v>
      </c>
      <c r="O32" s="22">
        <v>146699.25</v>
      </c>
      <c r="P32" s="20">
        <v>5454</v>
      </c>
      <c r="Q32" s="20">
        <v>32</v>
      </c>
      <c r="R32" s="20">
        <v>15</v>
      </c>
      <c r="S32" s="21">
        <v>1.8509405723865699</v>
      </c>
      <c r="T32" s="23">
        <v>0.62497107686612097</v>
      </c>
      <c r="U32" s="21">
        <v>10.9375</v>
      </c>
      <c r="V32" s="24">
        <v>25.847702346244599</v>
      </c>
      <c r="W32" s="24">
        <v>40.884376604327102</v>
      </c>
      <c r="X32" s="25">
        <v>1.5817412339657</v>
      </c>
      <c r="Y32" s="23">
        <v>3.5157682434910201E-2</v>
      </c>
      <c r="Z32" s="22">
        <v>154104.17000000001</v>
      </c>
      <c r="AA32" s="20">
        <v>20</v>
      </c>
      <c r="AB32" s="19" t="s">
        <v>164</v>
      </c>
      <c r="AC32" s="23">
        <v>0.24347193200547401</v>
      </c>
      <c r="AD32" s="21">
        <v>99.1636363636364</v>
      </c>
      <c r="AE32" s="22">
        <v>2667.25909090909</v>
      </c>
      <c r="AF32" s="22">
        <v>2801.8939999999998</v>
      </c>
      <c r="AG32" s="22">
        <v>11348.5636363636</v>
      </c>
      <c r="AH32" s="23">
        <v>0.23503054451424399</v>
      </c>
      <c r="AI32" s="23">
        <v>0.24689415240374801</v>
      </c>
      <c r="AJ32" s="20">
        <v>320.82352941176498</v>
      </c>
      <c r="AK32" s="21">
        <v>3.2352941176470602</v>
      </c>
      <c r="AL32" s="22">
        <v>154435</v>
      </c>
      <c r="AM32" s="22">
        <v>156965</v>
      </c>
      <c r="AN32" s="22">
        <v>146699.25</v>
      </c>
      <c r="AO32" s="23">
        <v>-5.0090653025544697E-2</v>
      </c>
      <c r="AP32" s="22">
        <v>173720</v>
      </c>
      <c r="AQ32" s="22">
        <v>185986</v>
      </c>
      <c r="AR32" s="22">
        <v>154104.17000000001</v>
      </c>
      <c r="AS32" s="23">
        <v>-0.112916359659222</v>
      </c>
    </row>
    <row r="33" spans="1:45" ht="15" customHeight="1" x14ac:dyDescent="0.2">
      <c r="A33" s="26" t="s">
        <v>266</v>
      </c>
      <c r="B33" s="27" t="s">
        <v>148</v>
      </c>
      <c r="C33" s="27" t="s">
        <v>267</v>
      </c>
      <c r="D33" s="28" t="s">
        <v>268</v>
      </c>
      <c r="E33" s="28" t="s">
        <v>269</v>
      </c>
      <c r="F33" s="29">
        <v>108</v>
      </c>
      <c r="G33" s="30"/>
      <c r="H33" s="27"/>
      <c r="I33" s="27"/>
      <c r="J33" s="31">
        <v>1883761</v>
      </c>
      <c r="K33" s="31">
        <v>1883761</v>
      </c>
      <c r="L33" s="31">
        <v>1329860.3600000001</v>
      </c>
      <c r="M33" s="31">
        <v>553900.64</v>
      </c>
      <c r="N33" s="32">
        <v>0.29403976406773502</v>
      </c>
      <c r="O33" s="31">
        <v>467297.5</v>
      </c>
      <c r="P33" s="29">
        <v>14566.5</v>
      </c>
      <c r="Q33" s="29">
        <v>44</v>
      </c>
      <c r="R33" s="29">
        <v>21</v>
      </c>
      <c r="S33" s="30"/>
      <c r="T33" s="32">
        <v>0.50206477594621401</v>
      </c>
      <c r="U33" s="30"/>
      <c r="V33" s="33">
        <v>32.575168083000598</v>
      </c>
      <c r="W33" s="33">
        <v>66.453500000000005</v>
      </c>
      <c r="X33" s="34">
        <v>1.3421000000000001</v>
      </c>
      <c r="Y33" s="32">
        <v>5.9382830467167802E-2</v>
      </c>
      <c r="Z33" s="31">
        <v>502616.05</v>
      </c>
      <c r="AA33" s="29">
        <v>0</v>
      </c>
      <c r="AB33" s="28"/>
      <c r="AC33" s="32"/>
      <c r="AD33" s="30">
        <v>134.875</v>
      </c>
      <c r="AE33" s="31">
        <v>4326.8287037036998</v>
      </c>
      <c r="AF33" s="31">
        <v>4653.8523148148197</v>
      </c>
      <c r="AG33" s="31">
        <v>17442.2314814815</v>
      </c>
      <c r="AH33" s="32">
        <v>0.24806623557871699</v>
      </c>
      <c r="AI33" s="32">
        <v>0.26681519046205998</v>
      </c>
      <c r="AJ33" s="29"/>
      <c r="AK33" s="30"/>
      <c r="AL33" s="31">
        <v>432100</v>
      </c>
      <c r="AM33" s="31">
        <v>448910</v>
      </c>
      <c r="AN33" s="31">
        <v>467297.5</v>
      </c>
      <c r="AO33" s="32">
        <v>8.1456838694746597E-2</v>
      </c>
      <c r="AP33" s="31">
        <v>598130</v>
      </c>
      <c r="AQ33" s="31">
        <v>639725</v>
      </c>
      <c r="AR33" s="31">
        <v>502616.05</v>
      </c>
      <c r="AS33" s="32">
        <v>-0.15968760971695101</v>
      </c>
    </row>
    <row r="34" spans="1:45" ht="15" customHeight="1" x14ac:dyDescent="0.2">
      <c r="A34" s="17" t="s">
        <v>270</v>
      </c>
      <c r="B34" s="18" t="s">
        <v>148</v>
      </c>
      <c r="C34" s="18" t="s">
        <v>267</v>
      </c>
      <c r="D34" s="19" t="s">
        <v>271</v>
      </c>
      <c r="E34" s="19" t="s">
        <v>261</v>
      </c>
      <c r="F34" s="20">
        <v>75</v>
      </c>
      <c r="G34" s="21"/>
      <c r="H34" s="18"/>
      <c r="I34" s="18"/>
      <c r="J34" s="22">
        <v>922104</v>
      </c>
      <c r="K34" s="22">
        <v>922104</v>
      </c>
      <c r="L34" s="22">
        <v>593584.52</v>
      </c>
      <c r="M34" s="22">
        <v>328519.48</v>
      </c>
      <c r="N34" s="23">
        <v>0.35627161361408299</v>
      </c>
      <c r="O34" s="22">
        <v>194340.5</v>
      </c>
      <c r="P34" s="20">
        <v>7093</v>
      </c>
      <c r="Q34" s="20">
        <v>35</v>
      </c>
      <c r="R34" s="20">
        <v>17</v>
      </c>
      <c r="S34" s="21"/>
      <c r="T34" s="23">
        <v>0.594386694386694</v>
      </c>
      <c r="U34" s="21"/>
      <c r="V34" s="24">
        <v>26.935620235620199</v>
      </c>
      <c r="W34" s="24">
        <v>54.948799999999999</v>
      </c>
      <c r="X34" s="25">
        <v>1.3421000000000001</v>
      </c>
      <c r="Y34" s="23">
        <v>1.89623572536303E-2</v>
      </c>
      <c r="Z34" s="22">
        <v>250243.51</v>
      </c>
      <c r="AA34" s="20">
        <v>0</v>
      </c>
      <c r="AB34" s="19"/>
      <c r="AC34" s="23"/>
      <c r="AD34" s="21">
        <v>94.573333333333295</v>
      </c>
      <c r="AE34" s="22">
        <v>2591.2066666666701</v>
      </c>
      <c r="AF34" s="22">
        <v>3336.5801333333302</v>
      </c>
      <c r="AG34" s="22">
        <v>12294.72</v>
      </c>
      <c r="AH34" s="23">
        <v>0.210757680261663</v>
      </c>
      <c r="AI34" s="23">
        <v>0.27138317369841097</v>
      </c>
      <c r="AJ34" s="20"/>
      <c r="AK34" s="21"/>
      <c r="AL34" s="22">
        <v>213138</v>
      </c>
      <c r="AM34" s="22">
        <v>215243</v>
      </c>
      <c r="AN34" s="22">
        <v>194340.5</v>
      </c>
      <c r="AO34" s="23">
        <v>-8.8194033912301004E-2</v>
      </c>
      <c r="AP34" s="22">
        <v>310497</v>
      </c>
      <c r="AQ34" s="22">
        <v>316790</v>
      </c>
      <c r="AR34" s="22">
        <v>250243.51</v>
      </c>
      <c r="AS34" s="23">
        <v>-0.19405498281787001</v>
      </c>
    </row>
    <row r="35" spans="1:45" ht="15" customHeight="1" x14ac:dyDescent="0.2">
      <c r="A35" s="26" t="s">
        <v>272</v>
      </c>
      <c r="B35" s="27" t="s">
        <v>148</v>
      </c>
      <c r="C35" s="27" t="s">
        <v>267</v>
      </c>
      <c r="D35" s="28" t="s">
        <v>273</v>
      </c>
      <c r="E35" s="28" t="s">
        <v>274</v>
      </c>
      <c r="F35" s="29">
        <v>89</v>
      </c>
      <c r="G35" s="30"/>
      <c r="H35" s="27"/>
      <c r="I35" s="27"/>
      <c r="J35" s="31">
        <v>1583445</v>
      </c>
      <c r="K35" s="31">
        <v>1583445</v>
      </c>
      <c r="L35" s="31">
        <v>855439.25</v>
      </c>
      <c r="M35" s="31">
        <v>728005.75</v>
      </c>
      <c r="N35" s="32">
        <v>0.45976068003624998</v>
      </c>
      <c r="O35" s="31">
        <v>325026</v>
      </c>
      <c r="P35" s="29">
        <v>10969</v>
      </c>
      <c r="Q35" s="29">
        <v>32</v>
      </c>
      <c r="R35" s="29">
        <v>18</v>
      </c>
      <c r="S35" s="30"/>
      <c r="T35" s="32">
        <v>0.58426354478627796</v>
      </c>
      <c r="U35" s="30"/>
      <c r="V35" s="33">
        <v>29.496869044377899</v>
      </c>
      <c r="W35" s="33">
        <v>60.173699999999997</v>
      </c>
      <c r="X35" s="34">
        <v>1.3421000000000001</v>
      </c>
      <c r="Y35" s="32">
        <v>3.7788312517093602E-2</v>
      </c>
      <c r="Z35" s="31">
        <v>320019.62</v>
      </c>
      <c r="AA35" s="29">
        <v>0</v>
      </c>
      <c r="AB35" s="28"/>
      <c r="AC35" s="32"/>
      <c r="AD35" s="30">
        <v>123.247191011236</v>
      </c>
      <c r="AE35" s="31">
        <v>3651.9775280898898</v>
      </c>
      <c r="AF35" s="31">
        <v>3595.7260674157301</v>
      </c>
      <c r="AG35" s="31">
        <v>17791.5168539326</v>
      </c>
      <c r="AH35" s="32">
        <v>0.20526510235593901</v>
      </c>
      <c r="AI35" s="32">
        <v>0.20210340112855199</v>
      </c>
      <c r="AJ35" s="29"/>
      <c r="AK35" s="30"/>
      <c r="AL35" s="31">
        <v>358840</v>
      </c>
      <c r="AM35" s="31">
        <v>368155</v>
      </c>
      <c r="AN35" s="31">
        <v>325026</v>
      </c>
      <c r="AO35" s="32">
        <v>-9.42314123286144E-2</v>
      </c>
      <c r="AP35" s="31">
        <v>548895</v>
      </c>
      <c r="AQ35" s="31">
        <v>551921</v>
      </c>
      <c r="AR35" s="31">
        <v>320019.62</v>
      </c>
      <c r="AS35" s="32">
        <v>-0.41697479481503802</v>
      </c>
    </row>
    <row r="36" spans="1:45" ht="15" customHeight="1" x14ac:dyDescent="0.2">
      <c r="A36" s="17" t="s">
        <v>275</v>
      </c>
      <c r="B36" s="18" t="s">
        <v>148</v>
      </c>
      <c r="C36" s="18" t="s">
        <v>267</v>
      </c>
      <c r="D36" s="19" t="s">
        <v>276</v>
      </c>
      <c r="E36" s="19" t="s">
        <v>226</v>
      </c>
      <c r="F36" s="20">
        <v>78</v>
      </c>
      <c r="G36" s="21"/>
      <c r="H36" s="18"/>
      <c r="I36" s="18"/>
      <c r="J36" s="22">
        <v>855264</v>
      </c>
      <c r="K36" s="22">
        <v>855264</v>
      </c>
      <c r="L36" s="22">
        <v>588885.61</v>
      </c>
      <c r="M36" s="22">
        <v>266378.39</v>
      </c>
      <c r="N36" s="23">
        <v>0.31145750318030502</v>
      </c>
      <c r="O36" s="22">
        <v>219024.35</v>
      </c>
      <c r="P36" s="20">
        <v>7722.75</v>
      </c>
      <c r="Q36" s="20">
        <v>24</v>
      </c>
      <c r="R36" s="20">
        <v>15</v>
      </c>
      <c r="S36" s="21"/>
      <c r="T36" s="23">
        <v>0.62733482244019301</v>
      </c>
      <c r="U36" s="21"/>
      <c r="V36" s="24">
        <v>28.4914700074455</v>
      </c>
      <c r="W36" s="24">
        <v>58.122700000000002</v>
      </c>
      <c r="X36" s="25">
        <v>1.3421000000000001</v>
      </c>
      <c r="Y36" s="23">
        <v>1.2560292641869799E-2</v>
      </c>
      <c r="Z36" s="22">
        <v>216377.88</v>
      </c>
      <c r="AA36" s="20">
        <v>0</v>
      </c>
      <c r="AB36" s="19"/>
      <c r="AC36" s="23"/>
      <c r="AD36" s="21">
        <v>99.009615384615401</v>
      </c>
      <c r="AE36" s="22">
        <v>2808.0044871794898</v>
      </c>
      <c r="AF36" s="22">
        <v>2774.0753846153798</v>
      </c>
      <c r="AG36" s="22">
        <v>10964.9230769231</v>
      </c>
      <c r="AH36" s="23">
        <v>0.25608975708085502</v>
      </c>
      <c r="AI36" s="23">
        <v>0.25299542597373398</v>
      </c>
      <c r="AJ36" s="20"/>
      <c r="AK36" s="21"/>
      <c r="AL36" s="22">
        <v>206175</v>
      </c>
      <c r="AM36" s="22">
        <v>208605</v>
      </c>
      <c r="AN36" s="22">
        <v>219024.35</v>
      </c>
      <c r="AO36" s="23">
        <v>6.2322541530253503E-2</v>
      </c>
      <c r="AP36" s="22">
        <v>262392</v>
      </c>
      <c r="AQ36" s="22">
        <v>279401</v>
      </c>
      <c r="AR36" s="22">
        <v>216377.88</v>
      </c>
      <c r="AS36" s="23">
        <v>-0.17536403548888699</v>
      </c>
    </row>
    <row r="37" spans="1:45" ht="15" customHeight="1" x14ac:dyDescent="0.2">
      <c r="A37" s="26" t="s">
        <v>277</v>
      </c>
      <c r="B37" s="27" t="s">
        <v>148</v>
      </c>
      <c r="C37" s="27" t="s">
        <v>267</v>
      </c>
      <c r="D37" s="28" t="s">
        <v>278</v>
      </c>
      <c r="E37" s="28" t="s">
        <v>279</v>
      </c>
      <c r="F37" s="29">
        <v>158</v>
      </c>
      <c r="G37" s="30"/>
      <c r="H37" s="27"/>
      <c r="I37" s="27"/>
      <c r="J37" s="31">
        <v>2110205</v>
      </c>
      <c r="K37" s="31">
        <v>2110205</v>
      </c>
      <c r="L37" s="31">
        <v>1138172</v>
      </c>
      <c r="M37" s="31">
        <v>972033</v>
      </c>
      <c r="N37" s="32">
        <v>0.46063439334093098</v>
      </c>
      <c r="O37" s="31">
        <v>404811.73</v>
      </c>
      <c r="P37" s="29">
        <v>14541</v>
      </c>
      <c r="Q37" s="29">
        <v>39</v>
      </c>
      <c r="R37" s="29">
        <v>29</v>
      </c>
      <c r="S37" s="30"/>
      <c r="T37" s="32">
        <v>0.45725888324873099</v>
      </c>
      <c r="U37" s="30"/>
      <c r="V37" s="33">
        <v>27.414788494077801</v>
      </c>
      <c r="W37" s="33">
        <v>55.926299999999998</v>
      </c>
      <c r="X37" s="34">
        <v>1.3421000000000001</v>
      </c>
      <c r="Y37" s="32">
        <v>2.6098617701671101E-2</v>
      </c>
      <c r="Z37" s="31">
        <v>497590.37</v>
      </c>
      <c r="AA37" s="29">
        <v>0</v>
      </c>
      <c r="AB37" s="28"/>
      <c r="AC37" s="32"/>
      <c r="AD37" s="30">
        <v>92.031645569620295</v>
      </c>
      <c r="AE37" s="31">
        <v>2562.09955696203</v>
      </c>
      <c r="AF37" s="31">
        <v>3149.3061392405102</v>
      </c>
      <c r="AG37" s="31">
        <v>13355.7278481013</v>
      </c>
      <c r="AH37" s="32">
        <v>0.19183526245080501</v>
      </c>
      <c r="AI37" s="32">
        <v>0.23580191024094799</v>
      </c>
      <c r="AJ37" s="29"/>
      <c r="AK37" s="30"/>
      <c r="AL37" s="31">
        <v>533695</v>
      </c>
      <c r="AM37" s="31">
        <v>595919</v>
      </c>
      <c r="AN37" s="31">
        <v>404811.73</v>
      </c>
      <c r="AO37" s="32">
        <v>-0.24149236923711101</v>
      </c>
      <c r="AP37" s="31">
        <v>520410</v>
      </c>
      <c r="AQ37" s="31">
        <v>608708</v>
      </c>
      <c r="AR37" s="31">
        <v>497590.37</v>
      </c>
      <c r="AS37" s="32">
        <v>-4.3849330335696997E-2</v>
      </c>
    </row>
    <row r="38" spans="1:45" ht="15" customHeight="1" x14ac:dyDescent="0.2">
      <c r="A38" s="17" t="s">
        <v>280</v>
      </c>
      <c r="B38" s="18" t="s">
        <v>148</v>
      </c>
      <c r="C38" s="18" t="s">
        <v>267</v>
      </c>
      <c r="D38" s="19" t="s">
        <v>281</v>
      </c>
      <c r="E38" s="19" t="s">
        <v>251</v>
      </c>
      <c r="F38" s="20">
        <v>110</v>
      </c>
      <c r="G38" s="21"/>
      <c r="H38" s="18"/>
      <c r="I38" s="18"/>
      <c r="J38" s="22">
        <v>1721867</v>
      </c>
      <c r="K38" s="22">
        <v>1721867</v>
      </c>
      <c r="L38" s="22">
        <v>971410.53</v>
      </c>
      <c r="M38" s="22">
        <v>750456.47</v>
      </c>
      <c r="N38" s="23">
        <v>0.43583881333459601</v>
      </c>
      <c r="O38" s="22">
        <v>349617.68</v>
      </c>
      <c r="P38" s="20">
        <v>12479.5</v>
      </c>
      <c r="Q38" s="20">
        <v>32</v>
      </c>
      <c r="R38" s="20">
        <v>21</v>
      </c>
      <c r="S38" s="21"/>
      <c r="T38" s="23">
        <v>0.44761829715141299</v>
      </c>
      <c r="U38" s="21"/>
      <c r="V38" s="24">
        <v>27.5870730073677</v>
      </c>
      <c r="W38" s="24">
        <v>56.277700000000003</v>
      </c>
      <c r="X38" s="25">
        <v>1.3421000000000001</v>
      </c>
      <c r="Y38" s="23">
        <v>4.1668336071156699E-2</v>
      </c>
      <c r="Z38" s="22">
        <v>378784.06</v>
      </c>
      <c r="AA38" s="20">
        <v>0</v>
      </c>
      <c r="AB38" s="19"/>
      <c r="AC38" s="23"/>
      <c r="AD38" s="21">
        <v>113.45</v>
      </c>
      <c r="AE38" s="22">
        <v>3178.34254545455</v>
      </c>
      <c r="AF38" s="22">
        <v>3443.4914545454499</v>
      </c>
      <c r="AG38" s="22">
        <v>15653.336363636399</v>
      </c>
      <c r="AH38" s="23">
        <v>0.20304569400540201</v>
      </c>
      <c r="AI38" s="23">
        <v>0.21998450519116799</v>
      </c>
      <c r="AJ38" s="20"/>
      <c r="AK38" s="21"/>
      <c r="AL38" s="22">
        <v>426875</v>
      </c>
      <c r="AM38" s="22">
        <v>439190</v>
      </c>
      <c r="AN38" s="22">
        <v>349617.68</v>
      </c>
      <c r="AO38" s="23">
        <v>-0.18098347291361599</v>
      </c>
      <c r="AP38" s="22">
        <v>459229</v>
      </c>
      <c r="AQ38" s="22">
        <v>493642</v>
      </c>
      <c r="AR38" s="22">
        <v>378784.06</v>
      </c>
      <c r="AS38" s="23">
        <v>-0.175173911055269</v>
      </c>
    </row>
    <row r="39" spans="1:45" ht="15" customHeight="1" x14ac:dyDescent="0.2">
      <c r="A39" s="26" t="s">
        <v>282</v>
      </c>
      <c r="B39" s="27" t="s">
        <v>148</v>
      </c>
      <c r="C39" s="27" t="s">
        <v>267</v>
      </c>
      <c r="D39" s="28" t="s">
        <v>283</v>
      </c>
      <c r="E39" s="28" t="s">
        <v>279</v>
      </c>
      <c r="F39" s="29">
        <v>70</v>
      </c>
      <c r="G39" s="30"/>
      <c r="H39" s="27"/>
      <c r="I39" s="27"/>
      <c r="J39" s="31">
        <v>553189</v>
      </c>
      <c r="K39" s="31">
        <v>553189</v>
      </c>
      <c r="L39" s="31">
        <v>366275.78</v>
      </c>
      <c r="M39" s="31">
        <v>186913.22</v>
      </c>
      <c r="N39" s="32">
        <v>0.33788311047399699</v>
      </c>
      <c r="O39" s="31">
        <v>150690.75</v>
      </c>
      <c r="P39" s="29">
        <v>5837</v>
      </c>
      <c r="Q39" s="29">
        <v>33</v>
      </c>
      <c r="R39" s="29">
        <v>17</v>
      </c>
      <c r="S39" s="30"/>
      <c r="T39" s="32">
        <v>0.53445686634406797</v>
      </c>
      <c r="U39" s="30"/>
      <c r="V39" s="33">
        <v>25.144460203570802</v>
      </c>
      <c r="W39" s="33">
        <v>51.294800000000002</v>
      </c>
      <c r="X39" s="34">
        <v>1.3421000000000001</v>
      </c>
      <c r="Y39" s="32">
        <v>3.75192735994518E-2</v>
      </c>
      <c r="Z39" s="31">
        <v>133195.01999999999</v>
      </c>
      <c r="AA39" s="29">
        <v>0</v>
      </c>
      <c r="AB39" s="28"/>
      <c r="AC39" s="32"/>
      <c r="AD39" s="30">
        <v>83.3857142857143</v>
      </c>
      <c r="AE39" s="31">
        <v>2152.7249999999999</v>
      </c>
      <c r="AF39" s="31">
        <v>1902.7860000000001</v>
      </c>
      <c r="AG39" s="31">
        <v>7902.7</v>
      </c>
      <c r="AH39" s="32">
        <v>0.27240373543219398</v>
      </c>
      <c r="AI39" s="32">
        <v>0.240776696572058</v>
      </c>
      <c r="AJ39" s="29"/>
      <c r="AK39" s="30"/>
      <c r="AL39" s="31">
        <v>127757</v>
      </c>
      <c r="AM39" s="31">
        <v>145329</v>
      </c>
      <c r="AN39" s="31">
        <v>150690.75</v>
      </c>
      <c r="AO39" s="32">
        <v>0.17951071174182201</v>
      </c>
      <c r="AP39" s="31">
        <v>149685</v>
      </c>
      <c r="AQ39" s="31">
        <v>172896</v>
      </c>
      <c r="AR39" s="31">
        <v>133195.01999999999</v>
      </c>
      <c r="AS39" s="32">
        <v>-0.110164545545646</v>
      </c>
    </row>
    <row r="40" spans="1:45" ht="15" customHeight="1" x14ac:dyDescent="0.2">
      <c r="A40" s="17" t="s">
        <v>284</v>
      </c>
      <c r="B40" s="18" t="s">
        <v>148</v>
      </c>
      <c r="C40" s="18" t="s">
        <v>267</v>
      </c>
      <c r="D40" s="19" t="s">
        <v>283</v>
      </c>
      <c r="E40" s="19" t="s">
        <v>279</v>
      </c>
      <c r="F40" s="20">
        <v>72</v>
      </c>
      <c r="G40" s="21"/>
      <c r="H40" s="18"/>
      <c r="I40" s="18"/>
      <c r="J40" s="22">
        <v>517068</v>
      </c>
      <c r="K40" s="22">
        <v>517068</v>
      </c>
      <c r="L40" s="22">
        <v>294712.63</v>
      </c>
      <c r="M40" s="22">
        <v>222355.37</v>
      </c>
      <c r="N40" s="23">
        <v>0.43003119512327198</v>
      </c>
      <c r="O40" s="22">
        <v>117360.75</v>
      </c>
      <c r="P40" s="20">
        <v>4658.5</v>
      </c>
      <c r="Q40" s="20">
        <v>30</v>
      </c>
      <c r="R40" s="20">
        <v>15</v>
      </c>
      <c r="S40" s="21"/>
      <c r="T40" s="23">
        <v>0.52584822862035796</v>
      </c>
      <c r="U40" s="21"/>
      <c r="V40" s="24">
        <v>25.122712190945101</v>
      </c>
      <c r="W40" s="24">
        <v>51.250399999999999</v>
      </c>
      <c r="X40" s="25">
        <v>1.3421000000000001</v>
      </c>
      <c r="Y40" s="23">
        <v>7.1696898143179102E-2</v>
      </c>
      <c r="Z40" s="22">
        <v>115436.54</v>
      </c>
      <c r="AA40" s="20">
        <v>0</v>
      </c>
      <c r="AB40" s="19"/>
      <c r="AC40" s="23"/>
      <c r="AD40" s="21">
        <v>64.7013888888889</v>
      </c>
      <c r="AE40" s="22">
        <v>1630.0104166666699</v>
      </c>
      <c r="AF40" s="22">
        <v>1603.28527777778</v>
      </c>
      <c r="AG40" s="22">
        <v>7181.5</v>
      </c>
      <c r="AH40" s="23">
        <v>0.226973531527768</v>
      </c>
      <c r="AI40" s="23">
        <v>0.22325214478559899</v>
      </c>
      <c r="AJ40" s="20"/>
      <c r="AK40" s="21"/>
      <c r="AL40" s="22">
        <v>137961</v>
      </c>
      <c r="AM40" s="22">
        <v>145518</v>
      </c>
      <c r="AN40" s="22">
        <v>117360.75</v>
      </c>
      <c r="AO40" s="23">
        <v>-0.149319372866245</v>
      </c>
      <c r="AP40" s="22">
        <v>143792</v>
      </c>
      <c r="AQ40" s="22">
        <v>151898</v>
      </c>
      <c r="AR40" s="22">
        <v>115436.54</v>
      </c>
      <c r="AS40" s="23">
        <v>-0.197197757872482</v>
      </c>
    </row>
    <row r="41" spans="1:45" ht="15" customHeight="1" x14ac:dyDescent="0.2">
      <c r="A41" s="26" t="s">
        <v>285</v>
      </c>
      <c r="B41" s="27" t="s">
        <v>148</v>
      </c>
      <c r="C41" s="27" t="s">
        <v>267</v>
      </c>
      <c r="D41" s="28" t="s">
        <v>283</v>
      </c>
      <c r="E41" s="28" t="s">
        <v>279</v>
      </c>
      <c r="F41" s="29">
        <v>296</v>
      </c>
      <c r="G41" s="30"/>
      <c r="H41" s="27"/>
      <c r="I41" s="27"/>
      <c r="J41" s="31">
        <v>2999780</v>
      </c>
      <c r="K41" s="31">
        <v>2999780</v>
      </c>
      <c r="L41" s="31">
        <v>1532182.53</v>
      </c>
      <c r="M41" s="31">
        <v>1467597.47</v>
      </c>
      <c r="N41" s="32">
        <v>0.48923503390248602</v>
      </c>
      <c r="O41" s="31">
        <v>568449.55000000005</v>
      </c>
      <c r="P41" s="29">
        <v>21791.25</v>
      </c>
      <c r="Q41" s="29">
        <v>58</v>
      </c>
      <c r="R41" s="29">
        <v>36</v>
      </c>
      <c r="S41" s="30"/>
      <c r="T41" s="32">
        <v>0.385072814143474</v>
      </c>
      <c r="U41" s="30"/>
      <c r="V41" s="33">
        <v>26.185289595196899</v>
      </c>
      <c r="W41" s="33">
        <v>53.418100000000003</v>
      </c>
      <c r="X41" s="34">
        <v>1.3421000000000001</v>
      </c>
      <c r="Y41" s="32">
        <v>6.3110193311535598E-2</v>
      </c>
      <c r="Z41" s="31">
        <v>618442.18000000005</v>
      </c>
      <c r="AA41" s="29">
        <v>0</v>
      </c>
      <c r="AB41" s="28"/>
      <c r="AC41" s="32"/>
      <c r="AD41" s="30">
        <v>73.619087837837796</v>
      </c>
      <c r="AE41" s="31">
        <v>1920.4376689189201</v>
      </c>
      <c r="AF41" s="31">
        <v>2089.33168918919</v>
      </c>
      <c r="AG41" s="31">
        <v>10134.391891891901</v>
      </c>
      <c r="AH41" s="32">
        <v>0.18949707978585101</v>
      </c>
      <c r="AI41" s="32">
        <v>0.20616251191754101</v>
      </c>
      <c r="AJ41" s="29"/>
      <c r="AK41" s="30"/>
      <c r="AL41" s="31">
        <v>810120</v>
      </c>
      <c r="AM41" s="31">
        <v>848910</v>
      </c>
      <c r="AN41" s="31">
        <v>568449.55000000005</v>
      </c>
      <c r="AO41" s="32">
        <v>-0.298314385523132</v>
      </c>
      <c r="AP41" s="31">
        <v>669800</v>
      </c>
      <c r="AQ41" s="31">
        <v>691822</v>
      </c>
      <c r="AR41" s="31">
        <v>618442.18000000005</v>
      </c>
      <c r="AS41" s="32">
        <v>-7.6676351149596797E-2</v>
      </c>
    </row>
    <row r="42" spans="1:45" ht="15" customHeight="1" x14ac:dyDescent="0.2">
      <c r="A42" s="17" t="s">
        <v>286</v>
      </c>
      <c r="B42" s="18" t="s">
        <v>148</v>
      </c>
      <c r="C42" s="18" t="s">
        <v>267</v>
      </c>
      <c r="D42" s="19" t="s">
        <v>283</v>
      </c>
      <c r="E42" s="19" t="s">
        <v>279</v>
      </c>
      <c r="F42" s="20">
        <v>50</v>
      </c>
      <c r="G42" s="21"/>
      <c r="H42" s="18"/>
      <c r="I42" s="18"/>
      <c r="J42" s="22">
        <v>918566</v>
      </c>
      <c r="K42" s="22">
        <v>918566</v>
      </c>
      <c r="L42" s="22">
        <v>491756.9</v>
      </c>
      <c r="M42" s="22">
        <v>426809.1</v>
      </c>
      <c r="N42" s="23">
        <v>0.46464717831925001</v>
      </c>
      <c r="O42" s="22">
        <v>163505.5</v>
      </c>
      <c r="P42" s="20">
        <v>5681.5</v>
      </c>
      <c r="Q42" s="20">
        <v>22</v>
      </c>
      <c r="R42" s="20">
        <v>14</v>
      </c>
      <c r="S42" s="21"/>
      <c r="T42" s="23">
        <v>0.67250802463780701</v>
      </c>
      <c r="U42" s="21"/>
      <c r="V42" s="24">
        <v>28.405222521037601</v>
      </c>
      <c r="W42" s="24">
        <v>57.997900000000001</v>
      </c>
      <c r="X42" s="25">
        <v>1.3421000000000001</v>
      </c>
      <c r="Y42" s="23">
        <v>2.5433424271759202E-2</v>
      </c>
      <c r="Z42" s="22">
        <v>204958.79</v>
      </c>
      <c r="AA42" s="20">
        <v>0</v>
      </c>
      <c r="AB42" s="19"/>
      <c r="AC42" s="23"/>
      <c r="AD42" s="21">
        <v>113.63</v>
      </c>
      <c r="AE42" s="22">
        <v>3270.11</v>
      </c>
      <c r="AF42" s="22">
        <v>4099.1758</v>
      </c>
      <c r="AG42" s="22">
        <v>18371.32</v>
      </c>
      <c r="AH42" s="23">
        <v>0.17800081866735801</v>
      </c>
      <c r="AI42" s="23">
        <v>0.22312908381107099</v>
      </c>
      <c r="AJ42" s="20"/>
      <c r="AK42" s="21"/>
      <c r="AL42" s="22">
        <v>201030</v>
      </c>
      <c r="AM42" s="22">
        <v>207425</v>
      </c>
      <c r="AN42" s="22">
        <v>163505.5</v>
      </c>
      <c r="AO42" s="23">
        <v>-0.18666119484654001</v>
      </c>
      <c r="AP42" s="22">
        <v>305655</v>
      </c>
      <c r="AQ42" s="22">
        <v>311905</v>
      </c>
      <c r="AR42" s="22">
        <v>204958.79</v>
      </c>
      <c r="AS42" s="23">
        <v>-0.32944401367554899</v>
      </c>
    </row>
    <row r="43" spans="1:45" ht="15" customHeight="1" x14ac:dyDescent="0.2">
      <c r="A43" s="26" t="s">
        <v>287</v>
      </c>
      <c r="B43" s="27" t="s">
        <v>148</v>
      </c>
      <c r="C43" s="27" t="s">
        <v>267</v>
      </c>
      <c r="D43" s="28" t="s">
        <v>288</v>
      </c>
      <c r="E43" s="28" t="s">
        <v>232</v>
      </c>
      <c r="F43" s="29">
        <v>163</v>
      </c>
      <c r="G43" s="30"/>
      <c r="H43" s="27"/>
      <c r="I43" s="27"/>
      <c r="J43" s="31">
        <v>2588279.5</v>
      </c>
      <c r="K43" s="31">
        <v>2588279.5</v>
      </c>
      <c r="L43" s="31">
        <v>1288549.21</v>
      </c>
      <c r="M43" s="31">
        <v>1299730.29</v>
      </c>
      <c r="N43" s="32">
        <v>0.50215994447276702</v>
      </c>
      <c r="O43" s="31">
        <v>536090.56999999995</v>
      </c>
      <c r="P43" s="29">
        <v>18720.5</v>
      </c>
      <c r="Q43" s="29">
        <v>45</v>
      </c>
      <c r="R43" s="29">
        <v>31</v>
      </c>
      <c r="S43" s="30"/>
      <c r="T43" s="32">
        <v>0.35720497212133601</v>
      </c>
      <c r="U43" s="30"/>
      <c r="V43" s="33">
        <v>27.520423039541701</v>
      </c>
      <c r="W43" s="33">
        <v>55.299199999999999</v>
      </c>
      <c r="X43" s="34">
        <v>1.3353999999999999</v>
      </c>
      <c r="Y43" s="32">
        <v>1.3220800726476301E-2</v>
      </c>
      <c r="Z43" s="31">
        <v>431531</v>
      </c>
      <c r="AA43" s="29">
        <v>0</v>
      </c>
      <c r="AB43" s="28"/>
      <c r="AC43" s="32"/>
      <c r="AD43" s="30">
        <v>114.84969325153401</v>
      </c>
      <c r="AE43" s="31">
        <v>3288.8992024539898</v>
      </c>
      <c r="AF43" s="31">
        <v>2647.4294478527599</v>
      </c>
      <c r="AG43" s="31">
        <v>15879.0153374233</v>
      </c>
      <c r="AH43" s="32">
        <v>0.20712236448961599</v>
      </c>
      <c r="AI43" s="32">
        <v>0.16672503877575801</v>
      </c>
      <c r="AJ43" s="29"/>
      <c r="AK43" s="30"/>
      <c r="AL43" s="31">
        <v>737325</v>
      </c>
      <c r="AM43" s="31">
        <v>657984</v>
      </c>
      <c r="AN43" s="31">
        <v>536090.56999999995</v>
      </c>
      <c r="AO43" s="32">
        <v>-0.27292500593361102</v>
      </c>
      <c r="AP43" s="31">
        <v>755185</v>
      </c>
      <c r="AQ43" s="31">
        <v>673732</v>
      </c>
      <c r="AR43" s="31">
        <v>431531</v>
      </c>
      <c r="AS43" s="32">
        <v>-0.42857577944477199</v>
      </c>
    </row>
    <row r="44" spans="1:45" ht="15" customHeight="1" x14ac:dyDescent="0.2">
      <c r="A44" s="17" t="s">
        <v>289</v>
      </c>
      <c r="B44" s="18" t="s">
        <v>148</v>
      </c>
      <c r="C44" s="18" t="s">
        <v>267</v>
      </c>
      <c r="D44" s="19" t="s">
        <v>290</v>
      </c>
      <c r="E44" s="19" t="s">
        <v>291</v>
      </c>
      <c r="F44" s="20">
        <v>107</v>
      </c>
      <c r="G44" s="21"/>
      <c r="H44" s="18"/>
      <c r="I44" s="18"/>
      <c r="J44" s="22">
        <v>2231035</v>
      </c>
      <c r="K44" s="22">
        <v>2231035</v>
      </c>
      <c r="L44" s="22">
        <v>1217236.76</v>
      </c>
      <c r="M44" s="22">
        <v>1013798.24</v>
      </c>
      <c r="N44" s="23">
        <v>0.45440714287315098</v>
      </c>
      <c r="O44" s="22">
        <v>443242.25</v>
      </c>
      <c r="P44" s="20">
        <v>15292.5</v>
      </c>
      <c r="Q44" s="20">
        <v>39</v>
      </c>
      <c r="R44" s="20">
        <v>25</v>
      </c>
      <c r="S44" s="21"/>
      <c r="T44" s="23">
        <v>0.43262019933123402</v>
      </c>
      <c r="U44" s="21"/>
      <c r="V44" s="24">
        <v>28.7791611206701</v>
      </c>
      <c r="W44" s="24">
        <v>58.709600000000002</v>
      </c>
      <c r="X44" s="25">
        <v>1.3421000000000001</v>
      </c>
      <c r="Y44" s="23">
        <v>2.54046101029917E-2</v>
      </c>
      <c r="Z44" s="22">
        <v>479362.75</v>
      </c>
      <c r="AA44" s="20">
        <v>0</v>
      </c>
      <c r="AB44" s="19"/>
      <c r="AC44" s="23"/>
      <c r="AD44" s="21">
        <v>142.92056074766401</v>
      </c>
      <c r="AE44" s="22">
        <v>4142.4509345794404</v>
      </c>
      <c r="AF44" s="22">
        <v>4480.0257009345796</v>
      </c>
      <c r="AG44" s="22">
        <v>20850.794392523399</v>
      </c>
      <c r="AH44" s="23">
        <v>0.19867113245646101</v>
      </c>
      <c r="AI44" s="23">
        <v>0.21486115188690499</v>
      </c>
      <c r="AJ44" s="20"/>
      <c r="AK44" s="21"/>
      <c r="AL44" s="22">
        <v>492160</v>
      </c>
      <c r="AM44" s="22">
        <v>520965</v>
      </c>
      <c r="AN44" s="22">
        <v>443242.25</v>
      </c>
      <c r="AO44" s="23">
        <v>-9.9393997886866106E-2</v>
      </c>
      <c r="AP44" s="22">
        <v>725720</v>
      </c>
      <c r="AQ44" s="22">
        <v>754934</v>
      </c>
      <c r="AR44" s="22">
        <v>479362.75</v>
      </c>
      <c r="AS44" s="23">
        <v>-0.33946597861434202</v>
      </c>
    </row>
    <row r="45" spans="1:45" ht="15" customHeight="1" x14ac:dyDescent="0.2">
      <c r="A45" s="26" t="s">
        <v>292</v>
      </c>
      <c r="B45" s="27" t="s">
        <v>148</v>
      </c>
      <c r="C45" s="27" t="s">
        <v>267</v>
      </c>
      <c r="D45" s="28" t="s">
        <v>293</v>
      </c>
      <c r="E45" s="28" t="s">
        <v>294</v>
      </c>
      <c r="F45" s="29">
        <v>136</v>
      </c>
      <c r="G45" s="30"/>
      <c r="H45" s="27"/>
      <c r="I45" s="27"/>
      <c r="J45" s="31">
        <v>2332680</v>
      </c>
      <c r="K45" s="31">
        <v>2332680</v>
      </c>
      <c r="L45" s="31">
        <v>1398972.74</v>
      </c>
      <c r="M45" s="31">
        <v>933707.26</v>
      </c>
      <c r="N45" s="32">
        <v>0.400272330538265</v>
      </c>
      <c r="O45" s="31">
        <v>557411.5</v>
      </c>
      <c r="P45" s="29">
        <v>19334</v>
      </c>
      <c r="Q45" s="29">
        <v>39</v>
      </c>
      <c r="R45" s="29">
        <v>23</v>
      </c>
      <c r="S45" s="30"/>
      <c r="T45" s="32">
        <v>0.47977922211905499</v>
      </c>
      <c r="U45" s="30"/>
      <c r="V45" s="33">
        <v>28.753301351490801</v>
      </c>
      <c r="W45" s="33">
        <v>56.3566</v>
      </c>
      <c r="X45" s="34">
        <v>1.3243</v>
      </c>
      <c r="Y45" s="32">
        <v>2.1128581773042301E-2</v>
      </c>
      <c r="Z45" s="31">
        <v>478591.1</v>
      </c>
      <c r="AA45" s="29">
        <v>0</v>
      </c>
      <c r="AB45" s="28"/>
      <c r="AC45" s="32"/>
      <c r="AD45" s="30">
        <v>142.16176470588201</v>
      </c>
      <c r="AE45" s="31">
        <v>4098.6139705882397</v>
      </c>
      <c r="AF45" s="31">
        <v>3519.0522058823499</v>
      </c>
      <c r="AG45" s="31">
        <v>17152.058823529402</v>
      </c>
      <c r="AH45" s="32">
        <v>0.23895755097141499</v>
      </c>
      <c r="AI45" s="32">
        <v>0.20516791844573601</v>
      </c>
      <c r="AJ45" s="29"/>
      <c r="AK45" s="30"/>
      <c r="AL45" s="31">
        <v>517023</v>
      </c>
      <c r="AM45" s="31">
        <v>525505</v>
      </c>
      <c r="AN45" s="31">
        <v>557411.5</v>
      </c>
      <c r="AO45" s="32">
        <v>7.8117414505737698E-2</v>
      </c>
      <c r="AP45" s="31">
        <v>785523</v>
      </c>
      <c r="AQ45" s="31">
        <v>787591</v>
      </c>
      <c r="AR45" s="31">
        <v>478591.1</v>
      </c>
      <c r="AS45" s="32">
        <v>-0.390735726388661</v>
      </c>
    </row>
    <row r="46" spans="1:45" ht="15" customHeight="1" x14ac:dyDescent="0.2">
      <c r="A46" s="17" t="s">
        <v>295</v>
      </c>
      <c r="B46" s="18" t="s">
        <v>148</v>
      </c>
      <c r="C46" s="18" t="s">
        <v>267</v>
      </c>
      <c r="D46" s="19" t="s">
        <v>296</v>
      </c>
      <c r="E46" s="19" t="s">
        <v>297</v>
      </c>
      <c r="F46" s="20">
        <v>68</v>
      </c>
      <c r="G46" s="21"/>
      <c r="H46" s="18"/>
      <c r="I46" s="18"/>
      <c r="J46" s="22">
        <v>843087</v>
      </c>
      <c r="K46" s="22">
        <v>843087</v>
      </c>
      <c r="L46" s="22">
        <v>645060.46</v>
      </c>
      <c r="M46" s="22">
        <v>122055.54</v>
      </c>
      <c r="N46" s="23">
        <v>0.14477217653694099</v>
      </c>
      <c r="O46" s="22">
        <v>282896.5</v>
      </c>
      <c r="P46" s="20">
        <v>8861.5</v>
      </c>
      <c r="Q46" s="20">
        <v>36</v>
      </c>
      <c r="R46" s="20">
        <v>18</v>
      </c>
      <c r="S46" s="21"/>
      <c r="T46" s="23">
        <v>0.62106076210092698</v>
      </c>
      <c r="U46" s="21"/>
      <c r="V46" s="24">
        <v>29.134552008238899</v>
      </c>
      <c r="W46" s="24">
        <v>58.477699999999999</v>
      </c>
      <c r="X46" s="25">
        <v>1.3349</v>
      </c>
      <c r="Y46" s="23">
        <v>2.9453252835298802E-2</v>
      </c>
      <c r="Z46" s="22">
        <v>264321</v>
      </c>
      <c r="AA46" s="20">
        <v>0</v>
      </c>
      <c r="AB46" s="19"/>
      <c r="AC46" s="23"/>
      <c r="AD46" s="21">
        <v>130.316176470588</v>
      </c>
      <c r="AE46" s="22">
        <v>4160.2426470588198</v>
      </c>
      <c r="AF46" s="22">
        <v>3887.0735294117599</v>
      </c>
      <c r="AG46" s="22">
        <v>12398.338235294101</v>
      </c>
      <c r="AH46" s="23">
        <v>0.33554840722250501</v>
      </c>
      <c r="AI46" s="23">
        <v>0.31351568699315702</v>
      </c>
      <c r="AJ46" s="20"/>
      <c r="AK46" s="21"/>
      <c r="AL46" s="22">
        <v>199006</v>
      </c>
      <c r="AM46" s="22">
        <v>202906</v>
      </c>
      <c r="AN46" s="22">
        <v>282896.5</v>
      </c>
      <c r="AO46" s="23">
        <v>0.42154759152990401</v>
      </c>
      <c r="AP46" s="22">
        <v>247326</v>
      </c>
      <c r="AQ46" s="22">
        <v>290842</v>
      </c>
      <c r="AR46" s="22">
        <v>264321</v>
      </c>
      <c r="AS46" s="23">
        <v>6.8714975376628198E-2</v>
      </c>
    </row>
    <row r="47" spans="1:45" ht="15" customHeight="1" x14ac:dyDescent="0.2">
      <c r="A47" s="26" t="s">
        <v>298</v>
      </c>
      <c r="B47" s="27" t="s">
        <v>148</v>
      </c>
      <c r="C47" s="27" t="s">
        <v>267</v>
      </c>
      <c r="D47" s="28" t="s">
        <v>299</v>
      </c>
      <c r="E47" s="28" t="s">
        <v>297</v>
      </c>
      <c r="F47" s="29">
        <v>98</v>
      </c>
      <c r="G47" s="30"/>
      <c r="H47" s="27"/>
      <c r="I47" s="27"/>
      <c r="J47" s="31">
        <v>1315429</v>
      </c>
      <c r="K47" s="31">
        <v>1315429</v>
      </c>
      <c r="L47" s="31">
        <v>976727.45</v>
      </c>
      <c r="M47" s="31">
        <v>338701.55</v>
      </c>
      <c r="N47" s="32">
        <v>0.25748371823944899</v>
      </c>
      <c r="O47" s="31">
        <v>334415.5</v>
      </c>
      <c r="P47" s="29">
        <v>9850.5</v>
      </c>
      <c r="Q47" s="29">
        <v>38</v>
      </c>
      <c r="R47" s="29">
        <v>25</v>
      </c>
      <c r="S47" s="30"/>
      <c r="T47" s="32">
        <v>0.51356422088129405</v>
      </c>
      <c r="U47" s="30"/>
      <c r="V47" s="33">
        <v>33.914659500025401</v>
      </c>
      <c r="W47" s="33">
        <v>67.357399999999998</v>
      </c>
      <c r="X47" s="34">
        <v>1.3302</v>
      </c>
      <c r="Y47" s="32">
        <v>1.38571646109335E-2</v>
      </c>
      <c r="Z47" s="31">
        <v>406456.61</v>
      </c>
      <c r="AA47" s="29">
        <v>0</v>
      </c>
      <c r="AB47" s="28"/>
      <c r="AC47" s="32"/>
      <c r="AD47" s="30">
        <v>100.515306122449</v>
      </c>
      <c r="AE47" s="31">
        <v>3412.4030612244901</v>
      </c>
      <c r="AF47" s="31">
        <v>4147.51642857143</v>
      </c>
      <c r="AG47" s="31">
        <v>13422.744897959201</v>
      </c>
      <c r="AH47" s="32">
        <v>0.25422542759814498</v>
      </c>
      <c r="AI47" s="32">
        <v>0.30899167495927199</v>
      </c>
      <c r="AJ47" s="29"/>
      <c r="AK47" s="30"/>
      <c r="AL47" s="31">
        <v>291480</v>
      </c>
      <c r="AM47" s="31">
        <v>339230</v>
      </c>
      <c r="AN47" s="31">
        <v>334415.5</v>
      </c>
      <c r="AO47" s="32">
        <v>0.147301701660491</v>
      </c>
      <c r="AP47" s="31">
        <v>377441</v>
      </c>
      <c r="AQ47" s="31">
        <v>405741</v>
      </c>
      <c r="AR47" s="31">
        <v>406456.61</v>
      </c>
      <c r="AS47" s="32">
        <v>7.6874557877920094E-2</v>
      </c>
    </row>
    <row r="48" spans="1:45" ht="15" customHeight="1" x14ac:dyDescent="0.2">
      <c r="A48" s="17" t="s">
        <v>300</v>
      </c>
      <c r="B48" s="18" t="s">
        <v>148</v>
      </c>
      <c r="C48" s="18" t="s">
        <v>267</v>
      </c>
      <c r="D48" s="19" t="s">
        <v>301</v>
      </c>
      <c r="E48" s="19" t="s">
        <v>163</v>
      </c>
      <c r="F48" s="20">
        <v>321</v>
      </c>
      <c r="G48" s="21"/>
      <c r="H48" s="18"/>
      <c r="I48" s="18"/>
      <c r="J48" s="22">
        <v>6034876</v>
      </c>
      <c r="K48" s="22">
        <v>6034876</v>
      </c>
      <c r="L48" s="22">
        <v>3389454.98</v>
      </c>
      <c r="M48" s="22">
        <v>2645421.02</v>
      </c>
      <c r="N48" s="23">
        <v>0.43835548899430599</v>
      </c>
      <c r="O48" s="22">
        <v>1358055.41</v>
      </c>
      <c r="P48" s="20">
        <v>16334</v>
      </c>
      <c r="Q48" s="20">
        <v>66</v>
      </c>
      <c r="R48" s="20">
        <v>53</v>
      </c>
      <c r="S48" s="21"/>
      <c r="T48" s="23">
        <v>0.27366915467733999</v>
      </c>
      <c r="U48" s="21"/>
      <c r="V48" s="24">
        <v>32.758596858135299</v>
      </c>
      <c r="W48" s="24">
        <v>62.298400000000001</v>
      </c>
      <c r="X48" s="25">
        <v>1.3108</v>
      </c>
      <c r="Y48" s="23">
        <v>8.11191379943676E-3</v>
      </c>
      <c r="Z48" s="22">
        <v>1238306.1399999999</v>
      </c>
      <c r="AA48" s="20">
        <v>0</v>
      </c>
      <c r="AB48" s="19"/>
      <c r="AC48" s="23"/>
      <c r="AD48" s="21">
        <v>50.884735202492202</v>
      </c>
      <c r="AE48" s="22">
        <v>4230.70221183801</v>
      </c>
      <c r="AF48" s="22">
        <v>3857.6515264797499</v>
      </c>
      <c r="AG48" s="22">
        <v>18800.236760124601</v>
      </c>
      <c r="AH48" s="23">
        <v>0.22503451769348701</v>
      </c>
      <c r="AI48" s="23">
        <v>0.205191646025536</v>
      </c>
      <c r="AJ48" s="20"/>
      <c r="AK48" s="21"/>
      <c r="AL48" s="22">
        <v>1484649</v>
      </c>
      <c r="AM48" s="22">
        <v>1508608</v>
      </c>
      <c r="AN48" s="22">
        <v>1358055.41</v>
      </c>
      <c r="AO48" s="23">
        <v>-8.5268363094576499E-2</v>
      </c>
      <c r="AP48" s="22">
        <v>1922880</v>
      </c>
      <c r="AQ48" s="22">
        <v>1931720</v>
      </c>
      <c r="AR48" s="22">
        <v>1238306.1399999999</v>
      </c>
      <c r="AS48" s="23">
        <v>-0.35601486312198399</v>
      </c>
    </row>
    <row r="49" spans="1:45" ht="15" customHeight="1" x14ac:dyDescent="0.2">
      <c r="A49" s="26" t="s">
        <v>302</v>
      </c>
      <c r="B49" s="27" t="s">
        <v>148</v>
      </c>
      <c r="C49" s="27" t="s">
        <v>267</v>
      </c>
      <c r="D49" s="28" t="s">
        <v>303</v>
      </c>
      <c r="E49" s="28" t="s">
        <v>241</v>
      </c>
      <c r="F49" s="29">
        <v>111</v>
      </c>
      <c r="G49" s="30"/>
      <c r="H49" s="27"/>
      <c r="I49" s="27"/>
      <c r="J49" s="31">
        <v>1133967</v>
      </c>
      <c r="K49" s="31">
        <v>1133967</v>
      </c>
      <c r="L49" s="31">
        <v>575025.92000000004</v>
      </c>
      <c r="M49" s="31">
        <v>558941.07999999996</v>
      </c>
      <c r="N49" s="32">
        <v>0.49290771248193299</v>
      </c>
      <c r="O49" s="31">
        <v>221400.5</v>
      </c>
      <c r="P49" s="29">
        <v>7091</v>
      </c>
      <c r="Q49" s="29">
        <v>23</v>
      </c>
      <c r="R49" s="29">
        <v>14</v>
      </c>
      <c r="S49" s="30"/>
      <c r="T49" s="32">
        <v>0.70865642182433397</v>
      </c>
      <c r="U49" s="30"/>
      <c r="V49" s="33">
        <v>31.213943324404301</v>
      </c>
      <c r="W49" s="33">
        <v>63.676600000000001</v>
      </c>
      <c r="X49" s="34">
        <v>1.3421000000000001</v>
      </c>
      <c r="Y49" s="32">
        <v>1.77690029615005E-2</v>
      </c>
      <c r="Z49" s="31">
        <v>232848.36</v>
      </c>
      <c r="AA49" s="29">
        <v>0</v>
      </c>
      <c r="AB49" s="28"/>
      <c r="AC49" s="32"/>
      <c r="AD49" s="30">
        <v>63.882882882882903</v>
      </c>
      <c r="AE49" s="31">
        <v>1994.5990990990999</v>
      </c>
      <c r="AF49" s="31">
        <v>2097.7329729729699</v>
      </c>
      <c r="AG49" s="31">
        <v>10215.9189189189</v>
      </c>
      <c r="AH49" s="32">
        <v>0.19524421786524701</v>
      </c>
      <c r="AI49" s="32">
        <v>0.20533962628542099</v>
      </c>
      <c r="AJ49" s="29"/>
      <c r="AK49" s="30"/>
      <c r="AL49" s="31">
        <v>252554</v>
      </c>
      <c r="AM49" s="31">
        <v>262737</v>
      </c>
      <c r="AN49" s="31">
        <v>221400.5</v>
      </c>
      <c r="AO49" s="32">
        <v>-0.12335381740142699</v>
      </c>
      <c r="AP49" s="31">
        <v>419205</v>
      </c>
      <c r="AQ49" s="31">
        <v>431063</v>
      </c>
      <c r="AR49" s="31">
        <v>232848.36</v>
      </c>
      <c r="AS49" s="32">
        <v>-0.44454775110029698</v>
      </c>
    </row>
    <row r="50" spans="1:45" ht="15" customHeight="1" x14ac:dyDescent="0.2">
      <c r="A50" s="17" t="s">
        <v>304</v>
      </c>
      <c r="B50" s="18" t="s">
        <v>148</v>
      </c>
      <c r="C50" s="18" t="s">
        <v>267</v>
      </c>
      <c r="D50" s="19" t="s">
        <v>305</v>
      </c>
      <c r="E50" s="19" t="s">
        <v>297</v>
      </c>
      <c r="F50" s="20">
        <v>77</v>
      </c>
      <c r="G50" s="21"/>
      <c r="H50" s="18"/>
      <c r="I50" s="18"/>
      <c r="J50" s="22">
        <v>961556</v>
      </c>
      <c r="K50" s="22">
        <v>961556</v>
      </c>
      <c r="L50" s="22">
        <v>772807.92</v>
      </c>
      <c r="M50" s="22">
        <v>264719.08</v>
      </c>
      <c r="N50" s="23">
        <v>0.27530282167653303</v>
      </c>
      <c r="O50" s="22">
        <v>277607.5</v>
      </c>
      <c r="P50" s="20">
        <v>8884.5</v>
      </c>
      <c r="Q50" s="20">
        <v>24</v>
      </c>
      <c r="R50" s="20">
        <v>15</v>
      </c>
      <c r="S50" s="21"/>
      <c r="T50" s="23">
        <v>0.60487365636783197</v>
      </c>
      <c r="U50" s="21"/>
      <c r="V50" s="24">
        <v>31.246271596600799</v>
      </c>
      <c r="W50" s="24">
        <v>62.525300000000001</v>
      </c>
      <c r="X50" s="25">
        <v>1.3335999999999999</v>
      </c>
      <c r="Y50" s="23">
        <v>1.12555574314818E-3</v>
      </c>
      <c r="Z50" s="22">
        <v>244128.93</v>
      </c>
      <c r="AA50" s="20">
        <v>0</v>
      </c>
      <c r="AB50" s="19"/>
      <c r="AC50" s="23"/>
      <c r="AD50" s="21">
        <v>115.383116883117</v>
      </c>
      <c r="AE50" s="22">
        <v>3605.2922077922099</v>
      </c>
      <c r="AF50" s="22">
        <v>3170.50558441559</v>
      </c>
      <c r="AG50" s="22">
        <v>12487.7402597403</v>
      </c>
      <c r="AH50" s="23">
        <v>0.28870653399281998</v>
      </c>
      <c r="AI50" s="23">
        <v>0.25388945625631798</v>
      </c>
      <c r="AJ50" s="20"/>
      <c r="AK50" s="21"/>
      <c r="AL50" s="22">
        <v>219004</v>
      </c>
      <c r="AM50" s="22">
        <v>230204</v>
      </c>
      <c r="AN50" s="22">
        <v>277607.5</v>
      </c>
      <c r="AO50" s="23">
        <v>0.26759100290405702</v>
      </c>
      <c r="AP50" s="22">
        <v>287240</v>
      </c>
      <c r="AQ50" s="22">
        <v>299744</v>
      </c>
      <c r="AR50" s="22">
        <v>244128.93</v>
      </c>
      <c r="AS50" s="23">
        <v>-0.15008727893051099</v>
      </c>
    </row>
    <row r="51" spans="1:45" ht="15" customHeight="1" x14ac:dyDescent="0.2">
      <c r="A51" s="26" t="s">
        <v>306</v>
      </c>
      <c r="B51" s="27" t="s">
        <v>148</v>
      </c>
      <c r="C51" s="27" t="s">
        <v>267</v>
      </c>
      <c r="D51" s="28" t="s">
        <v>307</v>
      </c>
      <c r="E51" s="28" t="s">
        <v>308</v>
      </c>
      <c r="F51" s="29">
        <v>365</v>
      </c>
      <c r="G51" s="30"/>
      <c r="H51" s="27"/>
      <c r="I51" s="27"/>
      <c r="J51" s="31">
        <v>4492453</v>
      </c>
      <c r="K51" s="31">
        <v>4492453</v>
      </c>
      <c r="L51" s="31">
        <v>3015419.73</v>
      </c>
      <c r="M51" s="31">
        <v>1477033.27</v>
      </c>
      <c r="N51" s="32">
        <v>0.32878101785371999</v>
      </c>
      <c r="O51" s="31">
        <v>1244296.75</v>
      </c>
      <c r="P51" s="29">
        <v>37109.75</v>
      </c>
      <c r="Q51" s="29">
        <v>48</v>
      </c>
      <c r="R51" s="29">
        <v>40</v>
      </c>
      <c r="S51" s="30"/>
      <c r="T51" s="32">
        <v>0.279298407569813</v>
      </c>
      <c r="U51" s="30"/>
      <c r="V51" s="33">
        <v>32.819142131812299</v>
      </c>
      <c r="W51" s="33">
        <v>65.678100000000001</v>
      </c>
      <c r="X51" s="34">
        <v>1.3335999999999999</v>
      </c>
      <c r="Y51" s="32">
        <v>4.4597444067933601E-3</v>
      </c>
      <c r="Z51" s="31">
        <v>1034930.53</v>
      </c>
      <c r="AA51" s="29">
        <v>0</v>
      </c>
      <c r="AB51" s="28"/>
      <c r="AC51" s="32"/>
      <c r="AD51" s="30">
        <v>101.670547945206</v>
      </c>
      <c r="AE51" s="31">
        <v>3409.0321917808201</v>
      </c>
      <c r="AF51" s="31">
        <v>2835.4261095890402</v>
      </c>
      <c r="AG51" s="31">
        <v>12308.090410958899</v>
      </c>
      <c r="AH51" s="32">
        <v>0.27697490658221702</v>
      </c>
      <c r="AI51" s="32">
        <v>0.23037091985158201</v>
      </c>
      <c r="AJ51" s="29"/>
      <c r="AK51" s="30"/>
      <c r="AL51" s="31">
        <v>1077345</v>
      </c>
      <c r="AM51" s="31">
        <v>1125989</v>
      </c>
      <c r="AN51" s="31">
        <v>1244296.75</v>
      </c>
      <c r="AO51" s="32">
        <v>0.15496591156964601</v>
      </c>
      <c r="AP51" s="31">
        <v>1478085</v>
      </c>
      <c r="AQ51" s="31">
        <v>1516510</v>
      </c>
      <c r="AR51" s="31">
        <v>1034930.53</v>
      </c>
      <c r="AS51" s="32">
        <v>-0.29981663436135297</v>
      </c>
    </row>
    <row r="52" spans="1:45" ht="15" customHeight="1" x14ac:dyDescent="0.2">
      <c r="A52" s="17" t="s">
        <v>309</v>
      </c>
      <c r="B52" s="18" t="s">
        <v>148</v>
      </c>
      <c r="C52" s="18" t="s">
        <v>267</v>
      </c>
      <c r="D52" s="19" t="s">
        <v>310</v>
      </c>
      <c r="E52" s="19" t="s">
        <v>311</v>
      </c>
      <c r="F52" s="20">
        <v>270</v>
      </c>
      <c r="G52" s="21"/>
      <c r="H52" s="18"/>
      <c r="I52" s="18"/>
      <c r="J52" s="22">
        <v>6156577</v>
      </c>
      <c r="K52" s="22">
        <v>6156577</v>
      </c>
      <c r="L52" s="22">
        <v>2572356.64</v>
      </c>
      <c r="M52" s="22">
        <v>3584220.36</v>
      </c>
      <c r="N52" s="23">
        <v>0.58217745997491799</v>
      </c>
      <c r="O52" s="22">
        <v>922171.59</v>
      </c>
      <c r="P52" s="20">
        <v>27144</v>
      </c>
      <c r="Q52" s="20">
        <v>46</v>
      </c>
      <c r="R52" s="20">
        <v>28</v>
      </c>
      <c r="S52" s="21"/>
      <c r="T52" s="23">
        <v>0.48476561066040202</v>
      </c>
      <c r="U52" s="21"/>
      <c r="V52" s="24">
        <v>33.904886017400202</v>
      </c>
      <c r="W52" s="24">
        <v>67.403499999999994</v>
      </c>
      <c r="X52" s="25">
        <v>1.3307</v>
      </c>
      <c r="Y52" s="23">
        <v>3.3524904214559399E-2</v>
      </c>
      <c r="Z52" s="22">
        <v>1009043.67</v>
      </c>
      <c r="AA52" s="20">
        <v>0</v>
      </c>
      <c r="AB52" s="19"/>
      <c r="AC52" s="23"/>
      <c r="AD52" s="21">
        <v>100.533333333333</v>
      </c>
      <c r="AE52" s="22">
        <v>3415.45033333333</v>
      </c>
      <c r="AF52" s="22">
        <v>3737.1987777777799</v>
      </c>
      <c r="AG52" s="22">
        <v>22802.137037036999</v>
      </c>
      <c r="AH52" s="23">
        <v>0.149786413781554</v>
      </c>
      <c r="AI52" s="23">
        <v>0.163896865092404</v>
      </c>
      <c r="AJ52" s="20"/>
      <c r="AK52" s="21"/>
      <c r="AL52" s="22">
        <v>1336625</v>
      </c>
      <c r="AM52" s="22">
        <v>1540041</v>
      </c>
      <c r="AN52" s="22">
        <v>922171.59</v>
      </c>
      <c r="AO52" s="23">
        <v>-0.31007456092771002</v>
      </c>
      <c r="AP52" s="22">
        <v>1739148</v>
      </c>
      <c r="AQ52" s="22">
        <v>2038248</v>
      </c>
      <c r="AR52" s="22">
        <v>1009043.67</v>
      </c>
      <c r="AS52" s="23">
        <v>-0.41980574971192802</v>
      </c>
    </row>
    <row r="53" spans="1:45" ht="15" customHeight="1" x14ac:dyDescent="0.2">
      <c r="A53" s="35" t="s">
        <v>312</v>
      </c>
      <c r="B53" s="36" t="s">
        <v>313</v>
      </c>
      <c r="C53" s="36" t="s">
        <v>267</v>
      </c>
      <c r="D53" s="37" t="s">
        <v>314</v>
      </c>
      <c r="E53" s="37" t="s">
        <v>315</v>
      </c>
      <c r="F53" s="38">
        <v>170</v>
      </c>
      <c r="G53" s="39"/>
      <c r="H53" s="36"/>
      <c r="I53" s="36"/>
      <c r="J53" s="40">
        <v>6917965.7400000002</v>
      </c>
      <c r="K53" s="40">
        <v>6917965.7400000002</v>
      </c>
      <c r="L53" s="40">
        <v>4082381.54</v>
      </c>
      <c r="M53" s="40">
        <v>-4076118.54</v>
      </c>
      <c r="N53" s="41">
        <v>-0.58920767942398</v>
      </c>
      <c r="O53" s="40">
        <v>1532523.96</v>
      </c>
      <c r="P53" s="38">
        <v>38113.75</v>
      </c>
      <c r="Q53" s="38">
        <v>79</v>
      </c>
      <c r="R53" s="38">
        <v>56</v>
      </c>
      <c r="S53" s="39"/>
      <c r="T53" s="41">
        <v>0.27539653489507099</v>
      </c>
      <c r="U53" s="39"/>
      <c r="V53" s="42">
        <v>37.905158125915101</v>
      </c>
      <c r="W53" s="42">
        <v>76.023600000000002</v>
      </c>
      <c r="X53" s="43">
        <v>1.3346</v>
      </c>
      <c r="Y53" s="41">
        <v>4.3685021809714304E-3</v>
      </c>
      <c r="Z53" s="40">
        <v>1518915.7</v>
      </c>
      <c r="AA53" s="38">
        <v>0</v>
      </c>
      <c r="AB53" s="37"/>
      <c r="AC53" s="41"/>
      <c r="AD53" s="39">
        <v>224.19852941176501</v>
      </c>
      <c r="AE53" s="40">
        <v>9014.8468235294094</v>
      </c>
      <c r="AF53" s="40">
        <v>8934.7982352941199</v>
      </c>
      <c r="AG53" s="40">
        <v>40693.916117647103</v>
      </c>
      <c r="AH53" s="41">
        <v>0.22152812222513299</v>
      </c>
      <c r="AI53" s="41">
        <v>0.219561032402569</v>
      </c>
      <c r="AJ53" s="38"/>
      <c r="AK53" s="39"/>
      <c r="AL53" s="40">
        <v>1761110</v>
      </c>
      <c r="AM53" s="40">
        <v>1799290</v>
      </c>
      <c r="AN53" s="40">
        <v>1532523.96</v>
      </c>
      <c r="AO53" s="41">
        <v>-0.12979657148048701</v>
      </c>
      <c r="AP53" s="40">
        <v>2199597</v>
      </c>
      <c r="AQ53" s="40">
        <v>2209412</v>
      </c>
      <c r="AR53" s="40">
        <v>1518915.7</v>
      </c>
      <c r="AS53" s="41">
        <v>-0.30945727785589799</v>
      </c>
    </row>
    <row r="54" spans="1:45" ht="15" customHeight="1" x14ac:dyDescent="0.2">
      <c r="A54" s="35" t="s">
        <v>316</v>
      </c>
      <c r="B54" s="36" t="s">
        <v>313</v>
      </c>
      <c r="C54" s="36" t="s">
        <v>267</v>
      </c>
      <c r="D54" s="37" t="s">
        <v>317</v>
      </c>
      <c r="E54" s="37" t="s">
        <v>318</v>
      </c>
      <c r="F54" s="38">
        <v>234</v>
      </c>
      <c r="G54" s="39"/>
      <c r="H54" s="36"/>
      <c r="I54" s="36"/>
      <c r="J54" s="40">
        <v>6625153.3399999999</v>
      </c>
      <c r="K54" s="40">
        <v>6608301.3399999999</v>
      </c>
      <c r="L54" s="40">
        <v>4680785.34</v>
      </c>
      <c r="M54" s="40">
        <v>-4680785.34</v>
      </c>
      <c r="N54" s="41">
        <v>-0.70831899139756904</v>
      </c>
      <c r="O54" s="40">
        <v>1811122.75</v>
      </c>
      <c r="P54" s="38">
        <v>41202.25</v>
      </c>
      <c r="Q54" s="38">
        <v>59</v>
      </c>
      <c r="R54" s="38">
        <v>45</v>
      </c>
      <c r="S54" s="39"/>
      <c r="T54" s="41">
        <v>0.27780809758847602</v>
      </c>
      <c r="U54" s="39"/>
      <c r="V54" s="42">
        <v>43.608008828062701</v>
      </c>
      <c r="W54" s="42">
        <v>89.128699999999995</v>
      </c>
      <c r="X54" s="43">
        <v>1.3429</v>
      </c>
      <c r="Y54" s="41">
        <v>3.2340466843437002E-3</v>
      </c>
      <c r="Z54" s="40">
        <v>1854483.43</v>
      </c>
      <c r="AA54" s="38">
        <v>0</v>
      </c>
      <c r="AB54" s="37"/>
      <c r="AC54" s="41"/>
      <c r="AD54" s="39">
        <v>176.07799145299199</v>
      </c>
      <c r="AE54" s="40">
        <v>7739.8408119658097</v>
      </c>
      <c r="AF54" s="40">
        <v>7925.1428632478601</v>
      </c>
      <c r="AG54" s="40">
        <v>28240.604017094</v>
      </c>
      <c r="AH54" s="41">
        <v>0.27406782118685902</v>
      </c>
      <c r="AI54" s="41">
        <v>0.28062936821219497</v>
      </c>
      <c r="AJ54" s="38"/>
      <c r="AK54" s="39"/>
      <c r="AL54" s="40">
        <v>1587456</v>
      </c>
      <c r="AM54" s="40">
        <v>1779241</v>
      </c>
      <c r="AN54" s="40">
        <v>1811122.75</v>
      </c>
      <c r="AO54" s="41">
        <v>0.140896346103451</v>
      </c>
      <c r="AP54" s="40">
        <v>2172207</v>
      </c>
      <c r="AQ54" s="40">
        <v>2387628</v>
      </c>
      <c r="AR54" s="40">
        <v>1854483.43</v>
      </c>
      <c r="AS54" s="41">
        <v>-0.146267630110758</v>
      </c>
    </row>
    <row r="55" spans="1:45" ht="15" customHeight="1" x14ac:dyDescent="0.2">
      <c r="A55" s="35" t="s">
        <v>319</v>
      </c>
      <c r="B55" s="36" t="s">
        <v>313</v>
      </c>
      <c r="C55" s="36" t="s">
        <v>267</v>
      </c>
      <c r="D55" s="37" t="s">
        <v>320</v>
      </c>
      <c r="E55" s="37" t="s">
        <v>321</v>
      </c>
      <c r="F55" s="38">
        <v>24</v>
      </c>
      <c r="G55" s="39"/>
      <c r="H55" s="36"/>
      <c r="I55" s="36"/>
      <c r="J55" s="40">
        <v>1196549</v>
      </c>
      <c r="K55" s="40">
        <v>1193734</v>
      </c>
      <c r="L55" s="40">
        <v>770053.1</v>
      </c>
      <c r="M55" s="40">
        <v>-770053.1</v>
      </c>
      <c r="N55" s="41">
        <v>-0.64507930577498795</v>
      </c>
      <c r="O55" s="40">
        <v>202081</v>
      </c>
      <c r="P55" s="38">
        <v>4603.25</v>
      </c>
      <c r="Q55" s="38">
        <v>22</v>
      </c>
      <c r="R55" s="38">
        <v>7</v>
      </c>
      <c r="S55" s="39"/>
      <c r="T55" s="41">
        <v>0.87649769585253501</v>
      </c>
      <c r="U55" s="39"/>
      <c r="V55" s="42">
        <v>43.823475196530197</v>
      </c>
      <c r="W55" s="42">
        <v>91.0608</v>
      </c>
      <c r="X55" s="43">
        <v>1.3502000000000001</v>
      </c>
      <c r="Y55" s="41">
        <v>1.08618910552327E-4</v>
      </c>
      <c r="Z55" s="40">
        <v>432579.38</v>
      </c>
      <c r="AA55" s="38">
        <v>0</v>
      </c>
      <c r="AB55" s="37"/>
      <c r="AC55" s="41"/>
      <c r="AD55" s="39">
        <v>191.802083333333</v>
      </c>
      <c r="AE55" s="40">
        <v>8420.0416666666697</v>
      </c>
      <c r="AF55" s="40">
        <v>18024.140833333298</v>
      </c>
      <c r="AG55" s="40">
        <v>49738.916666666701</v>
      </c>
      <c r="AH55" s="41">
        <v>0.169284782036869</v>
      </c>
      <c r="AI55" s="41">
        <v>0.36237501822014001</v>
      </c>
      <c r="AJ55" s="38"/>
      <c r="AK55" s="39"/>
      <c r="AL55" s="40">
        <v>188055</v>
      </c>
      <c r="AM55" s="40">
        <v>197405</v>
      </c>
      <c r="AN55" s="40">
        <v>202081</v>
      </c>
      <c r="AO55" s="41">
        <v>7.4584563026774103E-2</v>
      </c>
      <c r="AP55" s="40">
        <v>530143</v>
      </c>
      <c r="AQ55" s="40">
        <v>558927</v>
      </c>
      <c r="AR55" s="40">
        <v>432579.38</v>
      </c>
      <c r="AS55" s="41">
        <v>-0.18403264779502901</v>
      </c>
    </row>
    <row r="56" spans="1:45" ht="15" customHeight="1" x14ac:dyDescent="0.2">
      <c r="A56" s="35" t="s">
        <v>322</v>
      </c>
      <c r="B56" s="36" t="s">
        <v>313</v>
      </c>
      <c r="C56" s="36" t="s">
        <v>267</v>
      </c>
      <c r="D56" s="37" t="s">
        <v>323</v>
      </c>
      <c r="E56" s="37" t="s">
        <v>324</v>
      </c>
      <c r="F56" s="38">
        <v>219</v>
      </c>
      <c r="G56" s="39"/>
      <c r="H56" s="36"/>
      <c r="I56" s="36"/>
      <c r="J56" s="40"/>
      <c r="K56" s="40">
        <v>193091.4</v>
      </c>
      <c r="L56" s="40">
        <v>146056.99</v>
      </c>
      <c r="M56" s="40">
        <v>47034.41</v>
      </c>
      <c r="N56" s="41">
        <v>0.243586249827802</v>
      </c>
      <c r="O56" s="40">
        <v>3422</v>
      </c>
      <c r="P56" s="38">
        <v>49.5</v>
      </c>
      <c r="Q56" s="38">
        <v>2</v>
      </c>
      <c r="R56" s="38">
        <v>0</v>
      </c>
      <c r="S56" s="39"/>
      <c r="T56" s="41">
        <v>1</v>
      </c>
      <c r="U56" s="39"/>
      <c r="V56" s="42">
        <v>69.131313131313107</v>
      </c>
      <c r="W56" s="42">
        <v>147.0198</v>
      </c>
      <c r="X56" s="43">
        <v>1.3603000000000001</v>
      </c>
      <c r="Y56" s="41">
        <v>2.02020202020202E-2</v>
      </c>
      <c r="Z56" s="40">
        <v>0</v>
      </c>
      <c r="AA56" s="38">
        <v>0</v>
      </c>
      <c r="AB56" s="37"/>
      <c r="AC56" s="41"/>
      <c r="AD56" s="39">
        <v>0.22602739726027399</v>
      </c>
      <c r="AE56" s="40">
        <v>15.625570776255699</v>
      </c>
      <c r="AF56" s="40"/>
      <c r="AG56" s="40">
        <v>881.69589041095901</v>
      </c>
      <c r="AH56" s="41">
        <v>1.7722177165839601E-2</v>
      </c>
      <c r="AI56" s="41"/>
      <c r="AJ56" s="38"/>
      <c r="AK56" s="39"/>
      <c r="AL56" s="40">
        <v>0</v>
      </c>
      <c r="AM56" s="40">
        <v>0</v>
      </c>
      <c r="AN56" s="40">
        <v>3422</v>
      </c>
      <c r="AO56" s="41"/>
      <c r="AP56" s="40">
        <v>0</v>
      </c>
      <c r="AQ56" s="40">
        <v>0</v>
      </c>
      <c r="AR56" s="40">
        <v>0</v>
      </c>
      <c r="AS56" s="41"/>
    </row>
    <row r="57" spans="1:45" ht="15" customHeight="1" x14ac:dyDescent="0.2">
      <c r="A57" s="35" t="s">
        <v>325</v>
      </c>
      <c r="B57" s="36" t="s">
        <v>313</v>
      </c>
      <c r="C57" s="36" t="s">
        <v>267</v>
      </c>
      <c r="D57" s="37" t="s">
        <v>326</v>
      </c>
      <c r="E57" s="37" t="s">
        <v>315</v>
      </c>
      <c r="F57" s="38">
        <v>146</v>
      </c>
      <c r="G57" s="39"/>
      <c r="H57" s="36"/>
      <c r="I57" s="36"/>
      <c r="J57" s="40"/>
      <c r="K57" s="40">
        <v>49275</v>
      </c>
      <c r="L57" s="40">
        <v>45726.76</v>
      </c>
      <c r="M57" s="40">
        <v>3548.24</v>
      </c>
      <c r="N57" s="41">
        <v>7.2008929477422601E-2</v>
      </c>
      <c r="O57" s="40">
        <v>9982.25</v>
      </c>
      <c r="P57" s="38">
        <v>152</v>
      </c>
      <c r="Q57" s="38">
        <v>3</v>
      </c>
      <c r="R57" s="38">
        <v>1</v>
      </c>
      <c r="S57" s="39"/>
      <c r="T57" s="41">
        <v>1</v>
      </c>
      <c r="U57" s="39"/>
      <c r="V57" s="42">
        <v>65.672697368421098</v>
      </c>
      <c r="W57" s="42">
        <v>138.6268</v>
      </c>
      <c r="X57" s="43">
        <v>1.3571</v>
      </c>
      <c r="Y57" s="41">
        <v>0</v>
      </c>
      <c r="Z57" s="40">
        <v>0</v>
      </c>
      <c r="AA57" s="38">
        <v>0</v>
      </c>
      <c r="AB57" s="37"/>
      <c r="AC57" s="41"/>
      <c r="AD57" s="39">
        <v>1.04109589041096</v>
      </c>
      <c r="AE57" s="40">
        <v>68.371575342465803</v>
      </c>
      <c r="AF57" s="40"/>
      <c r="AG57" s="40">
        <v>337.5</v>
      </c>
      <c r="AH57" s="41">
        <v>0.20258244545915799</v>
      </c>
      <c r="AI57" s="41"/>
      <c r="AJ57" s="38"/>
      <c r="AK57" s="39"/>
      <c r="AL57" s="40">
        <v>0</v>
      </c>
      <c r="AM57" s="40">
        <v>0</v>
      </c>
      <c r="AN57" s="40">
        <v>9982.25</v>
      </c>
      <c r="AO57" s="41"/>
      <c r="AP57" s="40">
        <v>0</v>
      </c>
      <c r="AQ57" s="40">
        <v>0</v>
      </c>
      <c r="AR57" s="40">
        <v>0</v>
      </c>
      <c r="AS57" s="41"/>
    </row>
    <row r="58" spans="1:45" ht="15" customHeight="1" x14ac:dyDescent="0.2">
      <c r="A58" s="35" t="s">
        <v>327</v>
      </c>
      <c r="B58" s="36" t="s">
        <v>313</v>
      </c>
      <c r="C58" s="36" t="s">
        <v>267</v>
      </c>
      <c r="D58" s="37" t="s">
        <v>328</v>
      </c>
      <c r="E58" s="37" t="s">
        <v>315</v>
      </c>
      <c r="F58" s="38">
        <v>244</v>
      </c>
      <c r="G58" s="39"/>
      <c r="H58" s="36"/>
      <c r="I58" s="36"/>
      <c r="J58" s="40">
        <v>4889866</v>
      </c>
      <c r="K58" s="40">
        <v>4422211</v>
      </c>
      <c r="L58" s="40">
        <v>3408879.35</v>
      </c>
      <c r="M58" s="40">
        <v>-3408879.35</v>
      </c>
      <c r="N58" s="41">
        <v>-0.77085407050907295</v>
      </c>
      <c r="O58" s="40">
        <v>1100218.51</v>
      </c>
      <c r="P58" s="38">
        <v>24977.25</v>
      </c>
      <c r="Q58" s="38">
        <v>33</v>
      </c>
      <c r="R58" s="38">
        <v>31</v>
      </c>
      <c r="S58" s="39"/>
      <c r="T58" s="41">
        <v>0.32543337079433898</v>
      </c>
      <c r="U58" s="39"/>
      <c r="V58" s="42">
        <v>43.791365801748398</v>
      </c>
      <c r="W58" s="42">
        <v>92.882999999999996</v>
      </c>
      <c r="X58" s="43">
        <v>1.3592</v>
      </c>
      <c r="Y58" s="41">
        <v>1.0009108288542599E-4</v>
      </c>
      <c r="Z58" s="40">
        <v>1100377.27</v>
      </c>
      <c r="AA58" s="38">
        <v>0</v>
      </c>
      <c r="AB58" s="37"/>
      <c r="AC58" s="41"/>
      <c r="AD58" s="39">
        <v>102.365778688525</v>
      </c>
      <c r="AE58" s="40">
        <v>4509.0922540983602</v>
      </c>
      <c r="AF58" s="40">
        <v>4509.7429098360699</v>
      </c>
      <c r="AG58" s="40">
        <v>18123.815573770498</v>
      </c>
      <c r="AH58" s="41">
        <v>0.248793761763064</v>
      </c>
      <c r="AI58" s="41">
        <v>0.248829662356681</v>
      </c>
      <c r="AJ58" s="38"/>
      <c r="AK58" s="39"/>
      <c r="AL58" s="40">
        <v>1194213</v>
      </c>
      <c r="AM58" s="40">
        <v>1258563</v>
      </c>
      <c r="AN58" s="40">
        <v>1100218.51</v>
      </c>
      <c r="AO58" s="41">
        <v>-7.8708312503715794E-2</v>
      </c>
      <c r="AP58" s="40">
        <v>1911015</v>
      </c>
      <c r="AQ58" s="40">
        <v>1930422</v>
      </c>
      <c r="AR58" s="40">
        <v>1100377.27</v>
      </c>
      <c r="AS58" s="41">
        <v>-0.42419223815616303</v>
      </c>
    </row>
    <row r="59" spans="1:45" ht="15" customHeight="1" x14ac:dyDescent="0.2">
      <c r="A59" s="35" t="s">
        <v>329</v>
      </c>
      <c r="B59" s="36" t="s">
        <v>313</v>
      </c>
      <c r="C59" s="36" t="s">
        <v>330</v>
      </c>
      <c r="D59" s="37" t="s">
        <v>331</v>
      </c>
      <c r="E59" s="37" t="s">
        <v>232</v>
      </c>
      <c r="F59" s="38">
        <v>186</v>
      </c>
      <c r="G59" s="39">
        <v>10.8</v>
      </c>
      <c r="H59" s="36" t="s">
        <v>332</v>
      </c>
      <c r="I59" s="36" t="s">
        <v>333</v>
      </c>
      <c r="J59" s="40">
        <v>4589762</v>
      </c>
      <c r="K59" s="40">
        <v>2280568</v>
      </c>
      <c r="L59" s="40">
        <v>1084959.3899999999</v>
      </c>
      <c r="M59" s="40">
        <v>1195608.6100000001</v>
      </c>
      <c r="N59" s="41">
        <v>0.52425913632042498</v>
      </c>
      <c r="O59" s="40">
        <v>378611.38</v>
      </c>
      <c r="P59" s="38">
        <v>8736.5</v>
      </c>
      <c r="Q59" s="38">
        <v>33</v>
      </c>
      <c r="R59" s="38">
        <v>27</v>
      </c>
      <c r="S59" s="39">
        <v>4.6670235111359002</v>
      </c>
      <c r="T59" s="41">
        <v>0.47799462027127598</v>
      </c>
      <c r="U59" s="39">
        <v>11.363636363636401</v>
      </c>
      <c r="V59" s="42">
        <v>65.864211068505696</v>
      </c>
      <c r="W59" s="42">
        <v>65.768749499227397</v>
      </c>
      <c r="X59" s="43">
        <v>0.99855063064250504</v>
      </c>
      <c r="Y59" s="41">
        <v>8.2985177130429804E-4</v>
      </c>
      <c r="Z59" s="40">
        <v>344768.24</v>
      </c>
      <c r="AA59" s="38">
        <v>0</v>
      </c>
      <c r="AB59" s="37"/>
      <c r="AC59" s="41"/>
      <c r="AD59" s="39">
        <v>46.970430107526902</v>
      </c>
      <c r="AE59" s="40">
        <v>2035.5450537634399</v>
      </c>
      <c r="AF59" s="40">
        <v>1853.59268817204</v>
      </c>
      <c r="AG59" s="40">
        <v>12261.118279569901</v>
      </c>
      <c r="AH59" s="41">
        <v>0.16601626436922701</v>
      </c>
      <c r="AI59" s="41">
        <v>0.15117647884211299</v>
      </c>
      <c r="AJ59" s="38">
        <v>808.93518518518499</v>
      </c>
      <c r="AK59" s="39">
        <v>17.2222222222222</v>
      </c>
      <c r="AL59" s="40">
        <v>976975</v>
      </c>
      <c r="AM59" s="40">
        <v>999175</v>
      </c>
      <c r="AN59" s="40">
        <v>378611.38</v>
      </c>
      <c r="AO59" s="41">
        <v>-0.61246564139307602</v>
      </c>
      <c r="AP59" s="40">
        <v>1590100</v>
      </c>
      <c r="AQ59" s="40">
        <v>1618150</v>
      </c>
      <c r="AR59" s="40">
        <v>344768.24</v>
      </c>
      <c r="AS59" s="41">
        <v>-0.78317826551789205</v>
      </c>
    </row>
    <row r="60" spans="1:45" ht="15" customHeight="1" x14ac:dyDescent="0.2">
      <c r="A60" s="35" t="s">
        <v>334</v>
      </c>
      <c r="B60" s="36" t="s">
        <v>313</v>
      </c>
      <c r="C60" s="36" t="s">
        <v>330</v>
      </c>
      <c r="D60" s="37" t="s">
        <v>335</v>
      </c>
      <c r="E60" s="37" t="s">
        <v>336</v>
      </c>
      <c r="F60" s="38">
        <v>20</v>
      </c>
      <c r="G60" s="39">
        <v>11</v>
      </c>
      <c r="H60" s="36" t="s">
        <v>337</v>
      </c>
      <c r="I60" s="36" t="s">
        <v>333</v>
      </c>
      <c r="J60" s="40">
        <v>696427</v>
      </c>
      <c r="K60" s="40">
        <v>518063</v>
      </c>
      <c r="L60" s="40">
        <v>256480.87</v>
      </c>
      <c r="M60" s="40">
        <v>261582.13</v>
      </c>
      <c r="N60" s="41">
        <v>0.50492339734742697</v>
      </c>
      <c r="O60" s="40">
        <v>103520.5</v>
      </c>
      <c r="P60" s="38">
        <v>2352</v>
      </c>
      <c r="Q60" s="38">
        <v>18</v>
      </c>
      <c r="R60" s="38">
        <v>8</v>
      </c>
      <c r="S60" s="39">
        <v>1.2335901564540599</v>
      </c>
      <c r="T60" s="41">
        <v>0.81441326530612301</v>
      </c>
      <c r="U60" s="39">
        <v>9.6111111111111107</v>
      </c>
      <c r="V60" s="42">
        <v>68.624221938775506</v>
      </c>
      <c r="W60" s="42">
        <v>68.624221938775506</v>
      </c>
      <c r="X60" s="43">
        <v>1</v>
      </c>
      <c r="Y60" s="41">
        <v>9.5663265306122501E-4</v>
      </c>
      <c r="Z60" s="40">
        <v>91340.7</v>
      </c>
      <c r="AA60" s="38">
        <v>0</v>
      </c>
      <c r="AB60" s="37"/>
      <c r="AC60" s="41"/>
      <c r="AD60" s="39">
        <v>117.6</v>
      </c>
      <c r="AE60" s="40">
        <v>5176.0249999999996</v>
      </c>
      <c r="AF60" s="40">
        <v>4567.0349999999999</v>
      </c>
      <c r="AG60" s="40">
        <v>25903.15</v>
      </c>
      <c r="AH60" s="41">
        <v>0.19982222239380201</v>
      </c>
      <c r="AI60" s="41">
        <v>0.1763119543376</v>
      </c>
      <c r="AJ60" s="38">
        <v>213.81818181818201</v>
      </c>
      <c r="AK60" s="39">
        <v>1.8181818181818199</v>
      </c>
      <c r="AL60" s="40">
        <v>141830</v>
      </c>
      <c r="AM60" s="40">
        <v>149780</v>
      </c>
      <c r="AN60" s="40">
        <v>103520.5</v>
      </c>
      <c r="AO60" s="41">
        <v>-0.270108580695199</v>
      </c>
      <c r="AP60" s="40">
        <v>256952</v>
      </c>
      <c r="AQ60" s="40">
        <v>272837</v>
      </c>
      <c r="AR60" s="40">
        <v>91340.7</v>
      </c>
      <c r="AS60" s="41">
        <v>-0.64452232323546799</v>
      </c>
    </row>
    <row r="61" spans="1:45" ht="15" customHeight="1" x14ac:dyDescent="0.2">
      <c r="A61" s="35" t="s">
        <v>338</v>
      </c>
      <c r="B61" s="36" t="s">
        <v>313</v>
      </c>
      <c r="C61" s="36" t="s">
        <v>267</v>
      </c>
      <c r="D61" s="37" t="s">
        <v>339</v>
      </c>
      <c r="E61" s="37" t="s">
        <v>340</v>
      </c>
      <c r="F61" s="38">
        <v>239</v>
      </c>
      <c r="G61" s="39"/>
      <c r="H61" s="36"/>
      <c r="I61" s="36"/>
      <c r="J61" s="40"/>
      <c r="K61" s="40">
        <v>80000</v>
      </c>
      <c r="L61" s="40">
        <v>66355.58</v>
      </c>
      <c r="M61" s="40">
        <v>13644.42</v>
      </c>
      <c r="N61" s="41">
        <v>0.17055524999999999</v>
      </c>
      <c r="O61" s="40">
        <v>7372.25</v>
      </c>
      <c r="P61" s="38">
        <v>114.25</v>
      </c>
      <c r="Q61" s="38">
        <v>2</v>
      </c>
      <c r="R61" s="38">
        <v>0</v>
      </c>
      <c r="S61" s="39"/>
      <c r="T61" s="41">
        <v>1</v>
      </c>
      <c r="U61" s="39"/>
      <c r="V61" s="42">
        <v>64.527352297592998</v>
      </c>
      <c r="W61" s="42">
        <v>134.25739999999999</v>
      </c>
      <c r="X61" s="43">
        <v>1.3508</v>
      </c>
      <c r="Y61" s="41">
        <v>0</v>
      </c>
      <c r="Z61" s="40">
        <v>0</v>
      </c>
      <c r="AA61" s="38">
        <v>0</v>
      </c>
      <c r="AB61" s="37"/>
      <c r="AC61" s="41"/>
      <c r="AD61" s="39">
        <v>0.47803347280334701</v>
      </c>
      <c r="AE61" s="40">
        <v>30.846234309623402</v>
      </c>
      <c r="AF61" s="40"/>
      <c r="AG61" s="40">
        <v>334.72803347280302</v>
      </c>
      <c r="AH61" s="41">
        <v>9.2153125000000002E-2</v>
      </c>
      <c r="AI61" s="41"/>
      <c r="AJ61" s="38"/>
      <c r="AK61" s="39"/>
      <c r="AL61" s="40">
        <v>0</v>
      </c>
      <c r="AM61" s="40">
        <v>0</v>
      </c>
      <c r="AN61" s="40">
        <v>7372.25</v>
      </c>
      <c r="AO61" s="41"/>
      <c r="AP61" s="40">
        <v>0</v>
      </c>
      <c r="AQ61" s="40">
        <v>0</v>
      </c>
      <c r="AR61" s="40">
        <v>0</v>
      </c>
      <c r="AS61" s="41"/>
    </row>
    <row r="62" spans="1:45" ht="15" customHeight="1" x14ac:dyDescent="0.2">
      <c r="A62" s="35" t="s">
        <v>341</v>
      </c>
      <c r="B62" s="36" t="s">
        <v>313</v>
      </c>
      <c r="C62" s="36" t="s">
        <v>267</v>
      </c>
      <c r="D62" s="37" t="s">
        <v>342</v>
      </c>
      <c r="E62" s="37" t="s">
        <v>315</v>
      </c>
      <c r="F62" s="38">
        <v>201</v>
      </c>
      <c r="G62" s="39"/>
      <c r="H62" s="36"/>
      <c r="I62" s="36"/>
      <c r="J62" s="40"/>
      <c r="K62" s="40"/>
      <c r="L62" s="40">
        <v>12976.92</v>
      </c>
      <c r="M62" s="40">
        <v>-12976.92</v>
      </c>
      <c r="N62" s="41"/>
      <c r="O62" s="40">
        <v>1653.75</v>
      </c>
      <c r="P62" s="38">
        <v>26.25</v>
      </c>
      <c r="Q62" s="38">
        <v>2</v>
      </c>
      <c r="R62" s="38">
        <v>0</v>
      </c>
      <c r="S62" s="39"/>
      <c r="T62" s="41">
        <v>1</v>
      </c>
      <c r="U62" s="39"/>
      <c r="V62" s="42">
        <v>63</v>
      </c>
      <c r="W62" s="42">
        <v>132.7653</v>
      </c>
      <c r="X62" s="43">
        <v>1.3564000000000001</v>
      </c>
      <c r="Y62" s="41">
        <v>0</v>
      </c>
      <c r="Z62" s="40">
        <v>0</v>
      </c>
      <c r="AA62" s="38">
        <v>0</v>
      </c>
      <c r="AB62" s="37"/>
      <c r="AC62" s="41"/>
      <c r="AD62" s="39">
        <v>0.13059701492537301</v>
      </c>
      <c r="AE62" s="40">
        <v>8.2276119402985106</v>
      </c>
      <c r="AF62" s="40"/>
      <c r="AG62" s="40"/>
      <c r="AH62" s="41"/>
      <c r="AI62" s="41"/>
      <c r="AJ62" s="38"/>
      <c r="AK62" s="39"/>
      <c r="AL62" s="40">
        <v>0</v>
      </c>
      <c r="AM62" s="40">
        <v>0</v>
      </c>
      <c r="AN62" s="40">
        <v>1653.75</v>
      </c>
      <c r="AO62" s="41"/>
      <c r="AP62" s="40">
        <v>0</v>
      </c>
      <c r="AQ62" s="40">
        <v>0</v>
      </c>
      <c r="AR62" s="40">
        <v>0</v>
      </c>
      <c r="AS62" s="41"/>
    </row>
    <row r="63" spans="1:45" ht="15" customHeight="1" x14ac:dyDescent="0.2">
      <c r="A63" s="35" t="s">
        <v>343</v>
      </c>
      <c r="B63" s="36" t="s">
        <v>313</v>
      </c>
      <c r="C63" s="36" t="s">
        <v>267</v>
      </c>
      <c r="D63" s="37" t="s">
        <v>344</v>
      </c>
      <c r="E63" s="37" t="s">
        <v>345</v>
      </c>
      <c r="F63" s="38">
        <v>166</v>
      </c>
      <c r="G63" s="39"/>
      <c r="H63" s="36"/>
      <c r="I63" s="36"/>
      <c r="J63" s="40"/>
      <c r="K63" s="40"/>
      <c r="L63" s="40">
        <v>10092.02</v>
      </c>
      <c r="M63" s="40">
        <v>-10092.02</v>
      </c>
      <c r="N63" s="41"/>
      <c r="O63" s="40">
        <v>6489</v>
      </c>
      <c r="P63" s="38">
        <v>101</v>
      </c>
      <c r="Q63" s="38">
        <v>2</v>
      </c>
      <c r="R63" s="38">
        <v>0</v>
      </c>
      <c r="S63" s="39"/>
      <c r="T63" s="41">
        <v>1</v>
      </c>
      <c r="U63" s="39"/>
      <c r="V63" s="42">
        <v>64.247524752475201</v>
      </c>
      <c r="W63" s="42">
        <v>135.59450000000001</v>
      </c>
      <c r="X63" s="43">
        <v>1.357</v>
      </c>
      <c r="Y63" s="41">
        <v>0</v>
      </c>
      <c r="Z63" s="40">
        <v>0</v>
      </c>
      <c r="AA63" s="38">
        <v>0</v>
      </c>
      <c r="AB63" s="37"/>
      <c r="AC63" s="41"/>
      <c r="AD63" s="39">
        <v>0.60843373493975905</v>
      </c>
      <c r="AE63" s="40">
        <v>39.090361445783103</v>
      </c>
      <c r="AF63" s="40"/>
      <c r="AG63" s="40"/>
      <c r="AH63" s="41"/>
      <c r="AI63" s="41"/>
      <c r="AJ63" s="38"/>
      <c r="AK63" s="39"/>
      <c r="AL63" s="40">
        <v>35026</v>
      </c>
      <c r="AM63" s="40">
        <v>35026</v>
      </c>
      <c r="AN63" s="40">
        <v>6489</v>
      </c>
      <c r="AO63" s="41">
        <v>-0.81473762347970102</v>
      </c>
      <c r="AP63" s="40">
        <v>0</v>
      </c>
      <c r="AQ63" s="40">
        <v>0</v>
      </c>
      <c r="AR63" s="40">
        <v>0</v>
      </c>
      <c r="AS63" s="41"/>
    </row>
    <row r="64" spans="1:45" ht="15" customHeight="1" x14ac:dyDescent="0.2">
      <c r="A64" s="35" t="s">
        <v>346</v>
      </c>
      <c r="B64" s="36" t="s">
        <v>313</v>
      </c>
      <c r="C64" s="36" t="s">
        <v>267</v>
      </c>
      <c r="D64" s="37" t="s">
        <v>347</v>
      </c>
      <c r="E64" s="37" t="s">
        <v>348</v>
      </c>
      <c r="F64" s="38">
        <v>104</v>
      </c>
      <c r="G64" s="39"/>
      <c r="H64" s="36"/>
      <c r="I64" s="36"/>
      <c r="J64" s="40"/>
      <c r="K64" s="40"/>
      <c r="L64" s="40">
        <v>11007.25</v>
      </c>
      <c r="M64" s="40">
        <v>-11007.25</v>
      </c>
      <c r="N64" s="41"/>
      <c r="O64" s="40">
        <v>197</v>
      </c>
      <c r="P64" s="38">
        <v>3</v>
      </c>
      <c r="Q64" s="38">
        <v>2</v>
      </c>
      <c r="R64" s="38">
        <v>0</v>
      </c>
      <c r="S64" s="39"/>
      <c r="T64" s="41">
        <v>1</v>
      </c>
      <c r="U64" s="39"/>
      <c r="V64" s="42">
        <v>65.6666666666667</v>
      </c>
      <c r="W64" s="42">
        <v>138.33330000000001</v>
      </c>
      <c r="X64" s="43">
        <v>1.3562000000000001</v>
      </c>
      <c r="Y64" s="41">
        <v>0</v>
      </c>
      <c r="Z64" s="40">
        <v>0</v>
      </c>
      <c r="AA64" s="38">
        <v>0</v>
      </c>
      <c r="AB64" s="37"/>
      <c r="AC64" s="41"/>
      <c r="AD64" s="39">
        <v>2.88461538461539E-2</v>
      </c>
      <c r="AE64" s="40">
        <v>1.8942307692307701</v>
      </c>
      <c r="AF64" s="40"/>
      <c r="AG64" s="40"/>
      <c r="AH64" s="41"/>
      <c r="AI64" s="41"/>
      <c r="AJ64" s="38"/>
      <c r="AK64" s="39"/>
      <c r="AL64" s="40">
        <v>0</v>
      </c>
      <c r="AM64" s="40">
        <v>0</v>
      </c>
      <c r="AN64" s="40">
        <v>197</v>
      </c>
      <c r="AO64" s="41"/>
      <c r="AP64" s="40">
        <v>0</v>
      </c>
      <c r="AQ64" s="40">
        <v>0</v>
      </c>
      <c r="AR64" s="40">
        <v>0</v>
      </c>
      <c r="AS64" s="41"/>
    </row>
    <row r="65" spans="1:45" ht="15" customHeight="1" x14ac:dyDescent="0.2">
      <c r="A65" s="35" t="s">
        <v>349</v>
      </c>
      <c r="B65" s="36" t="s">
        <v>313</v>
      </c>
      <c r="C65" s="36" t="s">
        <v>267</v>
      </c>
      <c r="D65" s="37" t="s">
        <v>350</v>
      </c>
      <c r="E65" s="37" t="s">
        <v>351</v>
      </c>
      <c r="F65" s="38">
        <v>406</v>
      </c>
      <c r="G65" s="39"/>
      <c r="H65" s="36"/>
      <c r="I65" s="36"/>
      <c r="J65" s="40"/>
      <c r="K65" s="40"/>
      <c r="L65" s="40"/>
      <c r="M65" s="40"/>
      <c r="N65" s="41"/>
      <c r="O65" s="40">
        <v>0</v>
      </c>
      <c r="P65" s="38">
        <v>0</v>
      </c>
      <c r="Q65" s="38">
        <v>0</v>
      </c>
      <c r="R65" s="38">
        <v>0</v>
      </c>
      <c r="S65" s="39"/>
      <c r="T65" s="41"/>
      <c r="U65" s="39"/>
      <c r="V65" s="42"/>
      <c r="W65" s="42"/>
      <c r="X65" s="43"/>
      <c r="Y65" s="41"/>
      <c r="Z65" s="40">
        <v>0</v>
      </c>
      <c r="AA65" s="38">
        <v>0</v>
      </c>
      <c r="AB65" s="37"/>
      <c r="AC65" s="41"/>
      <c r="AD65" s="39"/>
      <c r="AE65" s="40"/>
      <c r="AF65" s="40"/>
      <c r="AG65" s="40"/>
      <c r="AH65" s="41"/>
      <c r="AI65" s="41"/>
      <c r="AJ65" s="38"/>
      <c r="AK65" s="39"/>
      <c r="AL65" s="40">
        <v>0</v>
      </c>
      <c r="AM65" s="40">
        <v>0</v>
      </c>
      <c r="AN65" s="40">
        <v>0</v>
      </c>
      <c r="AO65" s="41"/>
      <c r="AP65" s="40">
        <v>0</v>
      </c>
      <c r="AQ65" s="40">
        <v>0</v>
      </c>
      <c r="AR65" s="40">
        <v>0</v>
      </c>
      <c r="AS65" s="41"/>
    </row>
    <row r="66" spans="1:45" ht="15" customHeight="1" x14ac:dyDescent="0.2">
      <c r="A66" s="35" t="s">
        <v>352</v>
      </c>
      <c r="B66" s="36" t="s">
        <v>313</v>
      </c>
      <c r="C66" s="36" t="s">
        <v>267</v>
      </c>
      <c r="D66" s="37" t="s">
        <v>353</v>
      </c>
      <c r="E66" s="37" t="s">
        <v>351</v>
      </c>
      <c r="F66" s="38"/>
      <c r="G66" s="39"/>
      <c r="H66" s="36"/>
      <c r="I66" s="36"/>
      <c r="J66" s="40"/>
      <c r="K66" s="40"/>
      <c r="L66" s="40"/>
      <c r="M66" s="40"/>
      <c r="N66" s="41"/>
      <c r="O66" s="40">
        <v>0</v>
      </c>
      <c r="P66" s="38">
        <v>0</v>
      </c>
      <c r="Q66" s="38">
        <v>0</v>
      </c>
      <c r="R66" s="38">
        <v>0</v>
      </c>
      <c r="S66" s="39"/>
      <c r="T66" s="41"/>
      <c r="U66" s="39"/>
      <c r="V66" s="42"/>
      <c r="W66" s="42"/>
      <c r="X66" s="43"/>
      <c r="Y66" s="41"/>
      <c r="Z66" s="40">
        <v>0</v>
      </c>
      <c r="AA66" s="38">
        <v>0</v>
      </c>
      <c r="AB66" s="37"/>
      <c r="AC66" s="41"/>
      <c r="AD66" s="39"/>
      <c r="AE66" s="40"/>
      <c r="AF66" s="40"/>
      <c r="AG66" s="40"/>
      <c r="AH66" s="41"/>
      <c r="AI66" s="41"/>
      <c r="AJ66" s="38"/>
      <c r="AK66" s="39"/>
      <c r="AL66" s="40">
        <v>0</v>
      </c>
      <c r="AM66" s="40">
        <v>0</v>
      </c>
      <c r="AN66" s="40">
        <v>0</v>
      </c>
      <c r="AO66" s="41"/>
      <c r="AP66" s="40">
        <v>0</v>
      </c>
      <c r="AQ66" s="40">
        <v>0</v>
      </c>
      <c r="AR66" s="40">
        <v>0</v>
      </c>
      <c r="AS66" s="41"/>
    </row>
    <row r="68" spans="1:45" ht="15" customHeight="1" x14ac:dyDescent="0.2">
      <c r="A68" s="44" t="s">
        <v>354</v>
      </c>
      <c r="D68" s="45">
        <f>COUNTA(D2:D66)</f>
        <v>65</v>
      </c>
    </row>
    <row r="69" spans="1:45" ht="15" customHeight="1" x14ac:dyDescent="0.2">
      <c r="A69" s="44" t="s">
        <v>355</v>
      </c>
      <c r="F69" s="45">
        <f>IFERROR(MEDIAN(F2:F66),"")</f>
        <v>136</v>
      </c>
      <c r="G69" s="46">
        <f>IFERROR(MEDIAN(G2:G66),"")</f>
        <v>17</v>
      </c>
      <c r="K69" s="47">
        <f t="shared" ref="K69:AA69" si="0">IFERROR(MEDIAN(K2:K66),"")</f>
        <v>1582631.5</v>
      </c>
      <c r="L69" s="47">
        <f t="shared" si="0"/>
        <v>856803.39</v>
      </c>
      <c r="M69" s="47">
        <f t="shared" si="0"/>
        <v>472466.85</v>
      </c>
      <c r="N69" s="48">
        <f t="shared" si="0"/>
        <v>0.400272330538265</v>
      </c>
      <c r="O69" s="47">
        <f t="shared" si="0"/>
        <v>324824.75</v>
      </c>
      <c r="P69" s="45">
        <f t="shared" si="0"/>
        <v>12479.5</v>
      </c>
      <c r="Q69" s="45">
        <f t="shared" si="0"/>
        <v>35</v>
      </c>
      <c r="R69" s="45">
        <f t="shared" si="0"/>
        <v>23</v>
      </c>
      <c r="S69" s="46">
        <f t="shared" si="0"/>
        <v>4.6670235111359002</v>
      </c>
      <c r="T69" s="48">
        <f t="shared" si="0"/>
        <v>0.594386694386694</v>
      </c>
      <c r="U69" s="46">
        <f t="shared" si="0"/>
        <v>16.239999999999998</v>
      </c>
      <c r="V69" s="49">
        <f t="shared" si="0"/>
        <v>27.34228515625</v>
      </c>
      <c r="W69" s="49">
        <f t="shared" si="0"/>
        <v>51.294800000000002</v>
      </c>
      <c r="X69" s="50">
        <f t="shared" si="0"/>
        <v>1.3421000000000001</v>
      </c>
      <c r="Y69" s="48">
        <f t="shared" si="0"/>
        <v>3.2340466843437002E-3</v>
      </c>
      <c r="Z69" s="47">
        <f t="shared" si="0"/>
        <v>344768.24</v>
      </c>
      <c r="AA69" s="45">
        <f t="shared" si="0"/>
        <v>0</v>
      </c>
      <c r="AC69" s="48">
        <f t="shared" ref="AC69:AS69" si="1">IFERROR(MEDIAN(AC2:AC66),"")</f>
        <v>0.30330122267792697</v>
      </c>
      <c r="AD69" s="46">
        <f t="shared" si="1"/>
        <v>116.945299145299</v>
      </c>
      <c r="AE69" s="47">
        <f t="shared" si="1"/>
        <v>2978.8285779861999</v>
      </c>
      <c r="AF69" s="47">
        <f t="shared" si="1"/>
        <v>3202.3111470588251</v>
      </c>
      <c r="AG69" s="47">
        <f t="shared" si="1"/>
        <v>13260.138755980901</v>
      </c>
      <c r="AH69" s="48">
        <f t="shared" si="1"/>
        <v>0.21281406259548252</v>
      </c>
      <c r="AI69" s="48">
        <f t="shared" si="1"/>
        <v>0.23459504229733499</v>
      </c>
      <c r="AJ69" s="45">
        <f t="shared" si="1"/>
        <v>808.93518518518499</v>
      </c>
      <c r="AK69" s="46">
        <f t="shared" si="1"/>
        <v>7.0911424903722748</v>
      </c>
      <c r="AL69" s="47">
        <f t="shared" si="1"/>
        <v>305975</v>
      </c>
      <c r="AM69" s="47">
        <f t="shared" si="1"/>
        <v>305975</v>
      </c>
      <c r="AN69" s="47">
        <f t="shared" si="1"/>
        <v>324824.75</v>
      </c>
      <c r="AO69" s="48">
        <f t="shared" si="1"/>
        <v>-6.9210013309769391E-2</v>
      </c>
      <c r="AP69" s="47">
        <f t="shared" si="1"/>
        <v>520410</v>
      </c>
      <c r="AQ69" s="47">
        <f t="shared" si="1"/>
        <v>502391</v>
      </c>
      <c r="AR69" s="47">
        <f t="shared" si="1"/>
        <v>344768.24</v>
      </c>
      <c r="AS69" s="48">
        <f t="shared" si="1"/>
        <v>-0.25365622366909302</v>
      </c>
    </row>
  </sheetData>
  <conditionalFormatting sqref="AO2:AO66">
    <cfRule type="colorScale" priority="2">
      <colorScale>
        <cfvo type="num" val="-0.5"/>
        <cfvo type="num" val="0"/>
        <cfvo type="num" val="0.5"/>
        <color rgb="FF2E7D5B"/>
        <color rgb="FFFFFFFF"/>
        <color rgb="FFC0392B"/>
      </colorScale>
    </cfRule>
  </conditionalFormatting>
  <conditionalFormatting sqref="AS2:AS66">
    <cfRule type="colorScale" priority="3">
      <colorScale>
        <cfvo type="num" val="-0.5"/>
        <cfvo type="num" val="0"/>
        <cfvo type="num" val="0.5"/>
        <color rgb="FF2E7D5B"/>
        <color rgb="FFFFFFFF"/>
        <color rgb="FFC0392B"/>
      </colorScale>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1"/>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640625" defaultRowHeight="15" x14ac:dyDescent="0.2"/>
  <cols>
    <col min="1" max="1" width="8" customWidth="1"/>
    <col min="2" max="2" width="10" customWidth="1"/>
    <col min="3" max="3" width="32" customWidth="1"/>
    <col min="4" max="4" width="8" customWidth="1"/>
    <col min="5" max="7" width="11" customWidth="1"/>
    <col min="8" max="8" width="12" customWidth="1"/>
    <col min="9" max="10" width="13" customWidth="1"/>
    <col min="11" max="11" width="11" customWidth="1"/>
    <col min="12" max="22" width="13" customWidth="1"/>
  </cols>
  <sheetData>
    <row r="1" spans="1:22" ht="21.75" customHeight="1" x14ac:dyDescent="0.25">
      <c r="A1" s="13" t="s">
        <v>356</v>
      </c>
    </row>
    <row r="2" spans="1:22" ht="15" customHeight="1" x14ac:dyDescent="0.2">
      <c r="A2" s="8" t="s">
        <v>357</v>
      </c>
    </row>
    <row r="4" spans="1:22" ht="27.75" customHeight="1" x14ac:dyDescent="0.2">
      <c r="A4" s="16" t="s">
        <v>102</v>
      </c>
      <c r="B4" s="16" t="s">
        <v>103</v>
      </c>
      <c r="C4" s="16" t="s">
        <v>358</v>
      </c>
      <c r="D4" s="16" t="s">
        <v>107</v>
      </c>
      <c r="E4" s="16" t="s">
        <v>108</v>
      </c>
      <c r="F4" s="16" t="s">
        <v>359</v>
      </c>
      <c r="G4" s="16" t="s">
        <v>360</v>
      </c>
      <c r="H4" s="16" t="s">
        <v>361</v>
      </c>
      <c r="I4" s="16" t="s">
        <v>362</v>
      </c>
      <c r="J4" s="16" t="s">
        <v>134</v>
      </c>
      <c r="K4" s="16" t="s">
        <v>363</v>
      </c>
      <c r="L4" s="16" t="s">
        <v>364</v>
      </c>
      <c r="M4" s="16" t="s">
        <v>365</v>
      </c>
      <c r="N4" s="16" t="s">
        <v>366</v>
      </c>
      <c r="O4" s="16" t="s">
        <v>367</v>
      </c>
      <c r="P4" s="16" t="s">
        <v>368</v>
      </c>
      <c r="Q4" s="16" t="s">
        <v>369</v>
      </c>
      <c r="R4" s="16" t="s">
        <v>370</v>
      </c>
      <c r="S4" s="16" t="s">
        <v>371</v>
      </c>
      <c r="T4" s="16" t="s">
        <v>372</v>
      </c>
      <c r="U4" s="16" t="s">
        <v>373</v>
      </c>
      <c r="V4" s="16" t="s">
        <v>374</v>
      </c>
    </row>
    <row r="5" spans="1:22" ht="15" customHeight="1" x14ac:dyDescent="0.2">
      <c r="A5" s="26" t="s">
        <v>147</v>
      </c>
      <c r="B5" s="27" t="s">
        <v>148</v>
      </c>
      <c r="C5" s="28" t="s">
        <v>150</v>
      </c>
      <c r="D5" s="29">
        <v>234</v>
      </c>
      <c r="E5" s="30">
        <v>18</v>
      </c>
      <c r="F5" s="29">
        <v>44632</v>
      </c>
      <c r="G5" s="30">
        <v>190.73504273504301</v>
      </c>
      <c r="H5" s="31">
        <v>1818.37897435897</v>
      </c>
      <c r="I5" s="31">
        <v>2726.4567521367499</v>
      </c>
      <c r="J5" s="31">
        <v>9067.8354700854707</v>
      </c>
      <c r="K5" s="29">
        <v>2479.5555555555602</v>
      </c>
      <c r="L5" s="30"/>
      <c r="M5" s="30"/>
      <c r="N5" s="30"/>
      <c r="O5" s="30"/>
      <c r="P5" s="30"/>
      <c r="Q5" s="30"/>
      <c r="R5" s="30"/>
      <c r="S5" s="30"/>
      <c r="T5" s="30"/>
      <c r="U5" s="30"/>
      <c r="V5" s="30"/>
    </row>
    <row r="6" spans="1:22" ht="15" customHeight="1" x14ac:dyDescent="0.2">
      <c r="A6" s="17" t="s">
        <v>152</v>
      </c>
      <c r="B6" s="18" t="s">
        <v>148</v>
      </c>
      <c r="C6" s="19" t="s">
        <v>153</v>
      </c>
      <c r="D6" s="20">
        <v>258</v>
      </c>
      <c r="E6" s="21">
        <v>15</v>
      </c>
      <c r="F6" s="20">
        <v>59248.5</v>
      </c>
      <c r="G6" s="21">
        <v>229.64534883720901</v>
      </c>
      <c r="H6" s="22">
        <v>2301.4731782945701</v>
      </c>
      <c r="I6" s="22">
        <v>3162.9702713178299</v>
      </c>
      <c r="J6" s="22">
        <v>9026.8100775193798</v>
      </c>
      <c r="K6" s="20">
        <v>3949.9</v>
      </c>
      <c r="L6" s="21"/>
      <c r="M6" s="21"/>
      <c r="N6" s="21"/>
      <c r="O6" s="21"/>
      <c r="P6" s="21"/>
      <c r="Q6" s="21"/>
      <c r="R6" s="21"/>
      <c r="S6" s="21"/>
      <c r="T6" s="21"/>
      <c r="U6" s="21"/>
      <c r="V6" s="21"/>
    </row>
    <row r="7" spans="1:22" ht="15" customHeight="1" x14ac:dyDescent="0.2">
      <c r="A7" s="26" t="s">
        <v>154</v>
      </c>
      <c r="B7" s="27" t="s">
        <v>148</v>
      </c>
      <c r="C7" s="28" t="s">
        <v>155</v>
      </c>
      <c r="D7" s="29">
        <v>56</v>
      </c>
      <c r="E7" s="30">
        <v>16</v>
      </c>
      <c r="F7" s="29">
        <v>8318</v>
      </c>
      <c r="G7" s="30">
        <v>148.53571428571399</v>
      </c>
      <c r="H7" s="31">
        <v>1444.6696428571399</v>
      </c>
      <c r="I7" s="31">
        <v>2697.57839285714</v>
      </c>
      <c r="J7" s="31">
        <v>7039.4285714285697</v>
      </c>
      <c r="K7" s="29">
        <v>519.875</v>
      </c>
      <c r="L7" s="30"/>
      <c r="M7" s="30"/>
      <c r="N7" s="30"/>
      <c r="O7" s="30"/>
      <c r="P7" s="30"/>
      <c r="Q7" s="30"/>
      <c r="R7" s="30"/>
      <c r="S7" s="30"/>
      <c r="T7" s="30"/>
      <c r="U7" s="30"/>
      <c r="V7" s="30"/>
    </row>
    <row r="8" spans="1:22" ht="15" customHeight="1" x14ac:dyDescent="0.2">
      <c r="A8" s="17" t="s">
        <v>157</v>
      </c>
      <c r="B8" s="18" t="s">
        <v>148</v>
      </c>
      <c r="C8" s="19" t="s">
        <v>158</v>
      </c>
      <c r="D8" s="20">
        <v>149</v>
      </c>
      <c r="E8" s="21">
        <v>24</v>
      </c>
      <c r="F8" s="20">
        <v>19847</v>
      </c>
      <c r="G8" s="21">
        <v>133.20134228187899</v>
      </c>
      <c r="H8" s="22">
        <v>1317.25590604027</v>
      </c>
      <c r="I8" s="22">
        <v>1897.0655704697999</v>
      </c>
      <c r="J8" s="22">
        <v>9304.8255033557107</v>
      </c>
      <c r="K8" s="20">
        <v>826.95833333333303</v>
      </c>
      <c r="L8" s="21"/>
      <c r="M8" s="21"/>
      <c r="N8" s="21"/>
      <c r="O8" s="21"/>
      <c r="P8" s="21"/>
      <c r="Q8" s="21"/>
      <c r="R8" s="21"/>
      <c r="S8" s="21"/>
      <c r="T8" s="21"/>
      <c r="U8" s="21"/>
      <c r="V8" s="21"/>
    </row>
    <row r="9" spans="1:22" ht="15" customHeight="1" x14ac:dyDescent="0.2">
      <c r="A9" s="26" t="s">
        <v>159</v>
      </c>
      <c r="B9" s="27" t="s">
        <v>148</v>
      </c>
      <c r="C9" s="28" t="s">
        <v>160</v>
      </c>
      <c r="D9" s="29">
        <v>117</v>
      </c>
      <c r="E9" s="30">
        <v>17</v>
      </c>
      <c r="F9" s="29">
        <v>13606</v>
      </c>
      <c r="G9" s="30">
        <v>116.290598290598</v>
      </c>
      <c r="H9" s="31">
        <v>1221.22008547009</v>
      </c>
      <c r="I9" s="31">
        <v>2521.41777777778</v>
      </c>
      <c r="J9" s="31">
        <v>7434.3888888888896</v>
      </c>
      <c r="K9" s="29">
        <v>800.35294117647095</v>
      </c>
      <c r="L9" s="30"/>
      <c r="M9" s="30"/>
      <c r="N9" s="30"/>
      <c r="O9" s="30"/>
      <c r="P9" s="30"/>
      <c r="Q9" s="30"/>
      <c r="R9" s="30"/>
      <c r="S9" s="30"/>
      <c r="T9" s="30"/>
      <c r="U9" s="30"/>
      <c r="V9" s="30"/>
    </row>
    <row r="10" spans="1:22" ht="15" customHeight="1" x14ac:dyDescent="0.2">
      <c r="A10" s="17" t="s">
        <v>161</v>
      </c>
      <c r="B10" s="18" t="s">
        <v>148</v>
      </c>
      <c r="C10" s="19" t="s">
        <v>162</v>
      </c>
      <c r="D10" s="20">
        <v>162</v>
      </c>
      <c r="E10" s="21">
        <v>16</v>
      </c>
      <c r="F10" s="20">
        <v>14607.25</v>
      </c>
      <c r="G10" s="21">
        <v>90.168209876543202</v>
      </c>
      <c r="H10" s="22">
        <v>1798.28320987654</v>
      </c>
      <c r="I10" s="22">
        <v>2412.0423456790099</v>
      </c>
      <c r="J10" s="22">
        <v>8171.2546296296296</v>
      </c>
      <c r="K10" s="20">
        <v>912.953125</v>
      </c>
      <c r="L10" s="21">
        <v>1.02</v>
      </c>
      <c r="M10" s="21"/>
      <c r="N10" s="21">
        <v>9.19</v>
      </c>
      <c r="O10" s="21">
        <v>57.53</v>
      </c>
      <c r="P10" s="21">
        <v>13.45</v>
      </c>
      <c r="Q10" s="21">
        <v>0.64</v>
      </c>
      <c r="R10" s="21">
        <v>4.9400000000000004</v>
      </c>
      <c r="S10" s="21">
        <v>2.34</v>
      </c>
      <c r="T10" s="21"/>
      <c r="U10" s="21"/>
      <c r="V10" s="21"/>
    </row>
    <row r="11" spans="1:22" ht="15" customHeight="1" x14ac:dyDescent="0.2">
      <c r="A11" s="26" t="s">
        <v>165</v>
      </c>
      <c r="B11" s="27" t="s">
        <v>148</v>
      </c>
      <c r="C11" s="28" t="s">
        <v>166</v>
      </c>
      <c r="D11" s="29">
        <v>197</v>
      </c>
      <c r="E11" s="30">
        <v>25</v>
      </c>
      <c r="F11" s="29">
        <v>51911</v>
      </c>
      <c r="G11" s="30">
        <v>263.507614213198</v>
      </c>
      <c r="H11" s="31">
        <v>2961.8407106599002</v>
      </c>
      <c r="I11" s="31">
        <v>3357.7072588832498</v>
      </c>
      <c r="J11" s="31">
        <v>10896.994923857899</v>
      </c>
      <c r="K11" s="29">
        <v>2076.44</v>
      </c>
      <c r="L11" s="30"/>
      <c r="M11" s="30"/>
      <c r="N11" s="30"/>
      <c r="O11" s="30"/>
      <c r="P11" s="30"/>
      <c r="Q11" s="30"/>
      <c r="R11" s="30"/>
      <c r="S11" s="30"/>
      <c r="T11" s="30"/>
      <c r="U11" s="30"/>
      <c r="V11" s="30"/>
    </row>
    <row r="12" spans="1:22" ht="15" customHeight="1" x14ac:dyDescent="0.2">
      <c r="A12" s="17" t="s">
        <v>167</v>
      </c>
      <c r="B12" s="18" t="s">
        <v>148</v>
      </c>
      <c r="C12" s="19" t="s">
        <v>168</v>
      </c>
      <c r="D12" s="20">
        <v>119</v>
      </c>
      <c r="E12" s="21">
        <v>16</v>
      </c>
      <c r="F12" s="20">
        <v>29950</v>
      </c>
      <c r="G12" s="21">
        <v>251.68067226890801</v>
      </c>
      <c r="H12" s="22">
        <v>2460.1323529411802</v>
      </c>
      <c r="I12" s="22">
        <v>3179.1070588235302</v>
      </c>
      <c r="J12" s="22">
        <v>11512.512605042</v>
      </c>
      <c r="K12" s="20">
        <v>1871.875</v>
      </c>
      <c r="L12" s="21"/>
      <c r="M12" s="21"/>
      <c r="N12" s="21"/>
      <c r="O12" s="21"/>
      <c r="P12" s="21"/>
      <c r="Q12" s="21"/>
      <c r="R12" s="21"/>
      <c r="S12" s="21"/>
      <c r="T12" s="21"/>
      <c r="U12" s="21"/>
      <c r="V12" s="21"/>
    </row>
    <row r="13" spans="1:22" ht="15" customHeight="1" x14ac:dyDescent="0.2">
      <c r="A13" s="26" t="s">
        <v>169</v>
      </c>
      <c r="B13" s="27" t="s">
        <v>148</v>
      </c>
      <c r="C13" s="28" t="s">
        <v>170</v>
      </c>
      <c r="D13" s="29">
        <v>211</v>
      </c>
      <c r="E13" s="30">
        <v>15</v>
      </c>
      <c r="F13" s="29">
        <v>47132</v>
      </c>
      <c r="G13" s="30">
        <v>223.37440758293801</v>
      </c>
      <c r="H13" s="31">
        <v>2087.1703317535498</v>
      </c>
      <c r="I13" s="31">
        <v>2639.3685781990498</v>
      </c>
      <c r="J13" s="31">
        <v>10924.4454976303</v>
      </c>
      <c r="K13" s="29">
        <v>3142.13333333333</v>
      </c>
      <c r="L13" s="30"/>
      <c r="M13" s="30"/>
      <c r="N13" s="30"/>
      <c r="O13" s="30"/>
      <c r="P13" s="30"/>
      <c r="Q13" s="30"/>
      <c r="R13" s="30"/>
      <c r="S13" s="30"/>
      <c r="T13" s="30"/>
      <c r="U13" s="30"/>
      <c r="V13" s="30"/>
    </row>
    <row r="14" spans="1:22" ht="15" customHeight="1" x14ac:dyDescent="0.2">
      <c r="A14" s="17" t="s">
        <v>171</v>
      </c>
      <c r="B14" s="18" t="s">
        <v>148</v>
      </c>
      <c r="C14" s="19" t="s">
        <v>172</v>
      </c>
      <c r="D14" s="20">
        <v>211</v>
      </c>
      <c r="E14" s="21">
        <v>22</v>
      </c>
      <c r="F14" s="20">
        <v>52897</v>
      </c>
      <c r="G14" s="21">
        <v>250.69668246445499</v>
      </c>
      <c r="H14" s="22">
        <v>2610.5811374407599</v>
      </c>
      <c r="I14" s="22">
        <v>3130.5636492890999</v>
      </c>
      <c r="J14" s="22">
        <v>13636.107109004701</v>
      </c>
      <c r="K14" s="20">
        <v>2404.4090909090901</v>
      </c>
      <c r="L14" s="21"/>
      <c r="M14" s="21"/>
      <c r="N14" s="21"/>
      <c r="O14" s="21"/>
      <c r="P14" s="21"/>
      <c r="Q14" s="21"/>
      <c r="R14" s="21"/>
      <c r="S14" s="21"/>
      <c r="T14" s="21"/>
      <c r="U14" s="21"/>
      <c r="V14" s="21"/>
    </row>
    <row r="15" spans="1:22" ht="15" customHeight="1" x14ac:dyDescent="0.2">
      <c r="A15" s="26" t="s">
        <v>173</v>
      </c>
      <c r="B15" s="27" t="s">
        <v>148</v>
      </c>
      <c r="C15" s="28" t="s">
        <v>174</v>
      </c>
      <c r="D15" s="29">
        <v>256</v>
      </c>
      <c r="E15" s="30">
        <v>22</v>
      </c>
      <c r="F15" s="29">
        <v>76015</v>
      </c>
      <c r="G15" s="30">
        <v>296.93359375</v>
      </c>
      <c r="H15" s="31">
        <v>2995.8164453125</v>
      </c>
      <c r="I15" s="31">
        <v>2873.807109375</v>
      </c>
      <c r="J15" s="31">
        <v>12183.59375</v>
      </c>
      <c r="K15" s="29">
        <v>3455.2272727272698</v>
      </c>
      <c r="L15" s="30"/>
      <c r="M15" s="30"/>
      <c r="N15" s="30"/>
      <c r="O15" s="30"/>
      <c r="P15" s="30"/>
      <c r="Q15" s="30"/>
      <c r="R15" s="30"/>
      <c r="S15" s="30"/>
      <c r="T15" s="30"/>
      <c r="U15" s="30"/>
      <c r="V15" s="30"/>
    </row>
    <row r="16" spans="1:22" ht="15" customHeight="1" x14ac:dyDescent="0.2">
      <c r="A16" s="17" t="s">
        <v>175</v>
      </c>
      <c r="B16" s="18" t="s">
        <v>148</v>
      </c>
      <c r="C16" s="19" t="s">
        <v>176</v>
      </c>
      <c r="D16" s="20">
        <v>136</v>
      </c>
      <c r="E16" s="21">
        <v>19</v>
      </c>
      <c r="F16" s="20">
        <v>41555</v>
      </c>
      <c r="G16" s="21">
        <v>305.55147058823502</v>
      </c>
      <c r="H16" s="22">
        <v>3157.5204411764698</v>
      </c>
      <c r="I16" s="22">
        <v>3117.09161764706</v>
      </c>
      <c r="J16" s="22">
        <v>11631.0147058824</v>
      </c>
      <c r="K16" s="20">
        <v>2187.1052631579</v>
      </c>
      <c r="L16" s="21"/>
      <c r="M16" s="21"/>
      <c r="N16" s="21"/>
      <c r="O16" s="21"/>
      <c r="P16" s="21"/>
      <c r="Q16" s="21"/>
      <c r="R16" s="21"/>
      <c r="S16" s="21"/>
      <c r="T16" s="21"/>
      <c r="U16" s="21"/>
      <c r="V16" s="21"/>
    </row>
    <row r="17" spans="1:22" ht="15" customHeight="1" x14ac:dyDescent="0.2">
      <c r="A17" s="26" t="s">
        <v>177</v>
      </c>
      <c r="B17" s="27" t="s">
        <v>148</v>
      </c>
      <c r="C17" s="28" t="s">
        <v>178</v>
      </c>
      <c r="D17" s="29">
        <v>18</v>
      </c>
      <c r="E17" s="30">
        <v>11</v>
      </c>
      <c r="F17" s="29">
        <v>3952</v>
      </c>
      <c r="G17" s="30">
        <v>219.555555555556</v>
      </c>
      <c r="H17" s="31">
        <v>3217.6527777777801</v>
      </c>
      <c r="I17" s="31">
        <v>3378.02</v>
      </c>
      <c r="J17" s="31">
        <v>13479.833333333299</v>
      </c>
      <c r="K17" s="29">
        <v>359.27272727272702</v>
      </c>
      <c r="L17" s="30"/>
      <c r="M17" s="30"/>
      <c r="N17" s="30"/>
      <c r="O17" s="30"/>
      <c r="P17" s="30"/>
      <c r="Q17" s="30"/>
      <c r="R17" s="30"/>
      <c r="S17" s="30"/>
      <c r="T17" s="30"/>
      <c r="U17" s="30"/>
      <c r="V17" s="30"/>
    </row>
    <row r="18" spans="1:22" ht="15" customHeight="1" x14ac:dyDescent="0.2">
      <c r="A18" s="17" t="s">
        <v>179</v>
      </c>
      <c r="B18" s="18" t="s">
        <v>148</v>
      </c>
      <c r="C18" s="19" t="s">
        <v>181</v>
      </c>
      <c r="D18" s="20">
        <v>209</v>
      </c>
      <c r="E18" s="21">
        <v>22.9</v>
      </c>
      <c r="F18" s="20">
        <v>33107</v>
      </c>
      <c r="G18" s="21">
        <v>158.406698564593</v>
      </c>
      <c r="H18" s="22">
        <v>3362.4131578947399</v>
      </c>
      <c r="I18" s="22">
        <v>3471.3149282296699</v>
      </c>
      <c r="J18" s="22">
        <v>13260.138755980901</v>
      </c>
      <c r="K18" s="20">
        <v>1445.7205240174701</v>
      </c>
      <c r="L18" s="21">
        <v>1.48</v>
      </c>
      <c r="M18" s="21"/>
      <c r="N18" s="21">
        <v>30.49</v>
      </c>
      <c r="O18" s="21">
        <v>85</v>
      </c>
      <c r="P18" s="21">
        <v>13.91</v>
      </c>
      <c r="Q18" s="21">
        <v>4.6500000000000004</v>
      </c>
      <c r="R18" s="21">
        <v>15.38</v>
      </c>
      <c r="S18" s="21">
        <v>4.1900000000000004</v>
      </c>
      <c r="T18" s="21">
        <v>0.03</v>
      </c>
      <c r="U18" s="21"/>
      <c r="V18" s="21"/>
    </row>
    <row r="19" spans="1:22" ht="15" customHeight="1" x14ac:dyDescent="0.2">
      <c r="A19" s="26" t="s">
        <v>185</v>
      </c>
      <c r="B19" s="27" t="s">
        <v>148</v>
      </c>
      <c r="C19" s="28" t="s">
        <v>186</v>
      </c>
      <c r="D19" s="29">
        <v>117</v>
      </c>
      <c r="E19" s="30">
        <v>15.1</v>
      </c>
      <c r="F19" s="29">
        <v>17098</v>
      </c>
      <c r="G19" s="30">
        <v>146.13675213675199</v>
      </c>
      <c r="H19" s="31">
        <v>3245.7905982906</v>
      </c>
      <c r="I19" s="31">
        <v>2876.3960683760702</v>
      </c>
      <c r="J19" s="31">
        <v>15485.8376068376</v>
      </c>
      <c r="K19" s="29">
        <v>1132.3178807946999</v>
      </c>
      <c r="L19" s="30">
        <v>2.52</v>
      </c>
      <c r="M19" s="30"/>
      <c r="N19" s="30">
        <v>28.05</v>
      </c>
      <c r="O19" s="30">
        <v>74.62</v>
      </c>
      <c r="P19" s="30">
        <v>9.83</v>
      </c>
      <c r="Q19" s="30">
        <v>3.47</v>
      </c>
      <c r="R19" s="30">
        <v>13.29</v>
      </c>
      <c r="S19" s="30">
        <v>2.94</v>
      </c>
      <c r="T19" s="30">
        <v>7.3</v>
      </c>
      <c r="U19" s="30"/>
      <c r="V19" s="30"/>
    </row>
    <row r="20" spans="1:22" ht="15" customHeight="1" x14ac:dyDescent="0.2">
      <c r="A20" s="17" t="s">
        <v>190</v>
      </c>
      <c r="B20" s="18" t="s">
        <v>148</v>
      </c>
      <c r="C20" s="19" t="s">
        <v>191</v>
      </c>
      <c r="D20" s="20">
        <v>75</v>
      </c>
      <c r="E20" s="21">
        <v>17.8</v>
      </c>
      <c r="F20" s="20">
        <v>11488.5</v>
      </c>
      <c r="G20" s="21">
        <v>153.18</v>
      </c>
      <c r="H20" s="22">
        <v>3830.6466666666702</v>
      </c>
      <c r="I20" s="22">
        <v>3514.7689333333301</v>
      </c>
      <c r="J20" s="22">
        <v>16111.1733333333</v>
      </c>
      <c r="K20" s="20">
        <v>645.42134831460703</v>
      </c>
      <c r="L20" s="21">
        <v>1.27</v>
      </c>
      <c r="M20" s="21"/>
      <c r="N20" s="21">
        <v>28.09</v>
      </c>
      <c r="O20" s="21">
        <v>84.67</v>
      </c>
      <c r="P20" s="21">
        <v>14.25</v>
      </c>
      <c r="Q20" s="21">
        <v>2.61</v>
      </c>
      <c r="R20" s="21">
        <v>12.28</v>
      </c>
      <c r="S20" s="21">
        <v>6.59</v>
      </c>
      <c r="T20" s="21"/>
      <c r="U20" s="21"/>
      <c r="V20" s="21"/>
    </row>
    <row r="21" spans="1:22" ht="15" customHeight="1" x14ac:dyDescent="0.2">
      <c r="A21" s="26" t="s">
        <v>195</v>
      </c>
      <c r="B21" s="27" t="s">
        <v>148</v>
      </c>
      <c r="C21" s="28" t="s">
        <v>196</v>
      </c>
      <c r="D21" s="29">
        <v>49</v>
      </c>
      <c r="E21" s="30">
        <v>16.100000000000001</v>
      </c>
      <c r="F21" s="29">
        <v>8541.5</v>
      </c>
      <c r="G21" s="30">
        <v>174.316326530612</v>
      </c>
      <c r="H21" s="31">
        <v>4300.3163265306102</v>
      </c>
      <c r="I21" s="31">
        <v>3976.9461224489801</v>
      </c>
      <c r="J21" s="31">
        <v>16952.387755102001</v>
      </c>
      <c r="K21" s="29">
        <v>530.52795031055905</v>
      </c>
      <c r="L21" s="30">
        <v>0.93</v>
      </c>
      <c r="M21" s="30"/>
      <c r="N21" s="30">
        <v>26.55</v>
      </c>
      <c r="O21" s="30">
        <v>100.02</v>
      </c>
      <c r="P21" s="30">
        <v>12.77</v>
      </c>
      <c r="Q21" s="30">
        <v>2.72</v>
      </c>
      <c r="R21" s="30">
        <v>19.73</v>
      </c>
      <c r="S21" s="30">
        <v>8.8800000000000008</v>
      </c>
      <c r="T21" s="30"/>
      <c r="U21" s="30"/>
      <c r="V21" s="30"/>
    </row>
    <row r="22" spans="1:22" ht="15" customHeight="1" x14ac:dyDescent="0.2">
      <c r="A22" s="17" t="s">
        <v>201</v>
      </c>
      <c r="B22" s="18" t="s">
        <v>148</v>
      </c>
      <c r="C22" s="19" t="s">
        <v>202</v>
      </c>
      <c r="D22" s="20">
        <v>170</v>
      </c>
      <c r="E22" s="21">
        <v>18.899999999999999</v>
      </c>
      <c r="F22" s="20">
        <v>21014</v>
      </c>
      <c r="G22" s="21">
        <v>123.611764705882</v>
      </c>
      <c r="H22" s="22">
        <v>2889.7045294117702</v>
      </c>
      <c r="I22" s="22">
        <v>3225.51523529412</v>
      </c>
      <c r="J22" s="22">
        <v>13384.964705882399</v>
      </c>
      <c r="K22" s="20">
        <v>1111.8518518518499</v>
      </c>
      <c r="L22" s="21">
        <v>0.73</v>
      </c>
      <c r="M22" s="21"/>
      <c r="N22" s="21">
        <v>16.55</v>
      </c>
      <c r="O22" s="21">
        <v>74.540000000000006</v>
      </c>
      <c r="P22" s="21">
        <v>12.69</v>
      </c>
      <c r="Q22" s="21">
        <v>1.98</v>
      </c>
      <c r="R22" s="21">
        <v>12.99</v>
      </c>
      <c r="S22" s="21">
        <v>2.4300000000000002</v>
      </c>
      <c r="T22" s="21"/>
      <c r="U22" s="21"/>
      <c r="V22" s="21"/>
    </row>
    <row r="23" spans="1:22" ht="15" customHeight="1" x14ac:dyDescent="0.2">
      <c r="A23" s="26" t="s">
        <v>205</v>
      </c>
      <c r="B23" s="27" t="s">
        <v>148</v>
      </c>
      <c r="C23" s="28" t="s">
        <v>206</v>
      </c>
      <c r="D23" s="29">
        <v>296</v>
      </c>
      <c r="E23" s="30">
        <v>12.4</v>
      </c>
      <c r="F23" s="29">
        <v>24097</v>
      </c>
      <c r="G23" s="30">
        <v>81.408783783783804</v>
      </c>
      <c r="H23" s="31">
        <v>1917.7401689189201</v>
      </c>
      <c r="I23" s="31">
        <v>1549.8416554054099</v>
      </c>
      <c r="J23" s="31">
        <v>9070.5641891891901</v>
      </c>
      <c r="K23" s="29">
        <v>1943.3064516129</v>
      </c>
      <c r="L23" s="30">
        <v>0.71</v>
      </c>
      <c r="M23" s="30"/>
      <c r="N23" s="30">
        <v>11.12</v>
      </c>
      <c r="O23" s="30">
        <v>54.81</v>
      </c>
      <c r="P23" s="30">
        <v>0.06</v>
      </c>
      <c r="Q23" s="30">
        <v>1.44</v>
      </c>
      <c r="R23" s="30">
        <v>9.58</v>
      </c>
      <c r="S23" s="30">
        <v>2.2400000000000002</v>
      </c>
      <c r="T23" s="30">
        <v>0.12</v>
      </c>
      <c r="U23" s="30"/>
      <c r="V23" s="30"/>
    </row>
    <row r="24" spans="1:22" ht="15" customHeight="1" x14ac:dyDescent="0.2">
      <c r="A24" s="17" t="s">
        <v>210</v>
      </c>
      <c r="B24" s="18" t="s">
        <v>148</v>
      </c>
      <c r="C24" s="19" t="s">
        <v>211</v>
      </c>
      <c r="D24" s="20">
        <v>83</v>
      </c>
      <c r="E24" s="21">
        <v>14</v>
      </c>
      <c r="F24" s="20">
        <v>7596</v>
      </c>
      <c r="G24" s="21">
        <v>91.518072289156606</v>
      </c>
      <c r="H24" s="22">
        <v>2265.6084337349398</v>
      </c>
      <c r="I24" s="22">
        <v>2926.2036144578301</v>
      </c>
      <c r="J24" s="22">
        <v>13539.120481927701</v>
      </c>
      <c r="K24" s="20">
        <v>542.57142857142901</v>
      </c>
      <c r="L24" s="21">
        <v>0.86</v>
      </c>
      <c r="M24" s="21"/>
      <c r="N24" s="21">
        <v>8.1</v>
      </c>
      <c r="O24" s="21">
        <v>54.86</v>
      </c>
      <c r="P24" s="21">
        <v>11.8</v>
      </c>
      <c r="Q24" s="21">
        <v>1.0900000000000001</v>
      </c>
      <c r="R24" s="21">
        <v>6.66</v>
      </c>
      <c r="S24" s="21">
        <v>5.6</v>
      </c>
      <c r="T24" s="21"/>
      <c r="U24" s="21"/>
      <c r="V24" s="21"/>
    </row>
    <row r="25" spans="1:22" ht="15" customHeight="1" x14ac:dyDescent="0.2">
      <c r="A25" s="26" t="s">
        <v>214</v>
      </c>
      <c r="B25" s="27" t="s">
        <v>148</v>
      </c>
      <c r="C25" s="28" t="s">
        <v>215</v>
      </c>
      <c r="D25" s="29">
        <v>144</v>
      </c>
      <c r="E25" s="30">
        <v>20.5</v>
      </c>
      <c r="F25" s="29">
        <v>18665</v>
      </c>
      <c r="G25" s="30">
        <v>129.618055555556</v>
      </c>
      <c r="H25" s="31">
        <v>3500.6336805555602</v>
      </c>
      <c r="I25" s="31">
        <v>3957.6735416666702</v>
      </c>
      <c r="J25" s="31">
        <v>16130.4236111111</v>
      </c>
      <c r="K25" s="29">
        <v>910.48780487804902</v>
      </c>
      <c r="L25" s="30">
        <v>0.71</v>
      </c>
      <c r="M25" s="30"/>
      <c r="N25" s="30">
        <v>25.39</v>
      </c>
      <c r="O25" s="30">
        <v>67.31</v>
      </c>
      <c r="P25" s="30">
        <v>12.07</v>
      </c>
      <c r="Q25" s="30">
        <v>4.01</v>
      </c>
      <c r="R25" s="30">
        <v>13.12</v>
      </c>
      <c r="S25" s="30">
        <v>4.28</v>
      </c>
      <c r="T25" s="30"/>
      <c r="U25" s="30"/>
      <c r="V25" s="30"/>
    </row>
    <row r="26" spans="1:22" ht="15" customHeight="1" x14ac:dyDescent="0.2">
      <c r="A26" s="17" t="s">
        <v>219</v>
      </c>
      <c r="B26" s="18" t="s">
        <v>148</v>
      </c>
      <c r="C26" s="19" t="s">
        <v>220</v>
      </c>
      <c r="D26" s="20">
        <v>398</v>
      </c>
      <c r="E26" s="21">
        <v>31.1</v>
      </c>
      <c r="F26" s="20">
        <v>22023</v>
      </c>
      <c r="G26" s="21">
        <v>55.334170854271399</v>
      </c>
      <c r="H26" s="22">
        <v>1419.3979396984901</v>
      </c>
      <c r="I26" s="22">
        <v>1219.69706030151</v>
      </c>
      <c r="J26" s="22">
        <v>13034.557788944699</v>
      </c>
      <c r="K26" s="20">
        <v>708.13504823151095</v>
      </c>
      <c r="L26" s="21">
        <v>1.1499999999999999</v>
      </c>
      <c r="M26" s="21"/>
      <c r="N26" s="21">
        <v>7.79</v>
      </c>
      <c r="O26" s="21">
        <v>31.32</v>
      </c>
      <c r="P26" s="21">
        <v>6.71</v>
      </c>
      <c r="Q26" s="21">
        <v>0.65</v>
      </c>
      <c r="R26" s="21">
        <v>3.64</v>
      </c>
      <c r="S26" s="21">
        <v>2.31</v>
      </c>
      <c r="T26" s="21">
        <v>0.09</v>
      </c>
      <c r="U26" s="21"/>
      <c r="V26" s="21"/>
    </row>
    <row r="27" spans="1:22" ht="15" customHeight="1" x14ac:dyDescent="0.2">
      <c r="A27" s="26" t="s">
        <v>224</v>
      </c>
      <c r="B27" s="27" t="s">
        <v>148</v>
      </c>
      <c r="C27" s="28" t="s">
        <v>225</v>
      </c>
      <c r="D27" s="29">
        <v>71</v>
      </c>
      <c r="E27" s="30">
        <v>15.6</v>
      </c>
      <c r="F27" s="29">
        <v>5157</v>
      </c>
      <c r="G27" s="30">
        <v>72.633802816901394</v>
      </c>
      <c r="H27" s="31">
        <v>1893.87676056338</v>
      </c>
      <c r="I27" s="31">
        <v>2361.9792957746499</v>
      </c>
      <c r="J27" s="31">
        <v>10231.0281690141</v>
      </c>
      <c r="K27" s="29">
        <v>330.57692307692298</v>
      </c>
      <c r="L27" s="30">
        <v>0.88</v>
      </c>
      <c r="M27" s="30"/>
      <c r="N27" s="30">
        <v>3.25</v>
      </c>
      <c r="O27" s="30">
        <v>44.11</v>
      </c>
      <c r="P27" s="30">
        <v>9.61</v>
      </c>
      <c r="Q27" s="30">
        <v>0.71</v>
      </c>
      <c r="R27" s="30">
        <v>7.87</v>
      </c>
      <c r="S27" s="30">
        <v>3.86</v>
      </c>
      <c r="T27" s="30"/>
      <c r="U27" s="30"/>
      <c r="V27" s="30"/>
    </row>
    <row r="28" spans="1:22" ht="15" customHeight="1" x14ac:dyDescent="0.2">
      <c r="A28" s="17" t="s">
        <v>230</v>
      </c>
      <c r="B28" s="18" t="s">
        <v>148</v>
      </c>
      <c r="C28" s="19" t="s">
        <v>231</v>
      </c>
      <c r="D28" s="20">
        <v>139</v>
      </c>
      <c r="E28" s="21">
        <v>24.8</v>
      </c>
      <c r="F28" s="20">
        <v>19509</v>
      </c>
      <c r="G28" s="21">
        <v>140.352517985612</v>
      </c>
      <c r="H28" s="22">
        <v>3786.17</v>
      </c>
      <c r="I28" s="22">
        <v>3311.2469784172699</v>
      </c>
      <c r="J28" s="22">
        <v>16857.467625899299</v>
      </c>
      <c r="K28" s="20">
        <v>786.65322580645204</v>
      </c>
      <c r="L28" s="21">
        <v>0.34</v>
      </c>
      <c r="M28" s="21"/>
      <c r="N28" s="21">
        <v>21.6</v>
      </c>
      <c r="O28" s="21">
        <v>82.38</v>
      </c>
      <c r="P28" s="21">
        <v>13.27</v>
      </c>
      <c r="Q28" s="21">
        <v>2.33</v>
      </c>
      <c r="R28" s="21">
        <v>7.88</v>
      </c>
      <c r="S28" s="21">
        <v>2.5499999999999998</v>
      </c>
      <c r="T28" s="21">
        <v>8.0399999999999991</v>
      </c>
      <c r="U28" s="21"/>
      <c r="V28" s="21"/>
    </row>
    <row r="29" spans="1:22" ht="15" customHeight="1" x14ac:dyDescent="0.2">
      <c r="A29" s="26" t="s">
        <v>236</v>
      </c>
      <c r="B29" s="27" t="s">
        <v>148</v>
      </c>
      <c r="C29" s="28" t="s">
        <v>237</v>
      </c>
      <c r="D29" s="29">
        <v>128</v>
      </c>
      <c r="E29" s="30">
        <v>17.100000000000001</v>
      </c>
      <c r="F29" s="29">
        <v>21637.75</v>
      </c>
      <c r="G29" s="30">
        <v>169.044921875</v>
      </c>
      <c r="H29" s="31">
        <v>4214.564453125</v>
      </c>
      <c r="I29" s="31">
        <v>3280.3134375</v>
      </c>
      <c r="J29" s="31">
        <v>14825.397656249999</v>
      </c>
      <c r="K29" s="29">
        <v>1265.3654970760199</v>
      </c>
      <c r="L29" s="30">
        <v>0.56000000000000005</v>
      </c>
      <c r="M29" s="30"/>
      <c r="N29" s="30">
        <v>36.130000000000003</v>
      </c>
      <c r="O29" s="30">
        <v>82.9</v>
      </c>
      <c r="P29" s="30">
        <v>11.47</v>
      </c>
      <c r="Q29" s="30">
        <v>2.5299999999999998</v>
      </c>
      <c r="R29" s="30">
        <v>23.49</v>
      </c>
      <c r="S29" s="30">
        <v>1.61</v>
      </c>
      <c r="T29" s="30">
        <v>8.11</v>
      </c>
      <c r="U29" s="30"/>
      <c r="V29" s="30"/>
    </row>
    <row r="30" spans="1:22" ht="15" customHeight="1" x14ac:dyDescent="0.2">
      <c r="A30" s="17" t="s">
        <v>239</v>
      </c>
      <c r="B30" s="18" t="s">
        <v>148</v>
      </c>
      <c r="C30" s="19" t="s">
        <v>240</v>
      </c>
      <c r="D30" s="20">
        <v>92</v>
      </c>
      <c r="E30" s="21">
        <v>16.600000000000001</v>
      </c>
      <c r="F30" s="20">
        <v>5204.75</v>
      </c>
      <c r="G30" s="21">
        <v>56.573369565217398</v>
      </c>
      <c r="H30" s="22">
        <v>1450.57065217391</v>
      </c>
      <c r="I30" s="22">
        <v>1732.71315217391</v>
      </c>
      <c r="J30" s="22">
        <v>7850.9782608695696</v>
      </c>
      <c r="K30" s="20">
        <v>313.53915662650599</v>
      </c>
      <c r="L30" s="21">
        <v>1.03</v>
      </c>
      <c r="M30" s="21"/>
      <c r="N30" s="21">
        <v>8.93</v>
      </c>
      <c r="O30" s="21">
        <v>31.42</v>
      </c>
      <c r="P30" s="21">
        <v>6.41</v>
      </c>
      <c r="Q30" s="21"/>
      <c r="R30" s="21">
        <v>6.48</v>
      </c>
      <c r="S30" s="21">
        <v>0.15</v>
      </c>
      <c r="T30" s="21"/>
      <c r="U30" s="21"/>
      <c r="V30" s="21"/>
    </row>
    <row r="31" spans="1:22" ht="15" customHeight="1" x14ac:dyDescent="0.2">
      <c r="A31" s="26" t="s">
        <v>245</v>
      </c>
      <c r="B31" s="27" t="s">
        <v>148</v>
      </c>
      <c r="C31" s="28" t="s">
        <v>246</v>
      </c>
      <c r="D31" s="29">
        <v>31</v>
      </c>
      <c r="E31" s="30">
        <v>17.899999999999999</v>
      </c>
      <c r="F31" s="29">
        <v>4098</v>
      </c>
      <c r="G31" s="30">
        <v>132.193548387097</v>
      </c>
      <c r="H31" s="31">
        <v>3631.7983870967701</v>
      </c>
      <c r="I31" s="31">
        <v>3362.9951612903201</v>
      </c>
      <c r="J31" s="31">
        <v>13505.7096774194</v>
      </c>
      <c r="K31" s="29">
        <v>228.938547486034</v>
      </c>
      <c r="L31" s="30">
        <v>2.29</v>
      </c>
      <c r="M31" s="30"/>
      <c r="N31" s="30">
        <v>12.92</v>
      </c>
      <c r="O31" s="30">
        <v>83.31</v>
      </c>
      <c r="P31" s="30">
        <v>23.6</v>
      </c>
      <c r="Q31" s="30"/>
      <c r="R31" s="30">
        <v>5.81</v>
      </c>
      <c r="S31" s="30">
        <v>0.31</v>
      </c>
      <c r="T31" s="30"/>
      <c r="U31" s="30"/>
      <c r="V31" s="30"/>
    </row>
    <row r="32" spans="1:22" ht="15" customHeight="1" x14ac:dyDescent="0.2">
      <c r="A32" s="17" t="s">
        <v>249</v>
      </c>
      <c r="B32" s="18" t="s">
        <v>148</v>
      </c>
      <c r="C32" s="19" t="s">
        <v>250</v>
      </c>
      <c r="D32" s="20">
        <v>122</v>
      </c>
      <c r="E32" s="21">
        <v>26</v>
      </c>
      <c r="F32" s="20">
        <v>14799</v>
      </c>
      <c r="G32" s="21">
        <v>121.303278688525</v>
      </c>
      <c r="H32" s="22">
        <v>3607.7479508196702</v>
      </c>
      <c r="I32" s="22">
        <v>3994.0672950819699</v>
      </c>
      <c r="J32" s="22">
        <v>17022.811475409799</v>
      </c>
      <c r="K32" s="20">
        <v>569.19230769230796</v>
      </c>
      <c r="L32" s="21">
        <v>1.17</v>
      </c>
      <c r="M32" s="21"/>
      <c r="N32" s="21">
        <v>23.96</v>
      </c>
      <c r="O32" s="21">
        <v>66.86</v>
      </c>
      <c r="P32" s="21">
        <v>13.48</v>
      </c>
      <c r="Q32" s="21">
        <v>1.59</v>
      </c>
      <c r="R32" s="21">
        <v>8.06</v>
      </c>
      <c r="S32" s="21">
        <v>3.66</v>
      </c>
      <c r="T32" s="21">
        <v>0.2</v>
      </c>
      <c r="U32" s="21"/>
      <c r="V32" s="21"/>
    </row>
    <row r="33" spans="1:22" ht="15" customHeight="1" x14ac:dyDescent="0.2">
      <c r="A33" s="26" t="s">
        <v>254</v>
      </c>
      <c r="B33" s="27" t="s">
        <v>148</v>
      </c>
      <c r="C33" s="28" t="s">
        <v>255</v>
      </c>
      <c r="D33" s="29">
        <v>80</v>
      </c>
      <c r="E33" s="30">
        <v>22.7</v>
      </c>
      <c r="F33" s="29">
        <v>11814.25</v>
      </c>
      <c r="G33" s="30">
        <v>147.67812499999999</v>
      </c>
      <c r="H33" s="31">
        <v>4060.3093749999998</v>
      </c>
      <c r="I33" s="31">
        <v>3358.6692499999999</v>
      </c>
      <c r="J33" s="31">
        <v>15367.737499999999</v>
      </c>
      <c r="K33" s="29">
        <v>520.45154185022</v>
      </c>
      <c r="L33" s="30">
        <v>0.4</v>
      </c>
      <c r="M33" s="30"/>
      <c r="N33" s="30">
        <v>26.77</v>
      </c>
      <c r="O33" s="30">
        <v>88.75</v>
      </c>
      <c r="P33" s="30">
        <v>10.91</v>
      </c>
      <c r="Q33" s="30">
        <v>1.1399999999999999</v>
      </c>
      <c r="R33" s="30">
        <v>16.739999999999998</v>
      </c>
      <c r="S33" s="30"/>
      <c r="T33" s="30"/>
      <c r="U33" s="30"/>
      <c r="V33" s="30"/>
    </row>
    <row r="34" spans="1:22" ht="15" customHeight="1" x14ac:dyDescent="0.2">
      <c r="A34" s="17" t="s">
        <v>259</v>
      </c>
      <c r="B34" s="18" t="s">
        <v>148</v>
      </c>
      <c r="C34" s="19" t="s">
        <v>260</v>
      </c>
      <c r="D34" s="20"/>
      <c r="E34" s="21">
        <v>9.8000000000000007</v>
      </c>
      <c r="F34" s="20">
        <v>238</v>
      </c>
      <c r="G34" s="21"/>
      <c r="H34" s="22"/>
      <c r="I34" s="22"/>
      <c r="J34" s="22"/>
      <c r="K34" s="20">
        <v>24.285714285714299</v>
      </c>
      <c r="L34" s="21"/>
      <c r="M34" s="21"/>
      <c r="N34" s="21"/>
      <c r="O34" s="21"/>
      <c r="P34" s="21"/>
      <c r="Q34" s="21"/>
      <c r="R34" s="21"/>
      <c r="S34" s="21"/>
      <c r="T34" s="21"/>
      <c r="U34" s="21"/>
      <c r="V34" s="21"/>
    </row>
    <row r="35" spans="1:22" ht="15" customHeight="1" x14ac:dyDescent="0.2">
      <c r="A35" s="26" t="s">
        <v>263</v>
      </c>
      <c r="B35" s="27" t="s">
        <v>148</v>
      </c>
      <c r="C35" s="28" t="s">
        <v>264</v>
      </c>
      <c r="D35" s="29">
        <v>55</v>
      </c>
      <c r="E35" s="30">
        <v>17</v>
      </c>
      <c r="F35" s="29">
        <v>5454</v>
      </c>
      <c r="G35" s="30">
        <v>99.1636363636364</v>
      </c>
      <c r="H35" s="31">
        <v>2667.25909090909</v>
      </c>
      <c r="I35" s="31">
        <v>2801.8939999999998</v>
      </c>
      <c r="J35" s="31">
        <v>11348.5636363636</v>
      </c>
      <c r="K35" s="29">
        <v>320.82352941176498</v>
      </c>
      <c r="L35" s="30">
        <v>0.8</v>
      </c>
      <c r="M35" s="30"/>
      <c r="N35" s="30">
        <v>8.02</v>
      </c>
      <c r="O35" s="30">
        <v>62.36</v>
      </c>
      <c r="P35" s="30">
        <v>9.67</v>
      </c>
      <c r="Q35" s="30">
        <v>1.51</v>
      </c>
      <c r="R35" s="30">
        <v>11.55</v>
      </c>
      <c r="S35" s="30">
        <v>3.49</v>
      </c>
      <c r="T35" s="30"/>
      <c r="U35" s="30"/>
      <c r="V35" s="30"/>
    </row>
    <row r="36" spans="1:22" ht="15" customHeight="1" x14ac:dyDescent="0.2">
      <c r="A36" s="17" t="s">
        <v>266</v>
      </c>
      <c r="B36" s="18" t="s">
        <v>148</v>
      </c>
      <c r="C36" s="19" t="s">
        <v>268</v>
      </c>
      <c r="D36" s="20">
        <v>108</v>
      </c>
      <c r="E36" s="21"/>
      <c r="F36" s="20">
        <v>14566.5</v>
      </c>
      <c r="G36" s="21">
        <v>134.875</v>
      </c>
      <c r="H36" s="22">
        <v>4326.8287037036998</v>
      </c>
      <c r="I36" s="22">
        <v>4653.8523148148197</v>
      </c>
      <c r="J36" s="22">
        <v>17442.2314814815</v>
      </c>
      <c r="K36" s="20"/>
      <c r="L36" s="21">
        <v>0.93</v>
      </c>
      <c r="M36" s="21"/>
      <c r="N36" s="21">
        <v>40.18</v>
      </c>
      <c r="O36" s="21">
        <v>56.77</v>
      </c>
      <c r="P36" s="21">
        <v>11.94</v>
      </c>
      <c r="Q36" s="21">
        <v>2.0099999999999998</v>
      </c>
      <c r="R36" s="21">
        <v>15.72</v>
      </c>
      <c r="S36" s="21">
        <v>3.93</v>
      </c>
      <c r="T36" s="21">
        <v>0.64</v>
      </c>
      <c r="U36" s="21"/>
      <c r="V36" s="21"/>
    </row>
    <row r="37" spans="1:22" ht="15" customHeight="1" x14ac:dyDescent="0.2">
      <c r="A37" s="26" t="s">
        <v>270</v>
      </c>
      <c r="B37" s="27" t="s">
        <v>148</v>
      </c>
      <c r="C37" s="28" t="s">
        <v>271</v>
      </c>
      <c r="D37" s="29">
        <v>75</v>
      </c>
      <c r="E37" s="30"/>
      <c r="F37" s="29">
        <v>7093</v>
      </c>
      <c r="G37" s="30">
        <v>94.573333333333295</v>
      </c>
      <c r="H37" s="31">
        <v>2591.2066666666701</v>
      </c>
      <c r="I37" s="31">
        <v>3336.5801333333302</v>
      </c>
      <c r="J37" s="31">
        <v>12294.72</v>
      </c>
      <c r="K37" s="29"/>
      <c r="L37" s="30">
        <v>0.44</v>
      </c>
      <c r="M37" s="30"/>
      <c r="N37" s="30">
        <v>4.8099999999999996</v>
      </c>
      <c r="O37" s="30">
        <v>66.53</v>
      </c>
      <c r="P37" s="30">
        <v>8.68</v>
      </c>
      <c r="Q37" s="30">
        <v>0.55000000000000004</v>
      </c>
      <c r="R37" s="30">
        <v>7.81</v>
      </c>
      <c r="S37" s="30">
        <v>3.79</v>
      </c>
      <c r="T37" s="30"/>
      <c r="U37" s="30"/>
      <c r="V37" s="30"/>
    </row>
    <row r="38" spans="1:22" ht="15" customHeight="1" x14ac:dyDescent="0.2">
      <c r="A38" s="17" t="s">
        <v>272</v>
      </c>
      <c r="B38" s="18" t="s">
        <v>148</v>
      </c>
      <c r="C38" s="19" t="s">
        <v>273</v>
      </c>
      <c r="D38" s="20">
        <v>89</v>
      </c>
      <c r="E38" s="21"/>
      <c r="F38" s="20">
        <v>10969</v>
      </c>
      <c r="G38" s="21">
        <v>123.247191011236</v>
      </c>
      <c r="H38" s="22">
        <v>3651.9775280898898</v>
      </c>
      <c r="I38" s="22">
        <v>3595.7260674157301</v>
      </c>
      <c r="J38" s="22">
        <v>17791.5168539326</v>
      </c>
      <c r="K38" s="20"/>
      <c r="L38" s="21">
        <v>0.78</v>
      </c>
      <c r="M38" s="21"/>
      <c r="N38" s="21">
        <v>19.66</v>
      </c>
      <c r="O38" s="21">
        <v>59.02</v>
      </c>
      <c r="P38" s="21">
        <v>10.37</v>
      </c>
      <c r="Q38" s="21">
        <v>3.09</v>
      </c>
      <c r="R38" s="21">
        <v>18.48</v>
      </c>
      <c r="S38" s="21">
        <v>3.24</v>
      </c>
      <c r="T38" s="21">
        <v>5.49</v>
      </c>
      <c r="U38" s="21"/>
      <c r="V38" s="21"/>
    </row>
    <row r="39" spans="1:22" ht="15" customHeight="1" x14ac:dyDescent="0.2">
      <c r="A39" s="26" t="s">
        <v>275</v>
      </c>
      <c r="B39" s="27" t="s">
        <v>148</v>
      </c>
      <c r="C39" s="28" t="s">
        <v>276</v>
      </c>
      <c r="D39" s="29">
        <v>78</v>
      </c>
      <c r="E39" s="30"/>
      <c r="F39" s="29">
        <v>7722.75</v>
      </c>
      <c r="G39" s="30">
        <v>99.009615384615401</v>
      </c>
      <c r="H39" s="31">
        <v>2808.0044871794898</v>
      </c>
      <c r="I39" s="31">
        <v>2774.0753846153798</v>
      </c>
      <c r="J39" s="31">
        <v>10964.9230769231</v>
      </c>
      <c r="K39" s="29"/>
      <c r="L39" s="30">
        <v>0.39</v>
      </c>
      <c r="M39" s="30"/>
      <c r="N39" s="30">
        <v>2.5099999999999998</v>
      </c>
      <c r="O39" s="30">
        <v>67.88</v>
      </c>
      <c r="P39" s="30">
        <v>9.51</v>
      </c>
      <c r="Q39" s="30">
        <v>1.74</v>
      </c>
      <c r="R39" s="30">
        <v>12.71</v>
      </c>
      <c r="S39" s="30">
        <v>3.19</v>
      </c>
      <c r="T39" s="30"/>
      <c r="U39" s="30"/>
      <c r="V39" s="30"/>
    </row>
    <row r="40" spans="1:22" ht="15" customHeight="1" x14ac:dyDescent="0.2">
      <c r="A40" s="17" t="s">
        <v>277</v>
      </c>
      <c r="B40" s="18" t="s">
        <v>148</v>
      </c>
      <c r="C40" s="19" t="s">
        <v>278</v>
      </c>
      <c r="D40" s="20">
        <v>158</v>
      </c>
      <c r="E40" s="21"/>
      <c r="F40" s="20">
        <v>14541</v>
      </c>
      <c r="G40" s="21">
        <v>92.031645569620295</v>
      </c>
      <c r="H40" s="22">
        <v>2562.09955696203</v>
      </c>
      <c r="I40" s="22">
        <v>3149.3061392405102</v>
      </c>
      <c r="J40" s="22">
        <v>13355.7278481013</v>
      </c>
      <c r="K40" s="20"/>
      <c r="L40" s="21">
        <v>1.1599999999999999</v>
      </c>
      <c r="M40" s="21"/>
      <c r="N40" s="21">
        <v>13.86</v>
      </c>
      <c r="O40" s="21">
        <v>54.18</v>
      </c>
      <c r="P40" s="21">
        <v>16</v>
      </c>
      <c r="Q40" s="21"/>
      <c r="R40" s="21">
        <v>4.42</v>
      </c>
      <c r="S40" s="21">
        <v>0.79</v>
      </c>
      <c r="T40" s="21"/>
      <c r="U40" s="21"/>
      <c r="V40" s="21"/>
    </row>
    <row r="41" spans="1:22" ht="15" customHeight="1" x14ac:dyDescent="0.2">
      <c r="A41" s="26" t="s">
        <v>280</v>
      </c>
      <c r="B41" s="27" t="s">
        <v>148</v>
      </c>
      <c r="C41" s="28" t="s">
        <v>281</v>
      </c>
      <c r="D41" s="29">
        <v>110</v>
      </c>
      <c r="E41" s="30"/>
      <c r="F41" s="29">
        <v>12479.5</v>
      </c>
      <c r="G41" s="30">
        <v>113.45</v>
      </c>
      <c r="H41" s="31">
        <v>3178.34254545455</v>
      </c>
      <c r="I41" s="31">
        <v>3443.4914545454499</v>
      </c>
      <c r="J41" s="31">
        <v>15653.336363636399</v>
      </c>
      <c r="K41" s="29"/>
      <c r="L41" s="30">
        <v>0.63</v>
      </c>
      <c r="M41" s="30"/>
      <c r="N41" s="30">
        <v>9.17</v>
      </c>
      <c r="O41" s="30">
        <v>67.400000000000006</v>
      </c>
      <c r="P41" s="30">
        <v>9.57</v>
      </c>
      <c r="Q41" s="30">
        <v>1.24</v>
      </c>
      <c r="R41" s="30">
        <v>21.21</v>
      </c>
      <c r="S41" s="30">
        <v>2.48</v>
      </c>
      <c r="T41" s="30">
        <v>0.19</v>
      </c>
      <c r="U41" s="30"/>
      <c r="V41" s="30"/>
    </row>
    <row r="42" spans="1:22" ht="15" customHeight="1" x14ac:dyDescent="0.2">
      <c r="A42" s="17" t="s">
        <v>282</v>
      </c>
      <c r="B42" s="18" t="s">
        <v>148</v>
      </c>
      <c r="C42" s="19" t="s">
        <v>283</v>
      </c>
      <c r="D42" s="20">
        <v>70</v>
      </c>
      <c r="E42" s="21"/>
      <c r="F42" s="20">
        <v>5837</v>
      </c>
      <c r="G42" s="21">
        <v>83.3857142857143</v>
      </c>
      <c r="H42" s="22">
        <v>2152.7249999999999</v>
      </c>
      <c r="I42" s="22">
        <v>1902.7860000000001</v>
      </c>
      <c r="J42" s="22">
        <v>7902.7</v>
      </c>
      <c r="K42" s="20"/>
      <c r="L42" s="21">
        <v>0.71</v>
      </c>
      <c r="M42" s="21"/>
      <c r="N42" s="21"/>
      <c r="O42" s="21">
        <v>68.03</v>
      </c>
      <c r="P42" s="21">
        <v>13.19</v>
      </c>
      <c r="Q42" s="21"/>
      <c r="R42" s="21"/>
      <c r="S42" s="21"/>
      <c r="T42" s="21"/>
      <c r="U42" s="21"/>
      <c r="V42" s="21"/>
    </row>
    <row r="43" spans="1:22" ht="15" customHeight="1" x14ac:dyDescent="0.2">
      <c r="A43" s="26" t="s">
        <v>284</v>
      </c>
      <c r="B43" s="27" t="s">
        <v>148</v>
      </c>
      <c r="C43" s="28" t="s">
        <v>283</v>
      </c>
      <c r="D43" s="29">
        <v>72</v>
      </c>
      <c r="E43" s="30"/>
      <c r="F43" s="29">
        <v>4658.5</v>
      </c>
      <c r="G43" s="30">
        <v>64.7013888888889</v>
      </c>
      <c r="H43" s="31">
        <v>1630.0104166666699</v>
      </c>
      <c r="I43" s="31">
        <v>1603.28527777778</v>
      </c>
      <c r="J43" s="31">
        <v>7181.5</v>
      </c>
      <c r="K43" s="29"/>
      <c r="L43" s="30">
        <v>0.88</v>
      </c>
      <c r="M43" s="30"/>
      <c r="N43" s="30"/>
      <c r="O43" s="30">
        <v>45.55</v>
      </c>
      <c r="P43" s="30">
        <v>17.010000000000002</v>
      </c>
      <c r="Q43" s="30"/>
      <c r="R43" s="30"/>
      <c r="S43" s="30"/>
      <c r="T43" s="30"/>
      <c r="U43" s="30"/>
      <c r="V43" s="30"/>
    </row>
    <row r="44" spans="1:22" ht="15" customHeight="1" x14ac:dyDescent="0.2">
      <c r="A44" s="17" t="s">
        <v>285</v>
      </c>
      <c r="B44" s="18" t="s">
        <v>148</v>
      </c>
      <c r="C44" s="19" t="s">
        <v>283</v>
      </c>
      <c r="D44" s="20">
        <v>296</v>
      </c>
      <c r="E44" s="21"/>
      <c r="F44" s="20">
        <v>21791.25</v>
      </c>
      <c r="G44" s="21">
        <v>73.619087837837796</v>
      </c>
      <c r="H44" s="22">
        <v>1920.4376689189201</v>
      </c>
      <c r="I44" s="22">
        <v>2089.33168918919</v>
      </c>
      <c r="J44" s="22">
        <v>10134.391891891901</v>
      </c>
      <c r="K44" s="20"/>
      <c r="L44" s="21">
        <v>0.26</v>
      </c>
      <c r="M44" s="21"/>
      <c r="N44" s="21">
        <v>3.66</v>
      </c>
      <c r="O44" s="21">
        <v>48.67</v>
      </c>
      <c r="P44" s="21">
        <v>10.23</v>
      </c>
      <c r="Q44" s="21">
        <v>1.32</v>
      </c>
      <c r="R44" s="21">
        <v>7.61</v>
      </c>
      <c r="S44" s="21">
        <v>1.25</v>
      </c>
      <c r="T44" s="21">
        <v>0.05</v>
      </c>
      <c r="U44" s="21"/>
      <c r="V44" s="21"/>
    </row>
    <row r="45" spans="1:22" ht="15" customHeight="1" x14ac:dyDescent="0.2">
      <c r="A45" s="26" t="s">
        <v>286</v>
      </c>
      <c r="B45" s="27" t="s">
        <v>148</v>
      </c>
      <c r="C45" s="28" t="s">
        <v>283</v>
      </c>
      <c r="D45" s="29">
        <v>50</v>
      </c>
      <c r="E45" s="30"/>
      <c r="F45" s="29">
        <v>5681.5</v>
      </c>
      <c r="G45" s="30">
        <v>113.63</v>
      </c>
      <c r="H45" s="31">
        <v>3270.11</v>
      </c>
      <c r="I45" s="31">
        <v>4099.1758</v>
      </c>
      <c r="J45" s="31">
        <v>18371.32</v>
      </c>
      <c r="K45" s="29"/>
      <c r="L45" s="30">
        <v>0.52</v>
      </c>
      <c r="M45" s="30"/>
      <c r="N45" s="30">
        <v>24.65</v>
      </c>
      <c r="O45" s="30">
        <v>57.25</v>
      </c>
      <c r="P45" s="30">
        <v>10.06</v>
      </c>
      <c r="Q45" s="30">
        <v>3.56</v>
      </c>
      <c r="R45" s="30">
        <v>9.4600000000000009</v>
      </c>
      <c r="S45" s="30">
        <v>5.09</v>
      </c>
      <c r="T45" s="30"/>
      <c r="U45" s="30"/>
      <c r="V45" s="30"/>
    </row>
    <row r="46" spans="1:22" ht="15" customHeight="1" x14ac:dyDescent="0.2">
      <c r="A46" s="17" t="s">
        <v>287</v>
      </c>
      <c r="B46" s="18" t="s">
        <v>148</v>
      </c>
      <c r="C46" s="19" t="s">
        <v>288</v>
      </c>
      <c r="D46" s="20">
        <v>163</v>
      </c>
      <c r="E46" s="21"/>
      <c r="F46" s="20">
        <v>18720.5</v>
      </c>
      <c r="G46" s="21">
        <v>114.84969325153401</v>
      </c>
      <c r="H46" s="22">
        <v>3288.8992024539898</v>
      </c>
      <c r="I46" s="22">
        <v>2647.4294478527599</v>
      </c>
      <c r="J46" s="22">
        <v>15879.0153374233</v>
      </c>
      <c r="K46" s="20"/>
      <c r="L46" s="21">
        <v>0.71</v>
      </c>
      <c r="M46" s="21"/>
      <c r="N46" s="21">
        <v>19.940000000000001</v>
      </c>
      <c r="O46" s="21">
        <v>61.89</v>
      </c>
      <c r="P46" s="21">
        <v>16.8</v>
      </c>
      <c r="Q46" s="21"/>
      <c r="R46" s="21">
        <v>10.56</v>
      </c>
      <c r="S46" s="21">
        <v>2.79</v>
      </c>
      <c r="T46" s="21">
        <v>0.1</v>
      </c>
      <c r="U46" s="21"/>
      <c r="V46" s="21"/>
    </row>
    <row r="47" spans="1:22" ht="15" customHeight="1" x14ac:dyDescent="0.2">
      <c r="A47" s="26" t="s">
        <v>289</v>
      </c>
      <c r="B47" s="27" t="s">
        <v>148</v>
      </c>
      <c r="C47" s="28" t="s">
        <v>290</v>
      </c>
      <c r="D47" s="29">
        <v>107</v>
      </c>
      <c r="E47" s="30"/>
      <c r="F47" s="29">
        <v>15292.5</v>
      </c>
      <c r="G47" s="30">
        <v>142.92056074766401</v>
      </c>
      <c r="H47" s="31">
        <v>4142.4509345794404</v>
      </c>
      <c r="I47" s="31">
        <v>4480.0257009345796</v>
      </c>
      <c r="J47" s="31">
        <v>20850.794392523399</v>
      </c>
      <c r="K47" s="29"/>
      <c r="L47" s="30"/>
      <c r="M47" s="30"/>
      <c r="N47" s="30">
        <v>17.2</v>
      </c>
      <c r="O47" s="30">
        <v>66.709999999999994</v>
      </c>
      <c r="P47" s="30">
        <v>10.56</v>
      </c>
      <c r="Q47" s="30">
        <v>0.96</v>
      </c>
      <c r="R47" s="30">
        <v>42.4</v>
      </c>
      <c r="S47" s="30">
        <v>2.99</v>
      </c>
      <c r="T47" s="30"/>
      <c r="U47" s="30"/>
      <c r="V47" s="30"/>
    </row>
    <row r="48" spans="1:22" ht="15" customHeight="1" x14ac:dyDescent="0.2">
      <c r="A48" s="17" t="s">
        <v>292</v>
      </c>
      <c r="B48" s="18" t="s">
        <v>148</v>
      </c>
      <c r="C48" s="19" t="s">
        <v>293</v>
      </c>
      <c r="D48" s="20">
        <v>136</v>
      </c>
      <c r="E48" s="21"/>
      <c r="F48" s="20">
        <v>19334</v>
      </c>
      <c r="G48" s="21">
        <v>142.16176470588201</v>
      </c>
      <c r="H48" s="22">
        <v>4098.6139705882397</v>
      </c>
      <c r="I48" s="22">
        <v>3519.0522058823499</v>
      </c>
      <c r="J48" s="22">
        <v>17152.058823529402</v>
      </c>
      <c r="K48" s="20"/>
      <c r="L48" s="21">
        <v>0.2</v>
      </c>
      <c r="M48" s="21"/>
      <c r="N48" s="21">
        <v>22.45</v>
      </c>
      <c r="O48" s="21">
        <v>82.89</v>
      </c>
      <c r="P48" s="21">
        <v>16.03</v>
      </c>
      <c r="Q48" s="21">
        <v>3.13</v>
      </c>
      <c r="R48" s="21">
        <v>11.5</v>
      </c>
      <c r="S48" s="21">
        <v>3.88</v>
      </c>
      <c r="T48" s="21">
        <v>0.02</v>
      </c>
      <c r="U48" s="21"/>
      <c r="V48" s="21"/>
    </row>
    <row r="49" spans="1:22" ht="15" customHeight="1" x14ac:dyDescent="0.2">
      <c r="A49" s="26" t="s">
        <v>295</v>
      </c>
      <c r="B49" s="27" t="s">
        <v>148</v>
      </c>
      <c r="C49" s="28" t="s">
        <v>296</v>
      </c>
      <c r="D49" s="29">
        <v>68</v>
      </c>
      <c r="E49" s="30"/>
      <c r="F49" s="29">
        <v>8861.5</v>
      </c>
      <c r="G49" s="30">
        <v>130.316176470588</v>
      </c>
      <c r="H49" s="31">
        <v>4160.2426470588198</v>
      </c>
      <c r="I49" s="31">
        <v>3887.0735294117599</v>
      </c>
      <c r="J49" s="31">
        <v>12398.338235294101</v>
      </c>
      <c r="K49" s="29"/>
      <c r="L49" s="30">
        <v>0.79</v>
      </c>
      <c r="M49" s="30"/>
      <c r="N49" s="30">
        <v>5.32</v>
      </c>
      <c r="O49" s="30">
        <v>71.98</v>
      </c>
      <c r="P49" s="30"/>
      <c r="Q49" s="30">
        <v>3.09</v>
      </c>
      <c r="R49" s="30">
        <v>43.38</v>
      </c>
      <c r="S49" s="30">
        <v>4.71</v>
      </c>
      <c r="T49" s="30"/>
      <c r="U49" s="30"/>
      <c r="V49" s="30"/>
    </row>
    <row r="50" spans="1:22" ht="15" customHeight="1" x14ac:dyDescent="0.2">
      <c r="A50" s="17" t="s">
        <v>298</v>
      </c>
      <c r="B50" s="18" t="s">
        <v>148</v>
      </c>
      <c r="C50" s="19" t="s">
        <v>299</v>
      </c>
      <c r="D50" s="20">
        <v>98</v>
      </c>
      <c r="E50" s="21"/>
      <c r="F50" s="20">
        <v>9850.5</v>
      </c>
      <c r="G50" s="21">
        <v>100.515306122449</v>
      </c>
      <c r="H50" s="22">
        <v>3412.4030612244901</v>
      </c>
      <c r="I50" s="22">
        <v>4147.51642857143</v>
      </c>
      <c r="J50" s="22">
        <v>13422.744897959201</v>
      </c>
      <c r="K50" s="20"/>
      <c r="L50" s="21">
        <v>0.28000000000000003</v>
      </c>
      <c r="M50" s="21"/>
      <c r="N50" s="21">
        <v>10.77</v>
      </c>
      <c r="O50" s="21">
        <v>57.46</v>
      </c>
      <c r="P50" s="21">
        <v>10.41</v>
      </c>
      <c r="Q50" s="21">
        <v>2.15</v>
      </c>
      <c r="R50" s="21">
        <v>11.53</v>
      </c>
      <c r="S50" s="21">
        <v>6.87</v>
      </c>
      <c r="T50" s="21"/>
      <c r="U50" s="21"/>
      <c r="V50" s="21"/>
    </row>
    <row r="51" spans="1:22" ht="15" customHeight="1" x14ac:dyDescent="0.2">
      <c r="A51" s="26" t="s">
        <v>300</v>
      </c>
      <c r="B51" s="27" t="s">
        <v>148</v>
      </c>
      <c r="C51" s="28" t="s">
        <v>301</v>
      </c>
      <c r="D51" s="29">
        <v>321</v>
      </c>
      <c r="E51" s="30"/>
      <c r="F51" s="29">
        <v>16334</v>
      </c>
      <c r="G51" s="30">
        <v>50.884735202492202</v>
      </c>
      <c r="H51" s="31">
        <v>4230.70221183801</v>
      </c>
      <c r="I51" s="31">
        <v>3857.6515264797499</v>
      </c>
      <c r="J51" s="31">
        <v>18800.236760124601</v>
      </c>
      <c r="K51" s="29"/>
      <c r="L51" s="30">
        <v>0.47</v>
      </c>
      <c r="M51" s="30"/>
      <c r="N51" s="30">
        <v>19.53</v>
      </c>
      <c r="O51" s="30"/>
      <c r="P51" s="30">
        <v>11.57</v>
      </c>
      <c r="Q51" s="30">
        <v>1.1399999999999999</v>
      </c>
      <c r="R51" s="30">
        <v>13.97</v>
      </c>
      <c r="S51" s="30">
        <v>2.54</v>
      </c>
      <c r="T51" s="30"/>
      <c r="U51" s="30"/>
      <c r="V51" s="30"/>
    </row>
    <row r="52" spans="1:22" ht="15" customHeight="1" x14ac:dyDescent="0.2">
      <c r="A52" s="17" t="s">
        <v>302</v>
      </c>
      <c r="B52" s="18" t="s">
        <v>148</v>
      </c>
      <c r="C52" s="19" t="s">
        <v>303</v>
      </c>
      <c r="D52" s="20">
        <v>111</v>
      </c>
      <c r="E52" s="21"/>
      <c r="F52" s="20">
        <v>7091</v>
      </c>
      <c r="G52" s="21">
        <v>63.882882882882903</v>
      </c>
      <c r="H52" s="22">
        <v>1994.5990990990999</v>
      </c>
      <c r="I52" s="22">
        <v>2097.7329729729699</v>
      </c>
      <c r="J52" s="22">
        <v>10215.9189189189</v>
      </c>
      <c r="K52" s="20"/>
      <c r="L52" s="21">
        <v>0.59</v>
      </c>
      <c r="M52" s="21"/>
      <c r="N52" s="21">
        <v>12.62</v>
      </c>
      <c r="O52" s="21">
        <v>29</v>
      </c>
      <c r="P52" s="21">
        <v>6.18</v>
      </c>
      <c r="Q52" s="21">
        <v>2.2999999999999998</v>
      </c>
      <c r="R52" s="21">
        <v>10.43</v>
      </c>
      <c r="S52" s="21">
        <v>1.25</v>
      </c>
      <c r="T52" s="21"/>
      <c r="U52" s="21"/>
      <c r="V52" s="21"/>
    </row>
    <row r="53" spans="1:22" ht="15" customHeight="1" x14ac:dyDescent="0.2">
      <c r="A53" s="26" t="s">
        <v>304</v>
      </c>
      <c r="B53" s="27" t="s">
        <v>148</v>
      </c>
      <c r="C53" s="28" t="s">
        <v>305</v>
      </c>
      <c r="D53" s="29">
        <v>77</v>
      </c>
      <c r="E53" s="30"/>
      <c r="F53" s="29">
        <v>8884.5</v>
      </c>
      <c r="G53" s="30">
        <v>115.383116883117</v>
      </c>
      <c r="H53" s="31">
        <v>3605.2922077922099</v>
      </c>
      <c r="I53" s="31">
        <v>3170.50558441559</v>
      </c>
      <c r="J53" s="31">
        <v>12487.7402597403</v>
      </c>
      <c r="K53" s="29"/>
      <c r="L53" s="30">
        <v>0.4</v>
      </c>
      <c r="M53" s="30"/>
      <c r="N53" s="30">
        <v>2.69</v>
      </c>
      <c r="O53" s="30">
        <v>84.2</v>
      </c>
      <c r="P53" s="30">
        <v>9.19</v>
      </c>
      <c r="Q53" s="30">
        <v>2.61</v>
      </c>
      <c r="R53" s="30">
        <v>10.61</v>
      </c>
      <c r="S53" s="30">
        <v>4.32</v>
      </c>
      <c r="T53" s="30"/>
      <c r="U53" s="30"/>
      <c r="V53" s="30"/>
    </row>
    <row r="54" spans="1:22" ht="15" customHeight="1" x14ac:dyDescent="0.2">
      <c r="A54" s="17" t="s">
        <v>306</v>
      </c>
      <c r="B54" s="18" t="s">
        <v>148</v>
      </c>
      <c r="C54" s="19" t="s">
        <v>307</v>
      </c>
      <c r="D54" s="20">
        <v>365</v>
      </c>
      <c r="E54" s="21"/>
      <c r="F54" s="20">
        <v>37109.75</v>
      </c>
      <c r="G54" s="21">
        <v>101.670547945206</v>
      </c>
      <c r="H54" s="22">
        <v>3409.0321917808201</v>
      </c>
      <c r="I54" s="22">
        <v>2835.4261095890402</v>
      </c>
      <c r="J54" s="22">
        <v>12308.090410958899</v>
      </c>
      <c r="K54" s="20"/>
      <c r="L54" s="21">
        <v>0.53</v>
      </c>
      <c r="M54" s="21"/>
      <c r="N54" s="21">
        <v>13.93</v>
      </c>
      <c r="O54" s="21">
        <v>59.31</v>
      </c>
      <c r="P54" s="21">
        <v>13.98</v>
      </c>
      <c r="Q54" s="21">
        <v>0.5</v>
      </c>
      <c r="R54" s="21">
        <v>12.43</v>
      </c>
      <c r="S54" s="21"/>
      <c r="T54" s="21">
        <v>0.03</v>
      </c>
      <c r="U54" s="21"/>
      <c r="V54" s="21"/>
    </row>
    <row r="55" spans="1:22" ht="15" customHeight="1" x14ac:dyDescent="0.2">
      <c r="A55" s="26" t="s">
        <v>309</v>
      </c>
      <c r="B55" s="27" t="s">
        <v>148</v>
      </c>
      <c r="C55" s="28" t="s">
        <v>310</v>
      </c>
      <c r="D55" s="29">
        <v>270</v>
      </c>
      <c r="E55" s="30"/>
      <c r="F55" s="29">
        <v>27144</v>
      </c>
      <c r="G55" s="30">
        <v>100.533333333333</v>
      </c>
      <c r="H55" s="31">
        <v>3415.45033333333</v>
      </c>
      <c r="I55" s="31">
        <v>3737.1987777777799</v>
      </c>
      <c r="J55" s="31">
        <v>22802.137037036999</v>
      </c>
      <c r="K55" s="29"/>
      <c r="L55" s="30">
        <v>7.0000000000000007E-2</v>
      </c>
      <c r="M55" s="30"/>
      <c r="N55" s="30">
        <v>17.739999999999998</v>
      </c>
      <c r="O55" s="30">
        <v>48.89</v>
      </c>
      <c r="P55" s="30">
        <v>12.47</v>
      </c>
      <c r="Q55" s="30">
        <v>1.61</v>
      </c>
      <c r="R55" s="30">
        <v>14.24</v>
      </c>
      <c r="S55" s="30">
        <v>3.58</v>
      </c>
      <c r="T55" s="30"/>
      <c r="U55" s="30"/>
      <c r="V55" s="30"/>
    </row>
    <row r="56" spans="1:22" ht="15" customHeight="1" x14ac:dyDescent="0.2">
      <c r="A56" s="35" t="s">
        <v>312</v>
      </c>
      <c r="B56" s="36" t="s">
        <v>313</v>
      </c>
      <c r="C56" s="37" t="s">
        <v>314</v>
      </c>
      <c r="D56" s="38">
        <v>170</v>
      </c>
      <c r="E56" s="39"/>
      <c r="F56" s="38">
        <v>38113.75</v>
      </c>
      <c r="G56" s="39">
        <v>224.19852941176501</v>
      </c>
      <c r="H56" s="40">
        <v>9014.8468235294094</v>
      </c>
      <c r="I56" s="40">
        <v>8934.7982352941199</v>
      </c>
      <c r="J56" s="40">
        <v>40693.916117647103</v>
      </c>
      <c r="K56" s="38"/>
      <c r="L56" s="39">
        <v>0.88</v>
      </c>
      <c r="M56" s="39"/>
      <c r="N56" s="39">
        <v>29.2</v>
      </c>
      <c r="O56" s="39">
        <v>133.80000000000001</v>
      </c>
      <c r="P56" s="39">
        <v>35.17</v>
      </c>
      <c r="Q56" s="39">
        <v>2.89</v>
      </c>
      <c r="R56" s="39">
        <v>19.39</v>
      </c>
      <c r="S56" s="39"/>
      <c r="T56" s="39"/>
      <c r="U56" s="39"/>
      <c r="V56" s="39"/>
    </row>
    <row r="57" spans="1:22" ht="15" customHeight="1" x14ac:dyDescent="0.2">
      <c r="A57" s="35" t="s">
        <v>316</v>
      </c>
      <c r="B57" s="36" t="s">
        <v>313</v>
      </c>
      <c r="C57" s="37" t="s">
        <v>317</v>
      </c>
      <c r="D57" s="38">
        <v>234</v>
      </c>
      <c r="E57" s="39"/>
      <c r="F57" s="38">
        <v>41202.25</v>
      </c>
      <c r="G57" s="39">
        <v>176.07799145299199</v>
      </c>
      <c r="H57" s="40">
        <v>7739.8408119658097</v>
      </c>
      <c r="I57" s="40">
        <v>7925.1428632478601</v>
      </c>
      <c r="J57" s="40">
        <v>28240.604017094</v>
      </c>
      <c r="K57" s="38"/>
      <c r="L57" s="39">
        <v>0.73</v>
      </c>
      <c r="M57" s="39"/>
      <c r="N57" s="39">
        <v>28.13</v>
      </c>
      <c r="O57" s="39">
        <v>106.71</v>
      </c>
      <c r="P57" s="39">
        <v>12.79</v>
      </c>
      <c r="Q57" s="39">
        <v>1.84</v>
      </c>
      <c r="R57" s="39">
        <v>17.52</v>
      </c>
      <c r="S57" s="39">
        <v>4.62</v>
      </c>
      <c r="T57" s="39"/>
      <c r="U57" s="39"/>
      <c r="V57" s="39"/>
    </row>
    <row r="58" spans="1:22" ht="15" customHeight="1" x14ac:dyDescent="0.2">
      <c r="A58" s="35" t="s">
        <v>319</v>
      </c>
      <c r="B58" s="36" t="s">
        <v>313</v>
      </c>
      <c r="C58" s="37" t="s">
        <v>320</v>
      </c>
      <c r="D58" s="38">
        <v>24</v>
      </c>
      <c r="E58" s="39"/>
      <c r="F58" s="38">
        <v>4603.25</v>
      </c>
      <c r="G58" s="39">
        <v>191.802083333333</v>
      </c>
      <c r="H58" s="40">
        <v>8420.0416666666697</v>
      </c>
      <c r="I58" s="40">
        <v>18024.140833333298</v>
      </c>
      <c r="J58" s="40">
        <v>49738.916666666701</v>
      </c>
      <c r="K58" s="38"/>
      <c r="L58" s="39">
        <v>2.65</v>
      </c>
      <c r="M58" s="39"/>
      <c r="N58" s="39">
        <v>12.1</v>
      </c>
      <c r="O58" s="39">
        <v>133.99</v>
      </c>
      <c r="P58" s="39">
        <v>9.26</v>
      </c>
      <c r="Q58" s="39">
        <v>3.43</v>
      </c>
      <c r="R58" s="39">
        <v>18.28</v>
      </c>
      <c r="S58" s="39">
        <v>5.7</v>
      </c>
      <c r="T58" s="39"/>
      <c r="U58" s="39"/>
      <c r="V58" s="39"/>
    </row>
    <row r="59" spans="1:22" ht="15" customHeight="1" x14ac:dyDescent="0.2">
      <c r="A59" s="35" t="s">
        <v>322</v>
      </c>
      <c r="B59" s="36" t="s">
        <v>313</v>
      </c>
      <c r="C59" s="37" t="s">
        <v>323</v>
      </c>
      <c r="D59" s="38">
        <v>219</v>
      </c>
      <c r="E59" s="39"/>
      <c r="F59" s="38">
        <v>49.5</v>
      </c>
      <c r="G59" s="39">
        <v>0.22602739726027399</v>
      </c>
      <c r="H59" s="40">
        <v>15.625570776255699</v>
      </c>
      <c r="I59" s="40"/>
      <c r="J59" s="40">
        <v>881.69589041095901</v>
      </c>
      <c r="K59" s="38"/>
      <c r="L59" s="39"/>
      <c r="M59" s="39"/>
      <c r="N59" s="39">
        <v>0.01</v>
      </c>
      <c r="O59" s="39"/>
      <c r="P59" s="39"/>
      <c r="Q59" s="39"/>
      <c r="R59" s="39"/>
      <c r="S59" s="39">
        <v>0.01</v>
      </c>
      <c r="T59" s="39"/>
      <c r="U59" s="39"/>
      <c r="V59" s="39"/>
    </row>
    <row r="60" spans="1:22" ht="15" customHeight="1" x14ac:dyDescent="0.2">
      <c r="A60" s="35" t="s">
        <v>325</v>
      </c>
      <c r="B60" s="36" t="s">
        <v>313</v>
      </c>
      <c r="C60" s="37" t="s">
        <v>326</v>
      </c>
      <c r="D60" s="38">
        <v>146</v>
      </c>
      <c r="E60" s="39"/>
      <c r="F60" s="38">
        <v>152</v>
      </c>
      <c r="G60" s="39">
        <v>1.04109589041096</v>
      </c>
      <c r="H60" s="40">
        <v>68.371575342465803</v>
      </c>
      <c r="I60" s="40"/>
      <c r="J60" s="40">
        <v>337.5</v>
      </c>
      <c r="K60" s="38"/>
      <c r="L60" s="39">
        <v>0.01</v>
      </c>
      <c r="M60" s="39"/>
      <c r="N60" s="39"/>
      <c r="O60" s="39"/>
      <c r="P60" s="39"/>
      <c r="Q60" s="39"/>
      <c r="R60" s="39"/>
      <c r="S60" s="39"/>
      <c r="T60" s="39"/>
      <c r="U60" s="39"/>
      <c r="V60" s="39"/>
    </row>
    <row r="61" spans="1:22" ht="15" customHeight="1" x14ac:dyDescent="0.2">
      <c r="A61" s="35" t="s">
        <v>327</v>
      </c>
      <c r="B61" s="36" t="s">
        <v>313</v>
      </c>
      <c r="C61" s="37" t="s">
        <v>328</v>
      </c>
      <c r="D61" s="38">
        <v>244</v>
      </c>
      <c r="E61" s="39"/>
      <c r="F61" s="38">
        <v>24977.25</v>
      </c>
      <c r="G61" s="39">
        <v>102.365778688525</v>
      </c>
      <c r="H61" s="40">
        <v>4509.0922540983602</v>
      </c>
      <c r="I61" s="40">
        <v>4509.7429098360699</v>
      </c>
      <c r="J61" s="40">
        <v>18123.815573770498</v>
      </c>
      <c r="K61" s="38"/>
      <c r="L61" s="39">
        <v>0.56000000000000005</v>
      </c>
      <c r="M61" s="39"/>
      <c r="N61" s="39">
        <v>23.25</v>
      </c>
      <c r="O61" s="39">
        <v>61.47</v>
      </c>
      <c r="P61" s="39">
        <v>0</v>
      </c>
      <c r="Q61" s="39">
        <v>0.87</v>
      </c>
      <c r="R61" s="39">
        <v>10.46</v>
      </c>
      <c r="S61" s="39">
        <v>2.63</v>
      </c>
      <c r="T61" s="39"/>
      <c r="U61" s="39"/>
      <c r="V61" s="39"/>
    </row>
    <row r="62" spans="1:22" ht="15" customHeight="1" x14ac:dyDescent="0.2">
      <c r="A62" s="35" t="s">
        <v>329</v>
      </c>
      <c r="B62" s="36" t="s">
        <v>313</v>
      </c>
      <c r="C62" s="37" t="s">
        <v>331</v>
      </c>
      <c r="D62" s="38">
        <v>186</v>
      </c>
      <c r="E62" s="39">
        <v>10.8</v>
      </c>
      <c r="F62" s="38">
        <v>8736.5</v>
      </c>
      <c r="G62" s="39">
        <v>46.970430107526902</v>
      </c>
      <c r="H62" s="40">
        <v>2035.5450537634399</v>
      </c>
      <c r="I62" s="40">
        <v>1853.59268817204</v>
      </c>
      <c r="J62" s="40">
        <v>12261.118279569901</v>
      </c>
      <c r="K62" s="38">
        <v>808.93518518518499</v>
      </c>
      <c r="L62" s="39">
        <v>0.19</v>
      </c>
      <c r="M62" s="39"/>
      <c r="N62" s="39">
        <v>12.05</v>
      </c>
      <c r="O62" s="39">
        <v>30.21</v>
      </c>
      <c r="P62" s="39"/>
      <c r="Q62" s="39"/>
      <c r="R62" s="39">
        <v>2.2200000000000002</v>
      </c>
      <c r="S62" s="39"/>
      <c r="T62" s="39"/>
      <c r="U62" s="39"/>
      <c r="V62" s="39"/>
    </row>
    <row r="63" spans="1:22" ht="15" customHeight="1" x14ac:dyDescent="0.2">
      <c r="A63" s="35" t="s">
        <v>334</v>
      </c>
      <c r="B63" s="36" t="s">
        <v>313</v>
      </c>
      <c r="C63" s="37" t="s">
        <v>335</v>
      </c>
      <c r="D63" s="38">
        <v>20</v>
      </c>
      <c r="E63" s="39">
        <v>11</v>
      </c>
      <c r="F63" s="38">
        <v>2352</v>
      </c>
      <c r="G63" s="39">
        <v>117.6</v>
      </c>
      <c r="H63" s="40">
        <v>5176.0249999999996</v>
      </c>
      <c r="I63" s="40">
        <v>4567.0349999999999</v>
      </c>
      <c r="J63" s="40">
        <v>25903.15</v>
      </c>
      <c r="K63" s="38">
        <v>213.81818181818201</v>
      </c>
      <c r="L63" s="39">
        <v>2.65</v>
      </c>
      <c r="M63" s="39"/>
      <c r="N63" s="39">
        <v>9.32</v>
      </c>
      <c r="O63" s="39">
        <v>84.45</v>
      </c>
      <c r="P63" s="39">
        <v>2.4900000000000002</v>
      </c>
      <c r="Q63" s="39"/>
      <c r="R63" s="39">
        <v>9.5</v>
      </c>
      <c r="S63" s="39">
        <v>0.64</v>
      </c>
      <c r="T63" s="39"/>
      <c r="U63" s="39"/>
      <c r="V63" s="39"/>
    </row>
    <row r="64" spans="1:22" ht="15" customHeight="1" x14ac:dyDescent="0.2">
      <c r="A64" s="35" t="s">
        <v>338</v>
      </c>
      <c r="B64" s="36" t="s">
        <v>313</v>
      </c>
      <c r="C64" s="37" t="s">
        <v>339</v>
      </c>
      <c r="D64" s="38">
        <v>239</v>
      </c>
      <c r="E64" s="39"/>
      <c r="F64" s="38">
        <v>114.25</v>
      </c>
      <c r="G64" s="39">
        <v>0.47803347280334701</v>
      </c>
      <c r="H64" s="40">
        <v>30.846234309623402</v>
      </c>
      <c r="I64" s="40"/>
      <c r="J64" s="40">
        <v>334.72803347280302</v>
      </c>
      <c r="K64" s="38"/>
      <c r="L64" s="39"/>
      <c r="M64" s="39"/>
      <c r="N64" s="39"/>
      <c r="O64" s="39"/>
      <c r="P64" s="39"/>
      <c r="Q64" s="39"/>
      <c r="R64" s="39"/>
      <c r="S64" s="39"/>
      <c r="T64" s="39"/>
      <c r="U64" s="39"/>
      <c r="V64" s="39"/>
    </row>
    <row r="65" spans="1:22" ht="15" customHeight="1" x14ac:dyDescent="0.2">
      <c r="A65" s="35" t="s">
        <v>341</v>
      </c>
      <c r="B65" s="36" t="s">
        <v>313</v>
      </c>
      <c r="C65" s="37" t="s">
        <v>342</v>
      </c>
      <c r="D65" s="38">
        <v>201</v>
      </c>
      <c r="E65" s="39"/>
      <c r="F65" s="38">
        <v>26.25</v>
      </c>
      <c r="G65" s="39">
        <v>0.13059701492537301</v>
      </c>
      <c r="H65" s="40">
        <v>8.2276119402985106</v>
      </c>
      <c r="I65" s="40"/>
      <c r="J65" s="40"/>
      <c r="K65" s="38"/>
      <c r="L65" s="39"/>
      <c r="M65" s="39"/>
      <c r="N65" s="39"/>
      <c r="O65" s="39"/>
      <c r="P65" s="39"/>
      <c r="Q65" s="39"/>
      <c r="R65" s="39"/>
      <c r="S65" s="39"/>
      <c r="T65" s="39"/>
      <c r="U65" s="39"/>
      <c r="V65" s="39"/>
    </row>
    <row r="66" spans="1:22" ht="15" customHeight="1" x14ac:dyDescent="0.2">
      <c r="A66" s="35" t="s">
        <v>343</v>
      </c>
      <c r="B66" s="36" t="s">
        <v>313</v>
      </c>
      <c r="C66" s="37" t="s">
        <v>344</v>
      </c>
      <c r="D66" s="38">
        <v>166</v>
      </c>
      <c r="E66" s="39"/>
      <c r="F66" s="38">
        <v>101</v>
      </c>
      <c r="G66" s="39">
        <v>0.60843373493975905</v>
      </c>
      <c r="H66" s="40">
        <v>39.090361445783103</v>
      </c>
      <c r="I66" s="40"/>
      <c r="J66" s="40"/>
      <c r="K66" s="38"/>
      <c r="L66" s="39">
        <v>0.01</v>
      </c>
      <c r="M66" s="39"/>
      <c r="N66" s="39"/>
      <c r="O66" s="39"/>
      <c r="P66" s="39"/>
      <c r="Q66" s="39"/>
      <c r="R66" s="39"/>
      <c r="S66" s="39"/>
      <c r="T66" s="39"/>
      <c r="U66" s="39"/>
      <c r="V66" s="39"/>
    </row>
    <row r="67" spans="1:22" ht="15" customHeight="1" x14ac:dyDescent="0.2">
      <c r="A67" s="35" t="s">
        <v>346</v>
      </c>
      <c r="B67" s="36" t="s">
        <v>313</v>
      </c>
      <c r="C67" s="37" t="s">
        <v>347</v>
      </c>
      <c r="D67" s="38">
        <v>104</v>
      </c>
      <c r="E67" s="39"/>
      <c r="F67" s="38">
        <v>3</v>
      </c>
      <c r="G67" s="39">
        <v>2.88461538461539E-2</v>
      </c>
      <c r="H67" s="40">
        <v>1.8942307692307701</v>
      </c>
      <c r="I67" s="40"/>
      <c r="J67" s="40"/>
      <c r="K67" s="38"/>
      <c r="L67" s="39"/>
      <c r="M67" s="39"/>
      <c r="N67" s="39"/>
      <c r="O67" s="39"/>
      <c r="P67" s="39"/>
      <c r="Q67" s="39"/>
      <c r="R67" s="39"/>
      <c r="S67" s="39"/>
      <c r="T67" s="39"/>
      <c r="U67" s="39"/>
      <c r="V67" s="39"/>
    </row>
    <row r="68" spans="1:22" ht="15" customHeight="1" x14ac:dyDescent="0.2">
      <c r="A68" s="35" t="s">
        <v>349</v>
      </c>
      <c r="B68" s="36" t="s">
        <v>313</v>
      </c>
      <c r="C68" s="37" t="s">
        <v>350</v>
      </c>
      <c r="D68" s="38">
        <v>406</v>
      </c>
      <c r="E68" s="39"/>
      <c r="F68" s="38">
        <v>0</v>
      </c>
      <c r="G68" s="39"/>
      <c r="H68" s="40"/>
      <c r="I68" s="40"/>
      <c r="J68" s="40"/>
      <c r="K68" s="38"/>
      <c r="L68" s="39"/>
      <c r="M68" s="39"/>
      <c r="N68" s="39"/>
      <c r="O68" s="39"/>
      <c r="P68" s="39"/>
      <c r="Q68" s="39"/>
      <c r="R68" s="39"/>
      <c r="S68" s="39"/>
      <c r="T68" s="39"/>
      <c r="U68" s="39"/>
      <c r="V68" s="39"/>
    </row>
    <row r="69" spans="1:22" ht="15" customHeight="1" x14ac:dyDescent="0.2">
      <c r="A69" s="35" t="s">
        <v>352</v>
      </c>
      <c r="B69" s="36" t="s">
        <v>313</v>
      </c>
      <c r="C69" s="37" t="s">
        <v>353</v>
      </c>
      <c r="D69" s="38"/>
      <c r="E69" s="39"/>
      <c r="F69" s="38">
        <v>0</v>
      </c>
      <c r="G69" s="39"/>
      <c r="H69" s="40"/>
      <c r="I69" s="40"/>
      <c r="J69" s="40"/>
      <c r="K69" s="38"/>
      <c r="L69" s="39"/>
      <c r="M69" s="39"/>
      <c r="N69" s="39"/>
      <c r="O69" s="39"/>
      <c r="P69" s="39"/>
      <c r="Q69" s="39"/>
      <c r="R69" s="39"/>
      <c r="S69" s="39"/>
      <c r="T69" s="39"/>
      <c r="U69" s="39"/>
      <c r="V69" s="39"/>
    </row>
    <row r="71" spans="1:22" ht="15" customHeight="1" x14ac:dyDescent="0.2">
      <c r="A71" s="5" t="s">
        <v>375</v>
      </c>
      <c r="B71" s="5"/>
      <c r="C71" s="5"/>
      <c r="D71" s="45">
        <f t="shared" ref="D71:V71" si="0">IFERROR(MEDIAN(D5:D69),"")</f>
        <v>136</v>
      </c>
      <c r="E71" s="46">
        <f t="shared" si="0"/>
        <v>17</v>
      </c>
      <c r="F71" s="45">
        <f t="shared" si="0"/>
        <v>12479.5</v>
      </c>
      <c r="G71" s="46">
        <f t="shared" si="0"/>
        <v>116.945299145299</v>
      </c>
      <c r="H71" s="47">
        <f t="shared" si="0"/>
        <v>2978.8285779861999</v>
      </c>
      <c r="I71" s="47">
        <f t="shared" si="0"/>
        <v>3202.3111470588251</v>
      </c>
      <c r="J71" s="47">
        <f t="shared" si="0"/>
        <v>13260.138755980901</v>
      </c>
      <c r="K71" s="45">
        <f t="shared" si="0"/>
        <v>808.93518518518499</v>
      </c>
      <c r="L71" s="46">
        <f t="shared" si="0"/>
        <v>0.71</v>
      </c>
      <c r="M71" s="46" t="str">
        <f t="shared" si="0"/>
        <v/>
      </c>
      <c r="N71" s="46">
        <f t="shared" si="0"/>
        <v>13.93</v>
      </c>
      <c r="O71" s="46">
        <f t="shared" si="0"/>
        <v>66.709999999999994</v>
      </c>
      <c r="P71" s="46">
        <f t="shared" si="0"/>
        <v>11.52</v>
      </c>
      <c r="Q71" s="46">
        <f t="shared" si="0"/>
        <v>1.9100000000000001</v>
      </c>
      <c r="R71" s="46">
        <f t="shared" si="0"/>
        <v>11.54</v>
      </c>
      <c r="S71" s="46">
        <f t="shared" si="0"/>
        <v>3.19</v>
      </c>
      <c r="T71" s="46">
        <f t="shared" si="0"/>
        <v>0.155</v>
      </c>
      <c r="U71" s="46" t="str">
        <f t="shared" si="0"/>
        <v/>
      </c>
      <c r="V71" s="46" t="str">
        <f t="shared" si="0"/>
        <v/>
      </c>
    </row>
  </sheetData>
  <mergeCells count="1">
    <mergeCell ref="A71:C71"/>
  </mergeCells>
  <conditionalFormatting sqref="G5:G69">
    <cfRule type="colorScale" priority="2">
      <colorScale>
        <cfvo type="min"/>
        <cfvo type="percentile" val="50"/>
        <cfvo type="max"/>
        <color rgb="FF2E7D5B"/>
        <color rgb="FFFFFFFF"/>
        <color rgb="FFC0392B"/>
      </colorScale>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71"/>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640625" defaultRowHeight="15" x14ac:dyDescent="0.2"/>
  <cols>
    <col min="1" max="1" width="8" customWidth="1"/>
    <col min="2" max="2" width="10" customWidth="1"/>
    <col min="3" max="3" width="32" customWidth="1"/>
    <col min="4" max="4" width="8" customWidth="1"/>
    <col min="5" max="5" width="11" customWidth="1"/>
    <col min="6" max="16" width="12" customWidth="1"/>
    <col min="17" max="28" width="13" customWidth="1"/>
  </cols>
  <sheetData>
    <row r="1" spans="1:28" ht="21.75" customHeight="1" x14ac:dyDescent="0.25">
      <c r="A1" s="13" t="s">
        <v>376</v>
      </c>
    </row>
    <row r="2" spans="1:28" ht="15" customHeight="1" x14ac:dyDescent="0.2">
      <c r="A2" s="8" t="s">
        <v>377</v>
      </c>
    </row>
    <row r="4" spans="1:28" ht="27.75" customHeight="1" x14ac:dyDescent="0.2">
      <c r="A4" s="16" t="s">
        <v>102</v>
      </c>
      <c r="B4" s="16" t="s">
        <v>103</v>
      </c>
      <c r="C4" s="16" t="s">
        <v>358</v>
      </c>
      <c r="D4" s="16" t="s">
        <v>107</v>
      </c>
      <c r="E4" s="16" t="s">
        <v>359</v>
      </c>
      <c r="F4" s="16" t="s">
        <v>378</v>
      </c>
      <c r="G4" s="16" t="s">
        <v>379</v>
      </c>
      <c r="H4" s="16" t="s">
        <v>380</v>
      </c>
      <c r="I4" s="16" t="s">
        <v>381</v>
      </c>
      <c r="J4" s="16" t="s">
        <v>382</v>
      </c>
      <c r="K4" s="16" t="s">
        <v>383</v>
      </c>
      <c r="L4" s="16" t="s">
        <v>384</v>
      </c>
      <c r="M4" s="16" t="s">
        <v>385</v>
      </c>
      <c r="N4" s="16" t="s">
        <v>386</v>
      </c>
      <c r="O4" s="16" t="s">
        <v>387</v>
      </c>
      <c r="P4" s="16" t="s">
        <v>388</v>
      </c>
      <c r="Q4" s="16" t="s">
        <v>389</v>
      </c>
      <c r="R4" s="16" t="s">
        <v>390</v>
      </c>
      <c r="S4" s="16" t="s">
        <v>391</v>
      </c>
      <c r="T4" s="16" t="s">
        <v>392</v>
      </c>
      <c r="U4" s="16" t="s">
        <v>393</v>
      </c>
      <c r="V4" s="16" t="s">
        <v>394</v>
      </c>
      <c r="W4" s="16" t="s">
        <v>395</v>
      </c>
      <c r="X4" s="16" t="s">
        <v>396</v>
      </c>
      <c r="Y4" s="16" t="s">
        <v>397</v>
      </c>
      <c r="Z4" s="16" t="s">
        <v>398</v>
      </c>
      <c r="AA4" s="16" t="s">
        <v>399</v>
      </c>
      <c r="AB4" s="16" t="s">
        <v>400</v>
      </c>
    </row>
    <row r="5" spans="1:28" ht="15" customHeight="1" x14ac:dyDescent="0.2">
      <c r="A5" s="26" t="s">
        <v>147</v>
      </c>
      <c r="B5" s="27" t="s">
        <v>148</v>
      </c>
      <c r="C5" s="28" t="s">
        <v>150</v>
      </c>
      <c r="D5" s="29">
        <v>234</v>
      </c>
      <c r="E5" s="29">
        <v>44632</v>
      </c>
      <c r="F5" s="29">
        <v>0</v>
      </c>
      <c r="G5" s="29"/>
      <c r="H5" s="29">
        <v>0</v>
      </c>
      <c r="I5" s="29">
        <v>0</v>
      </c>
      <c r="J5" s="29">
        <v>0</v>
      </c>
      <c r="K5" s="29">
        <v>0</v>
      </c>
      <c r="L5" s="29">
        <v>0</v>
      </c>
      <c r="M5" s="29">
        <v>0</v>
      </c>
      <c r="N5" s="29"/>
      <c r="O5" s="29"/>
      <c r="P5" s="29"/>
      <c r="Q5" s="31">
        <v>425500.68</v>
      </c>
      <c r="R5" s="31">
        <v>4198.3</v>
      </c>
      <c r="S5" s="31"/>
      <c r="T5" s="31">
        <v>91969.63</v>
      </c>
      <c r="U5" s="31">
        <v>218574.15</v>
      </c>
      <c r="V5" s="31">
        <v>46041.22</v>
      </c>
      <c r="W5" s="31">
        <v>14211.67</v>
      </c>
      <c r="X5" s="31">
        <v>36651.379999999997</v>
      </c>
      <c r="Y5" s="31">
        <v>12626.53</v>
      </c>
      <c r="Z5" s="31"/>
      <c r="AA5" s="31"/>
      <c r="AB5" s="31"/>
    </row>
    <row r="6" spans="1:28" ht="15" customHeight="1" x14ac:dyDescent="0.2">
      <c r="A6" s="17" t="s">
        <v>152</v>
      </c>
      <c r="B6" s="18" t="s">
        <v>148</v>
      </c>
      <c r="C6" s="19" t="s">
        <v>153</v>
      </c>
      <c r="D6" s="20">
        <v>258</v>
      </c>
      <c r="E6" s="20">
        <v>59248.5</v>
      </c>
      <c r="F6" s="20">
        <v>0</v>
      </c>
      <c r="G6" s="20"/>
      <c r="H6" s="20">
        <v>0</v>
      </c>
      <c r="I6" s="20">
        <v>0</v>
      </c>
      <c r="J6" s="20">
        <v>0</v>
      </c>
      <c r="K6" s="20">
        <v>0</v>
      </c>
      <c r="L6" s="20">
        <v>0</v>
      </c>
      <c r="M6" s="20">
        <v>0</v>
      </c>
      <c r="N6" s="20"/>
      <c r="O6" s="20"/>
      <c r="P6" s="20"/>
      <c r="Q6" s="22">
        <v>593780.07999999996</v>
      </c>
      <c r="R6" s="22">
        <v>8811.5</v>
      </c>
      <c r="S6" s="22"/>
      <c r="T6" s="22">
        <v>90038.25</v>
      </c>
      <c r="U6" s="22">
        <v>303122.05</v>
      </c>
      <c r="V6" s="22">
        <v>76470</v>
      </c>
      <c r="W6" s="22">
        <v>21795.5</v>
      </c>
      <c r="X6" s="22">
        <v>64816.03</v>
      </c>
      <c r="Y6" s="22">
        <v>13633.25</v>
      </c>
      <c r="Z6" s="22"/>
      <c r="AA6" s="22"/>
      <c r="AB6" s="22"/>
    </row>
    <row r="7" spans="1:28" ht="15" customHeight="1" x14ac:dyDescent="0.2">
      <c r="A7" s="26" t="s">
        <v>154</v>
      </c>
      <c r="B7" s="27" t="s">
        <v>148</v>
      </c>
      <c r="C7" s="28" t="s">
        <v>155</v>
      </c>
      <c r="D7" s="29">
        <v>56</v>
      </c>
      <c r="E7" s="29">
        <v>8318</v>
      </c>
      <c r="F7" s="29">
        <v>0</v>
      </c>
      <c r="G7" s="29"/>
      <c r="H7" s="29">
        <v>0</v>
      </c>
      <c r="I7" s="29">
        <v>0</v>
      </c>
      <c r="J7" s="29">
        <v>0</v>
      </c>
      <c r="K7" s="29"/>
      <c r="L7" s="29">
        <v>0</v>
      </c>
      <c r="M7" s="29">
        <v>0</v>
      </c>
      <c r="N7" s="29"/>
      <c r="O7" s="29"/>
      <c r="P7" s="29"/>
      <c r="Q7" s="31">
        <v>80901.5</v>
      </c>
      <c r="R7" s="31">
        <v>2992</v>
      </c>
      <c r="S7" s="31"/>
      <c r="T7" s="31">
        <v>17211.5</v>
      </c>
      <c r="U7" s="31">
        <v>46114</v>
      </c>
      <c r="V7" s="31">
        <v>11530</v>
      </c>
      <c r="W7" s="31"/>
      <c r="X7" s="31">
        <v>0</v>
      </c>
      <c r="Y7" s="31">
        <v>1730</v>
      </c>
      <c r="Z7" s="31"/>
      <c r="AA7" s="31"/>
      <c r="AB7" s="31"/>
    </row>
    <row r="8" spans="1:28" ht="15" customHeight="1" x14ac:dyDescent="0.2">
      <c r="A8" s="17" t="s">
        <v>157</v>
      </c>
      <c r="B8" s="18" t="s">
        <v>148</v>
      </c>
      <c r="C8" s="19" t="s">
        <v>158</v>
      </c>
      <c r="D8" s="20">
        <v>149</v>
      </c>
      <c r="E8" s="20">
        <v>19847</v>
      </c>
      <c r="F8" s="20">
        <v>0</v>
      </c>
      <c r="G8" s="20"/>
      <c r="H8" s="20">
        <v>0</v>
      </c>
      <c r="I8" s="20">
        <v>0</v>
      </c>
      <c r="J8" s="20">
        <v>0</v>
      </c>
      <c r="K8" s="20">
        <v>0</v>
      </c>
      <c r="L8" s="20">
        <v>0</v>
      </c>
      <c r="M8" s="20">
        <v>0</v>
      </c>
      <c r="N8" s="20"/>
      <c r="O8" s="20"/>
      <c r="P8" s="20"/>
      <c r="Q8" s="22">
        <v>196271.13</v>
      </c>
      <c r="R8" s="22">
        <v>4944</v>
      </c>
      <c r="S8" s="22"/>
      <c r="T8" s="22">
        <v>34899.75</v>
      </c>
      <c r="U8" s="22">
        <v>114688.38</v>
      </c>
      <c r="V8" s="22">
        <v>30198</v>
      </c>
      <c r="W8" s="22">
        <v>1712</v>
      </c>
      <c r="X8" s="22">
        <v>3672</v>
      </c>
      <c r="Y8" s="22">
        <v>1871</v>
      </c>
      <c r="Z8" s="22"/>
      <c r="AA8" s="22"/>
      <c r="AB8" s="22"/>
    </row>
    <row r="9" spans="1:28" ht="15" customHeight="1" x14ac:dyDescent="0.2">
      <c r="A9" s="26" t="s">
        <v>159</v>
      </c>
      <c r="B9" s="27" t="s">
        <v>148</v>
      </c>
      <c r="C9" s="28" t="s">
        <v>160</v>
      </c>
      <c r="D9" s="29">
        <v>117</v>
      </c>
      <c r="E9" s="29">
        <v>13606</v>
      </c>
      <c r="F9" s="29">
        <v>0</v>
      </c>
      <c r="G9" s="29"/>
      <c r="H9" s="29">
        <v>0</v>
      </c>
      <c r="I9" s="29">
        <v>0</v>
      </c>
      <c r="J9" s="29">
        <v>0</v>
      </c>
      <c r="K9" s="29"/>
      <c r="L9" s="29">
        <v>0</v>
      </c>
      <c r="M9" s="29">
        <v>0</v>
      </c>
      <c r="N9" s="29"/>
      <c r="O9" s="29"/>
      <c r="P9" s="29"/>
      <c r="Q9" s="31">
        <v>142882.75</v>
      </c>
      <c r="R9" s="31">
        <v>4164</v>
      </c>
      <c r="S9" s="31"/>
      <c r="T9" s="31">
        <v>22087</v>
      </c>
      <c r="U9" s="31">
        <v>81010.75</v>
      </c>
      <c r="V9" s="31">
        <v>30893</v>
      </c>
      <c r="W9" s="31"/>
      <c r="X9" s="31">
        <v>208</v>
      </c>
      <c r="Y9" s="31">
        <v>1007</v>
      </c>
      <c r="Z9" s="31"/>
      <c r="AA9" s="31"/>
      <c r="AB9" s="31"/>
    </row>
    <row r="10" spans="1:28" ht="15" customHeight="1" x14ac:dyDescent="0.2">
      <c r="A10" s="17" t="s">
        <v>161</v>
      </c>
      <c r="B10" s="18" t="s">
        <v>148</v>
      </c>
      <c r="C10" s="19" t="s">
        <v>162</v>
      </c>
      <c r="D10" s="20">
        <v>162</v>
      </c>
      <c r="E10" s="20">
        <v>14607.25</v>
      </c>
      <c r="F10" s="20">
        <v>165</v>
      </c>
      <c r="G10" s="20"/>
      <c r="H10" s="20">
        <v>1488.5</v>
      </c>
      <c r="I10" s="20">
        <v>9319.5</v>
      </c>
      <c r="J10" s="20">
        <v>2178.75</v>
      </c>
      <c r="K10" s="20">
        <v>104</v>
      </c>
      <c r="L10" s="20">
        <v>800</v>
      </c>
      <c r="M10" s="20">
        <v>379</v>
      </c>
      <c r="N10" s="20"/>
      <c r="O10" s="20"/>
      <c r="P10" s="20"/>
      <c r="Q10" s="22">
        <v>291321.88</v>
      </c>
      <c r="R10" s="22">
        <v>6023</v>
      </c>
      <c r="S10" s="22"/>
      <c r="T10" s="22">
        <v>32698.25</v>
      </c>
      <c r="U10" s="22">
        <v>177291.75</v>
      </c>
      <c r="V10" s="22">
        <v>41439.379999999997</v>
      </c>
      <c r="W10" s="22">
        <v>2168</v>
      </c>
      <c r="X10" s="22">
        <v>15756</v>
      </c>
      <c r="Y10" s="22">
        <v>9784</v>
      </c>
      <c r="Z10" s="22"/>
      <c r="AA10" s="22"/>
      <c r="AB10" s="22"/>
    </row>
    <row r="11" spans="1:28" ht="15" customHeight="1" x14ac:dyDescent="0.2">
      <c r="A11" s="26" t="s">
        <v>165</v>
      </c>
      <c r="B11" s="27" t="s">
        <v>148</v>
      </c>
      <c r="C11" s="28" t="s">
        <v>166</v>
      </c>
      <c r="D11" s="29">
        <v>197</v>
      </c>
      <c r="E11" s="29">
        <v>51911</v>
      </c>
      <c r="F11" s="29">
        <v>0</v>
      </c>
      <c r="G11" s="29"/>
      <c r="H11" s="29">
        <v>0</v>
      </c>
      <c r="I11" s="29">
        <v>0</v>
      </c>
      <c r="J11" s="29">
        <v>0</v>
      </c>
      <c r="K11" s="29">
        <v>0</v>
      </c>
      <c r="L11" s="29">
        <v>0</v>
      </c>
      <c r="M11" s="29">
        <v>0</v>
      </c>
      <c r="N11" s="29"/>
      <c r="O11" s="29"/>
      <c r="P11" s="29"/>
      <c r="Q11" s="31">
        <v>583482.62</v>
      </c>
      <c r="R11" s="31">
        <v>7355</v>
      </c>
      <c r="S11" s="31"/>
      <c r="T11" s="31">
        <v>68467.5</v>
      </c>
      <c r="U11" s="31">
        <v>387658.09</v>
      </c>
      <c r="V11" s="31">
        <v>45395.28</v>
      </c>
      <c r="W11" s="31">
        <v>11582.5</v>
      </c>
      <c r="X11" s="31">
        <v>37466.75</v>
      </c>
      <c r="Y11" s="31">
        <v>8975</v>
      </c>
      <c r="Z11" s="31"/>
      <c r="AA11" s="31"/>
      <c r="AB11" s="31"/>
    </row>
    <row r="12" spans="1:28" ht="15" customHeight="1" x14ac:dyDescent="0.2">
      <c r="A12" s="17" t="s">
        <v>167</v>
      </c>
      <c r="B12" s="18" t="s">
        <v>148</v>
      </c>
      <c r="C12" s="19" t="s">
        <v>168</v>
      </c>
      <c r="D12" s="20">
        <v>119</v>
      </c>
      <c r="E12" s="20">
        <v>29950</v>
      </c>
      <c r="F12" s="20">
        <v>0</v>
      </c>
      <c r="G12" s="20"/>
      <c r="H12" s="20">
        <v>0</v>
      </c>
      <c r="I12" s="20">
        <v>0</v>
      </c>
      <c r="J12" s="20">
        <v>0</v>
      </c>
      <c r="K12" s="20">
        <v>0</v>
      </c>
      <c r="L12" s="20">
        <v>0</v>
      </c>
      <c r="M12" s="20">
        <v>0</v>
      </c>
      <c r="N12" s="20"/>
      <c r="O12" s="20"/>
      <c r="P12" s="20"/>
      <c r="Q12" s="22">
        <v>292755.75</v>
      </c>
      <c r="R12" s="22">
        <v>4744</v>
      </c>
      <c r="S12" s="22"/>
      <c r="T12" s="22">
        <v>43495</v>
      </c>
      <c r="U12" s="22">
        <v>173312.75</v>
      </c>
      <c r="V12" s="22">
        <v>36292.5</v>
      </c>
      <c r="W12" s="22">
        <v>7448</v>
      </c>
      <c r="X12" s="22">
        <v>19505.5</v>
      </c>
      <c r="Y12" s="22">
        <v>85</v>
      </c>
      <c r="Z12" s="22"/>
      <c r="AA12" s="22"/>
      <c r="AB12" s="22"/>
    </row>
    <row r="13" spans="1:28" ht="15" customHeight="1" x14ac:dyDescent="0.2">
      <c r="A13" s="26" t="s">
        <v>169</v>
      </c>
      <c r="B13" s="27" t="s">
        <v>148</v>
      </c>
      <c r="C13" s="28" t="s">
        <v>170</v>
      </c>
      <c r="D13" s="29">
        <v>211</v>
      </c>
      <c r="E13" s="29">
        <v>47132</v>
      </c>
      <c r="F13" s="29">
        <v>0</v>
      </c>
      <c r="G13" s="29"/>
      <c r="H13" s="29">
        <v>0</v>
      </c>
      <c r="I13" s="29">
        <v>0</v>
      </c>
      <c r="J13" s="29">
        <v>0</v>
      </c>
      <c r="K13" s="29">
        <v>0</v>
      </c>
      <c r="L13" s="29">
        <v>0</v>
      </c>
      <c r="M13" s="29">
        <v>0</v>
      </c>
      <c r="N13" s="29"/>
      <c r="O13" s="29"/>
      <c r="P13" s="29"/>
      <c r="Q13" s="31">
        <v>440392.94</v>
      </c>
      <c r="R13" s="31">
        <v>7795</v>
      </c>
      <c r="S13" s="31"/>
      <c r="T13" s="31">
        <v>52561.75</v>
      </c>
      <c r="U13" s="31">
        <v>256945.47</v>
      </c>
      <c r="V13" s="31">
        <v>59097.75</v>
      </c>
      <c r="W13" s="31">
        <v>8626.5</v>
      </c>
      <c r="X13" s="31">
        <v>31534.47</v>
      </c>
      <c r="Y13" s="31">
        <v>14152</v>
      </c>
      <c r="Z13" s="31"/>
      <c r="AA13" s="31"/>
      <c r="AB13" s="31"/>
    </row>
    <row r="14" spans="1:28" ht="15" customHeight="1" x14ac:dyDescent="0.2">
      <c r="A14" s="17" t="s">
        <v>171</v>
      </c>
      <c r="B14" s="18" t="s">
        <v>148</v>
      </c>
      <c r="C14" s="19" t="s">
        <v>172</v>
      </c>
      <c r="D14" s="20">
        <v>211</v>
      </c>
      <c r="E14" s="20">
        <v>52897</v>
      </c>
      <c r="F14" s="20">
        <v>0</v>
      </c>
      <c r="G14" s="20"/>
      <c r="H14" s="20">
        <v>0</v>
      </c>
      <c r="I14" s="20">
        <v>0</v>
      </c>
      <c r="J14" s="20">
        <v>0</v>
      </c>
      <c r="K14" s="20">
        <v>0</v>
      </c>
      <c r="L14" s="20">
        <v>0</v>
      </c>
      <c r="M14" s="20">
        <v>0</v>
      </c>
      <c r="N14" s="20"/>
      <c r="O14" s="20"/>
      <c r="P14" s="20"/>
      <c r="Q14" s="22">
        <v>550832.62</v>
      </c>
      <c r="R14" s="22">
        <v>13841.5</v>
      </c>
      <c r="S14" s="22"/>
      <c r="T14" s="22">
        <v>124232.5</v>
      </c>
      <c r="U14" s="22">
        <v>301244.34999999998</v>
      </c>
      <c r="V14" s="22">
        <v>36001.25</v>
      </c>
      <c r="W14" s="22">
        <v>7665</v>
      </c>
      <c r="X14" s="22">
        <v>39821.519999999997</v>
      </c>
      <c r="Y14" s="22">
        <v>814</v>
      </c>
      <c r="Z14" s="22"/>
      <c r="AA14" s="22"/>
      <c r="AB14" s="22"/>
    </row>
    <row r="15" spans="1:28" ht="15" customHeight="1" x14ac:dyDescent="0.2">
      <c r="A15" s="26" t="s">
        <v>173</v>
      </c>
      <c r="B15" s="27" t="s">
        <v>148</v>
      </c>
      <c r="C15" s="28" t="s">
        <v>174</v>
      </c>
      <c r="D15" s="29">
        <v>256</v>
      </c>
      <c r="E15" s="29">
        <v>76015</v>
      </c>
      <c r="F15" s="29">
        <v>0</v>
      </c>
      <c r="G15" s="29"/>
      <c r="H15" s="29">
        <v>0</v>
      </c>
      <c r="I15" s="29">
        <v>0</v>
      </c>
      <c r="J15" s="29">
        <v>0</v>
      </c>
      <c r="K15" s="29">
        <v>0</v>
      </c>
      <c r="L15" s="29">
        <v>0</v>
      </c>
      <c r="M15" s="29">
        <v>0</v>
      </c>
      <c r="N15" s="29"/>
      <c r="O15" s="29"/>
      <c r="P15" s="29"/>
      <c r="Q15" s="31">
        <v>766929.01</v>
      </c>
      <c r="R15" s="31">
        <v>13026.5</v>
      </c>
      <c r="S15" s="31"/>
      <c r="T15" s="31">
        <v>178603.25</v>
      </c>
      <c r="U15" s="31">
        <v>348602.98</v>
      </c>
      <c r="V15" s="31">
        <v>64250.9</v>
      </c>
      <c r="W15" s="31">
        <v>32025.5</v>
      </c>
      <c r="X15" s="31">
        <v>85831.88</v>
      </c>
      <c r="Y15" s="31">
        <v>26035.5</v>
      </c>
      <c r="Z15" s="31"/>
      <c r="AA15" s="31"/>
      <c r="AB15" s="31"/>
    </row>
    <row r="16" spans="1:28" ht="15" customHeight="1" x14ac:dyDescent="0.2">
      <c r="A16" s="17" t="s">
        <v>175</v>
      </c>
      <c r="B16" s="18" t="s">
        <v>148</v>
      </c>
      <c r="C16" s="19" t="s">
        <v>176</v>
      </c>
      <c r="D16" s="20">
        <v>136</v>
      </c>
      <c r="E16" s="20">
        <v>41555</v>
      </c>
      <c r="F16" s="20">
        <v>0</v>
      </c>
      <c r="G16" s="20"/>
      <c r="H16" s="20">
        <v>0</v>
      </c>
      <c r="I16" s="20">
        <v>0</v>
      </c>
      <c r="J16" s="20">
        <v>0</v>
      </c>
      <c r="K16" s="20">
        <v>0</v>
      </c>
      <c r="L16" s="20">
        <v>0</v>
      </c>
      <c r="M16" s="20">
        <v>0</v>
      </c>
      <c r="N16" s="20"/>
      <c r="O16" s="20"/>
      <c r="P16" s="20"/>
      <c r="Q16" s="22">
        <v>429422.78</v>
      </c>
      <c r="R16" s="22">
        <v>8726</v>
      </c>
      <c r="S16" s="22"/>
      <c r="T16" s="22">
        <v>71216.09</v>
      </c>
      <c r="U16" s="22">
        <v>232285.5</v>
      </c>
      <c r="V16" s="22">
        <v>30179</v>
      </c>
      <c r="W16" s="22">
        <v>10305.459999999999</v>
      </c>
      <c r="X16" s="22">
        <v>56135.73</v>
      </c>
      <c r="Y16" s="22">
        <v>1144.5</v>
      </c>
      <c r="Z16" s="22"/>
      <c r="AA16" s="22"/>
      <c r="AB16" s="22"/>
    </row>
    <row r="17" spans="1:28" ht="15" customHeight="1" x14ac:dyDescent="0.2">
      <c r="A17" s="26" t="s">
        <v>177</v>
      </c>
      <c r="B17" s="27" t="s">
        <v>148</v>
      </c>
      <c r="C17" s="28" t="s">
        <v>178</v>
      </c>
      <c r="D17" s="29">
        <v>18</v>
      </c>
      <c r="E17" s="29">
        <v>3952</v>
      </c>
      <c r="F17" s="29">
        <v>0</v>
      </c>
      <c r="G17" s="29"/>
      <c r="H17" s="29">
        <v>0</v>
      </c>
      <c r="I17" s="29">
        <v>0</v>
      </c>
      <c r="J17" s="29">
        <v>0</v>
      </c>
      <c r="K17" s="29"/>
      <c r="L17" s="29">
        <v>0</v>
      </c>
      <c r="M17" s="29"/>
      <c r="N17" s="29"/>
      <c r="O17" s="29"/>
      <c r="P17" s="29"/>
      <c r="Q17" s="31">
        <v>57917.75</v>
      </c>
      <c r="R17" s="31">
        <v>1042</v>
      </c>
      <c r="S17" s="31"/>
      <c r="T17" s="31">
        <v>8667</v>
      </c>
      <c r="U17" s="31">
        <v>39476.75</v>
      </c>
      <c r="V17" s="31">
        <v>5302</v>
      </c>
      <c r="W17" s="31"/>
      <c r="X17" s="31">
        <v>472.5</v>
      </c>
      <c r="Y17" s="31"/>
      <c r="Z17" s="31"/>
      <c r="AA17" s="31"/>
      <c r="AB17" s="31"/>
    </row>
    <row r="18" spans="1:28" ht="15" customHeight="1" x14ac:dyDescent="0.2">
      <c r="A18" s="17" t="s">
        <v>179</v>
      </c>
      <c r="B18" s="18" t="s">
        <v>148</v>
      </c>
      <c r="C18" s="19" t="s">
        <v>181</v>
      </c>
      <c r="D18" s="20">
        <v>209</v>
      </c>
      <c r="E18" s="20">
        <v>33107</v>
      </c>
      <c r="F18" s="20">
        <v>308.5</v>
      </c>
      <c r="G18" s="20"/>
      <c r="H18" s="20">
        <v>6372.5</v>
      </c>
      <c r="I18" s="20">
        <v>17765</v>
      </c>
      <c r="J18" s="20">
        <v>2906.5</v>
      </c>
      <c r="K18" s="20">
        <v>971</v>
      </c>
      <c r="L18" s="20">
        <v>3214.5</v>
      </c>
      <c r="M18" s="20">
        <v>875.5</v>
      </c>
      <c r="N18" s="20">
        <v>7</v>
      </c>
      <c r="O18" s="20"/>
      <c r="P18" s="20"/>
      <c r="Q18" s="22">
        <v>702744.35</v>
      </c>
      <c r="R18" s="22">
        <v>13424.5</v>
      </c>
      <c r="S18" s="22"/>
      <c r="T18" s="22">
        <v>126840.16</v>
      </c>
      <c r="U18" s="22">
        <v>373123.5</v>
      </c>
      <c r="V18" s="22">
        <v>62630.5</v>
      </c>
      <c r="W18" s="22">
        <v>21481</v>
      </c>
      <c r="X18" s="22">
        <v>54198.43</v>
      </c>
      <c r="Y18" s="22">
        <v>21196.26</v>
      </c>
      <c r="Z18" s="22">
        <v>175</v>
      </c>
      <c r="AA18" s="22"/>
      <c r="AB18" s="22"/>
    </row>
    <row r="19" spans="1:28" ht="15" customHeight="1" x14ac:dyDescent="0.2">
      <c r="A19" s="26" t="s">
        <v>185</v>
      </c>
      <c r="B19" s="27" t="s">
        <v>148</v>
      </c>
      <c r="C19" s="28" t="s">
        <v>186</v>
      </c>
      <c r="D19" s="29">
        <v>117</v>
      </c>
      <c r="E19" s="29">
        <v>17098</v>
      </c>
      <c r="F19" s="29">
        <v>295</v>
      </c>
      <c r="G19" s="29"/>
      <c r="H19" s="29">
        <v>3282</v>
      </c>
      <c r="I19" s="29">
        <v>8731</v>
      </c>
      <c r="J19" s="29">
        <v>1150.5</v>
      </c>
      <c r="K19" s="29">
        <v>406.5</v>
      </c>
      <c r="L19" s="29">
        <v>1554.5</v>
      </c>
      <c r="M19" s="29">
        <v>343.5</v>
      </c>
      <c r="N19" s="29">
        <v>854.5</v>
      </c>
      <c r="O19" s="29"/>
      <c r="P19" s="29"/>
      <c r="Q19" s="31">
        <v>379757.5</v>
      </c>
      <c r="R19" s="31">
        <v>12228.5</v>
      </c>
      <c r="S19" s="31"/>
      <c r="T19" s="31">
        <v>80127.5</v>
      </c>
      <c r="U19" s="31">
        <v>164177</v>
      </c>
      <c r="V19" s="31">
        <v>28250.5</v>
      </c>
      <c r="W19" s="31">
        <v>9547</v>
      </c>
      <c r="X19" s="31">
        <v>33366.5</v>
      </c>
      <c r="Y19" s="31">
        <v>10740.5</v>
      </c>
      <c r="Z19" s="31">
        <v>20595.5</v>
      </c>
      <c r="AA19" s="31"/>
      <c r="AB19" s="31"/>
    </row>
    <row r="20" spans="1:28" ht="15" customHeight="1" x14ac:dyDescent="0.2">
      <c r="A20" s="17" t="s">
        <v>190</v>
      </c>
      <c r="B20" s="18" t="s">
        <v>148</v>
      </c>
      <c r="C20" s="19" t="s">
        <v>191</v>
      </c>
      <c r="D20" s="20">
        <v>75</v>
      </c>
      <c r="E20" s="20">
        <v>11488.5</v>
      </c>
      <c r="F20" s="20">
        <v>95</v>
      </c>
      <c r="G20" s="20"/>
      <c r="H20" s="20">
        <v>2106.5</v>
      </c>
      <c r="I20" s="20">
        <v>6350</v>
      </c>
      <c r="J20" s="20">
        <v>1069</v>
      </c>
      <c r="K20" s="20">
        <v>195.5</v>
      </c>
      <c r="L20" s="20">
        <v>921</v>
      </c>
      <c r="M20" s="20">
        <v>494.5</v>
      </c>
      <c r="N20" s="20"/>
      <c r="O20" s="20"/>
      <c r="P20" s="20"/>
      <c r="Q20" s="22">
        <v>287298.5</v>
      </c>
      <c r="R20" s="22">
        <v>4337</v>
      </c>
      <c r="S20" s="22"/>
      <c r="T20" s="22">
        <v>56825.5</v>
      </c>
      <c r="U20" s="22">
        <v>150592</v>
      </c>
      <c r="V20" s="22">
        <v>23808</v>
      </c>
      <c r="W20" s="22">
        <v>5854</v>
      </c>
      <c r="X20" s="22">
        <v>20707</v>
      </c>
      <c r="Y20" s="22">
        <v>13230</v>
      </c>
      <c r="Z20" s="22"/>
      <c r="AA20" s="22"/>
      <c r="AB20" s="22"/>
    </row>
    <row r="21" spans="1:28" ht="15" customHeight="1" x14ac:dyDescent="0.2">
      <c r="A21" s="26" t="s">
        <v>195</v>
      </c>
      <c r="B21" s="27" t="s">
        <v>148</v>
      </c>
      <c r="C21" s="28" t="s">
        <v>196</v>
      </c>
      <c r="D21" s="29">
        <v>49</v>
      </c>
      <c r="E21" s="29">
        <v>8541.5</v>
      </c>
      <c r="F21" s="29">
        <v>45.5</v>
      </c>
      <c r="G21" s="29"/>
      <c r="H21" s="29">
        <v>1301</v>
      </c>
      <c r="I21" s="29">
        <v>4901</v>
      </c>
      <c r="J21" s="29">
        <v>625.5</v>
      </c>
      <c r="K21" s="29">
        <v>133.5</v>
      </c>
      <c r="L21" s="29">
        <v>967</v>
      </c>
      <c r="M21" s="29">
        <v>435</v>
      </c>
      <c r="N21" s="29"/>
      <c r="O21" s="29"/>
      <c r="P21" s="29"/>
      <c r="Q21" s="31">
        <v>210715.5</v>
      </c>
      <c r="R21" s="31">
        <v>2078.5</v>
      </c>
      <c r="S21" s="31"/>
      <c r="T21" s="31">
        <v>34913</v>
      </c>
      <c r="U21" s="31">
        <v>116564.5</v>
      </c>
      <c r="V21" s="31">
        <v>12520</v>
      </c>
      <c r="W21" s="31">
        <v>3916</v>
      </c>
      <c r="X21" s="31">
        <v>20543</v>
      </c>
      <c r="Y21" s="31">
        <v>14056.5</v>
      </c>
      <c r="Z21" s="31"/>
      <c r="AA21" s="31"/>
      <c r="AB21" s="31"/>
    </row>
    <row r="22" spans="1:28" ht="15" customHeight="1" x14ac:dyDescent="0.2">
      <c r="A22" s="17" t="s">
        <v>201</v>
      </c>
      <c r="B22" s="18" t="s">
        <v>148</v>
      </c>
      <c r="C22" s="19" t="s">
        <v>202</v>
      </c>
      <c r="D22" s="20">
        <v>170</v>
      </c>
      <c r="E22" s="20">
        <v>21014</v>
      </c>
      <c r="F22" s="20">
        <v>124.5</v>
      </c>
      <c r="G22" s="20"/>
      <c r="H22" s="20">
        <v>2813.5</v>
      </c>
      <c r="I22" s="20">
        <v>12672</v>
      </c>
      <c r="J22" s="20">
        <v>2157.5</v>
      </c>
      <c r="K22" s="20">
        <v>336.5</v>
      </c>
      <c r="L22" s="20">
        <v>2208</v>
      </c>
      <c r="M22" s="20">
        <v>412.5</v>
      </c>
      <c r="N22" s="20"/>
      <c r="O22" s="20"/>
      <c r="P22" s="20"/>
      <c r="Q22" s="22">
        <v>491249.77</v>
      </c>
      <c r="R22" s="22">
        <v>5755.5</v>
      </c>
      <c r="S22" s="22"/>
      <c r="T22" s="22">
        <v>77474.5</v>
      </c>
      <c r="U22" s="22">
        <v>278595.5</v>
      </c>
      <c r="V22" s="22">
        <v>48849.27</v>
      </c>
      <c r="W22" s="22">
        <v>7836.5</v>
      </c>
      <c r="X22" s="22">
        <v>46631.5</v>
      </c>
      <c r="Y22" s="22">
        <v>12684.5</v>
      </c>
      <c r="Z22" s="22"/>
      <c r="AA22" s="22"/>
      <c r="AB22" s="22"/>
    </row>
    <row r="23" spans="1:28" ht="15" customHeight="1" x14ac:dyDescent="0.2">
      <c r="A23" s="26" t="s">
        <v>205</v>
      </c>
      <c r="B23" s="27" t="s">
        <v>148</v>
      </c>
      <c r="C23" s="28" t="s">
        <v>206</v>
      </c>
      <c r="D23" s="29">
        <v>296</v>
      </c>
      <c r="E23" s="29">
        <v>24097</v>
      </c>
      <c r="F23" s="29">
        <v>209.5</v>
      </c>
      <c r="G23" s="29"/>
      <c r="H23" s="29">
        <v>3293</v>
      </c>
      <c r="I23" s="29">
        <v>16225</v>
      </c>
      <c r="J23" s="29">
        <v>19</v>
      </c>
      <c r="K23" s="29">
        <v>425.5</v>
      </c>
      <c r="L23" s="29">
        <v>2837</v>
      </c>
      <c r="M23" s="29">
        <v>664.5</v>
      </c>
      <c r="N23" s="29">
        <v>37</v>
      </c>
      <c r="O23" s="29"/>
      <c r="P23" s="29"/>
      <c r="Q23" s="31">
        <v>567651.09</v>
      </c>
      <c r="R23" s="31">
        <v>9454.5</v>
      </c>
      <c r="S23" s="31"/>
      <c r="T23" s="31">
        <v>83561</v>
      </c>
      <c r="U23" s="31">
        <v>366998.59</v>
      </c>
      <c r="V23" s="31">
        <v>719</v>
      </c>
      <c r="W23" s="31">
        <v>10210.5</v>
      </c>
      <c r="X23" s="31">
        <v>60276</v>
      </c>
      <c r="Y23" s="31">
        <v>18210</v>
      </c>
      <c r="Z23" s="31">
        <v>905</v>
      </c>
      <c r="AA23" s="31"/>
      <c r="AB23" s="31"/>
    </row>
    <row r="24" spans="1:28" ht="15" customHeight="1" x14ac:dyDescent="0.2">
      <c r="A24" s="17" t="s">
        <v>210</v>
      </c>
      <c r="B24" s="18" t="s">
        <v>148</v>
      </c>
      <c r="C24" s="19" t="s">
        <v>211</v>
      </c>
      <c r="D24" s="20">
        <v>83</v>
      </c>
      <c r="E24" s="20">
        <v>7596</v>
      </c>
      <c r="F24" s="20">
        <v>71.5</v>
      </c>
      <c r="G24" s="20"/>
      <c r="H24" s="20">
        <v>672</v>
      </c>
      <c r="I24" s="20">
        <v>4553.5</v>
      </c>
      <c r="J24" s="20">
        <v>979</v>
      </c>
      <c r="K24" s="20">
        <v>90.5</v>
      </c>
      <c r="L24" s="20">
        <v>553</v>
      </c>
      <c r="M24" s="20">
        <v>465</v>
      </c>
      <c r="N24" s="20"/>
      <c r="O24" s="20"/>
      <c r="P24" s="20"/>
      <c r="Q24" s="22">
        <v>188045.5</v>
      </c>
      <c r="R24" s="22">
        <v>3269.5</v>
      </c>
      <c r="S24" s="22"/>
      <c r="T24" s="22">
        <v>18887</v>
      </c>
      <c r="U24" s="22">
        <v>103433</v>
      </c>
      <c r="V24" s="22">
        <v>25915.5</v>
      </c>
      <c r="W24" s="22">
        <v>2133</v>
      </c>
      <c r="X24" s="22">
        <v>12249</v>
      </c>
      <c r="Y24" s="22">
        <v>12326</v>
      </c>
      <c r="Z24" s="22"/>
      <c r="AA24" s="22"/>
      <c r="AB24" s="22"/>
    </row>
    <row r="25" spans="1:28" ht="15" customHeight="1" x14ac:dyDescent="0.2">
      <c r="A25" s="26" t="s">
        <v>214</v>
      </c>
      <c r="B25" s="27" t="s">
        <v>148</v>
      </c>
      <c r="C25" s="28" t="s">
        <v>215</v>
      </c>
      <c r="D25" s="29">
        <v>144</v>
      </c>
      <c r="E25" s="29">
        <v>18665</v>
      </c>
      <c r="F25" s="29">
        <v>102.5</v>
      </c>
      <c r="G25" s="29"/>
      <c r="H25" s="29">
        <v>3656.75</v>
      </c>
      <c r="I25" s="29">
        <v>9692.25</v>
      </c>
      <c r="J25" s="29">
        <v>1737.5</v>
      </c>
      <c r="K25" s="29">
        <v>578</v>
      </c>
      <c r="L25" s="29">
        <v>1889</v>
      </c>
      <c r="M25" s="29">
        <v>617</v>
      </c>
      <c r="N25" s="29"/>
      <c r="O25" s="29"/>
      <c r="P25" s="29"/>
      <c r="Q25" s="31">
        <v>504091.25</v>
      </c>
      <c r="R25" s="31">
        <v>4994.5</v>
      </c>
      <c r="S25" s="31"/>
      <c r="T25" s="31">
        <v>98609</v>
      </c>
      <c r="U25" s="31">
        <v>255360.5</v>
      </c>
      <c r="V25" s="31">
        <v>47557.25</v>
      </c>
      <c r="W25" s="31">
        <v>16593</v>
      </c>
      <c r="X25" s="31">
        <v>42757</v>
      </c>
      <c r="Y25" s="31">
        <v>18473</v>
      </c>
      <c r="Z25" s="31"/>
      <c r="AA25" s="31"/>
      <c r="AB25" s="31"/>
    </row>
    <row r="26" spans="1:28" ht="15" customHeight="1" x14ac:dyDescent="0.2">
      <c r="A26" s="17" t="s">
        <v>219</v>
      </c>
      <c r="B26" s="18" t="s">
        <v>148</v>
      </c>
      <c r="C26" s="19" t="s">
        <v>220</v>
      </c>
      <c r="D26" s="20">
        <v>398</v>
      </c>
      <c r="E26" s="20">
        <v>22023</v>
      </c>
      <c r="F26" s="20">
        <v>459</v>
      </c>
      <c r="G26" s="20"/>
      <c r="H26" s="20">
        <v>3100.5</v>
      </c>
      <c r="I26" s="20">
        <v>12464.75</v>
      </c>
      <c r="J26" s="20">
        <v>2669.5</v>
      </c>
      <c r="K26" s="20">
        <v>260.5</v>
      </c>
      <c r="L26" s="20">
        <v>1450.25</v>
      </c>
      <c r="M26" s="20">
        <v>920</v>
      </c>
      <c r="N26" s="20">
        <v>37</v>
      </c>
      <c r="O26" s="20"/>
      <c r="P26" s="20"/>
      <c r="Q26" s="22">
        <v>564920.38</v>
      </c>
      <c r="R26" s="22">
        <v>21845.5</v>
      </c>
      <c r="S26" s="22"/>
      <c r="T26" s="22">
        <v>79250</v>
      </c>
      <c r="U26" s="22">
        <v>289348.75</v>
      </c>
      <c r="V26" s="22">
        <v>69830.75</v>
      </c>
      <c r="W26" s="22">
        <v>6952.5</v>
      </c>
      <c r="X26" s="22">
        <v>31378.38</v>
      </c>
      <c r="Y26" s="22">
        <v>32815</v>
      </c>
      <c r="Z26" s="22">
        <v>1419</v>
      </c>
      <c r="AA26" s="22"/>
      <c r="AB26" s="22"/>
    </row>
    <row r="27" spans="1:28" ht="15" customHeight="1" x14ac:dyDescent="0.2">
      <c r="A27" s="26" t="s">
        <v>224</v>
      </c>
      <c r="B27" s="27" t="s">
        <v>148</v>
      </c>
      <c r="C27" s="28" t="s">
        <v>225</v>
      </c>
      <c r="D27" s="29">
        <v>71</v>
      </c>
      <c r="E27" s="29">
        <v>5157</v>
      </c>
      <c r="F27" s="29">
        <v>62.5</v>
      </c>
      <c r="G27" s="29"/>
      <c r="H27" s="29">
        <v>231</v>
      </c>
      <c r="I27" s="29">
        <v>3132</v>
      </c>
      <c r="J27" s="29">
        <v>682.5</v>
      </c>
      <c r="K27" s="29">
        <v>50.5</v>
      </c>
      <c r="L27" s="29">
        <v>558.5</v>
      </c>
      <c r="M27" s="29">
        <v>274</v>
      </c>
      <c r="N27" s="29"/>
      <c r="O27" s="29"/>
      <c r="P27" s="29"/>
      <c r="Q27" s="31">
        <v>134465.25</v>
      </c>
      <c r="R27" s="31">
        <v>2980.5</v>
      </c>
      <c r="S27" s="31"/>
      <c r="T27" s="31">
        <v>6693</v>
      </c>
      <c r="U27" s="31">
        <v>77199.5</v>
      </c>
      <c r="V27" s="31">
        <v>15430.25</v>
      </c>
      <c r="W27" s="31">
        <v>1836</v>
      </c>
      <c r="X27" s="31">
        <v>12390</v>
      </c>
      <c r="Y27" s="31">
        <v>9868.5</v>
      </c>
      <c r="Z27" s="31"/>
      <c r="AA27" s="31"/>
      <c r="AB27" s="31"/>
    </row>
    <row r="28" spans="1:28" ht="15" customHeight="1" x14ac:dyDescent="0.2">
      <c r="A28" s="17" t="s">
        <v>230</v>
      </c>
      <c r="B28" s="18" t="s">
        <v>148</v>
      </c>
      <c r="C28" s="19" t="s">
        <v>231</v>
      </c>
      <c r="D28" s="20">
        <v>139</v>
      </c>
      <c r="E28" s="20">
        <v>19509</v>
      </c>
      <c r="F28" s="20">
        <v>47.5</v>
      </c>
      <c r="G28" s="20"/>
      <c r="H28" s="20">
        <v>3002</v>
      </c>
      <c r="I28" s="20">
        <v>11450.5</v>
      </c>
      <c r="J28" s="20">
        <v>1845</v>
      </c>
      <c r="K28" s="20">
        <v>324.5</v>
      </c>
      <c r="L28" s="20">
        <v>1096</v>
      </c>
      <c r="M28" s="20">
        <v>355</v>
      </c>
      <c r="N28" s="20">
        <v>1117</v>
      </c>
      <c r="O28" s="20"/>
      <c r="P28" s="20"/>
      <c r="Q28" s="22">
        <v>526277.63</v>
      </c>
      <c r="R28" s="22">
        <v>2336.5</v>
      </c>
      <c r="S28" s="22"/>
      <c r="T28" s="22">
        <v>85861.5</v>
      </c>
      <c r="U28" s="22">
        <v>299136</v>
      </c>
      <c r="V28" s="22">
        <v>42783.5</v>
      </c>
      <c r="W28" s="22">
        <v>9941.5</v>
      </c>
      <c r="X28" s="22">
        <v>29860.13</v>
      </c>
      <c r="Y28" s="22">
        <v>13827</v>
      </c>
      <c r="Z28" s="22">
        <v>29278.5</v>
      </c>
      <c r="AA28" s="22"/>
      <c r="AB28" s="22"/>
    </row>
    <row r="29" spans="1:28" ht="15" customHeight="1" x14ac:dyDescent="0.2">
      <c r="A29" s="26" t="s">
        <v>236</v>
      </c>
      <c r="B29" s="27" t="s">
        <v>148</v>
      </c>
      <c r="C29" s="28" t="s">
        <v>237</v>
      </c>
      <c r="D29" s="29">
        <v>128</v>
      </c>
      <c r="E29" s="29">
        <v>21637.75</v>
      </c>
      <c r="F29" s="29">
        <v>72</v>
      </c>
      <c r="G29" s="29"/>
      <c r="H29" s="29">
        <v>4625</v>
      </c>
      <c r="I29" s="29">
        <v>10611.5</v>
      </c>
      <c r="J29" s="29">
        <v>1468.75</v>
      </c>
      <c r="K29" s="29">
        <v>324</v>
      </c>
      <c r="L29" s="29">
        <v>3006.5</v>
      </c>
      <c r="M29" s="29">
        <v>206</v>
      </c>
      <c r="N29" s="29">
        <v>1037.5</v>
      </c>
      <c r="O29" s="29"/>
      <c r="P29" s="29"/>
      <c r="Q29" s="31">
        <v>539464.25</v>
      </c>
      <c r="R29" s="31">
        <v>3636.5</v>
      </c>
      <c r="S29" s="31"/>
      <c r="T29" s="31">
        <v>118785.5</v>
      </c>
      <c r="U29" s="31">
        <v>248837</v>
      </c>
      <c r="V29" s="31">
        <v>37411.5</v>
      </c>
      <c r="W29" s="31">
        <v>10151</v>
      </c>
      <c r="X29" s="31">
        <v>74191.25</v>
      </c>
      <c r="Y29" s="31">
        <v>8618.5</v>
      </c>
      <c r="Z29" s="31">
        <v>23734</v>
      </c>
      <c r="AA29" s="31"/>
      <c r="AB29" s="31"/>
    </row>
    <row r="30" spans="1:28" ht="15" customHeight="1" x14ac:dyDescent="0.2">
      <c r="A30" s="17" t="s">
        <v>239</v>
      </c>
      <c r="B30" s="18" t="s">
        <v>148</v>
      </c>
      <c r="C30" s="19" t="s">
        <v>240</v>
      </c>
      <c r="D30" s="20">
        <v>92</v>
      </c>
      <c r="E30" s="20">
        <v>5204.75</v>
      </c>
      <c r="F30" s="20">
        <v>95</v>
      </c>
      <c r="G30" s="20"/>
      <c r="H30" s="20">
        <v>821.25</v>
      </c>
      <c r="I30" s="20">
        <v>2891</v>
      </c>
      <c r="J30" s="20">
        <v>590</v>
      </c>
      <c r="K30" s="20"/>
      <c r="L30" s="20">
        <v>596</v>
      </c>
      <c r="M30" s="20">
        <v>14</v>
      </c>
      <c r="N30" s="20"/>
      <c r="O30" s="20"/>
      <c r="P30" s="20"/>
      <c r="Q30" s="22">
        <v>133452.5</v>
      </c>
      <c r="R30" s="22">
        <v>4434</v>
      </c>
      <c r="S30" s="22"/>
      <c r="T30" s="22">
        <v>25027.5</v>
      </c>
      <c r="U30" s="22">
        <v>65658</v>
      </c>
      <c r="V30" s="22">
        <v>15449</v>
      </c>
      <c r="W30" s="22"/>
      <c r="X30" s="22">
        <v>12963</v>
      </c>
      <c r="Y30" s="22">
        <v>588</v>
      </c>
      <c r="Z30" s="22"/>
      <c r="AA30" s="22"/>
      <c r="AB30" s="22"/>
    </row>
    <row r="31" spans="1:28" ht="15" customHeight="1" x14ac:dyDescent="0.2">
      <c r="A31" s="26" t="s">
        <v>245</v>
      </c>
      <c r="B31" s="27" t="s">
        <v>148</v>
      </c>
      <c r="C31" s="28" t="s">
        <v>246</v>
      </c>
      <c r="D31" s="29">
        <v>31</v>
      </c>
      <c r="E31" s="29">
        <v>4098</v>
      </c>
      <c r="F31" s="29">
        <v>71</v>
      </c>
      <c r="G31" s="29"/>
      <c r="H31" s="29">
        <v>400.5</v>
      </c>
      <c r="I31" s="29">
        <v>2582.5</v>
      </c>
      <c r="J31" s="29">
        <v>731.5</v>
      </c>
      <c r="K31" s="29"/>
      <c r="L31" s="29">
        <v>180</v>
      </c>
      <c r="M31" s="29">
        <v>9.5</v>
      </c>
      <c r="N31" s="29"/>
      <c r="O31" s="29"/>
      <c r="P31" s="29"/>
      <c r="Q31" s="31">
        <v>112585.75</v>
      </c>
      <c r="R31" s="31">
        <v>3394</v>
      </c>
      <c r="S31" s="31"/>
      <c r="T31" s="31">
        <v>11913.5</v>
      </c>
      <c r="U31" s="31">
        <v>66604.5</v>
      </c>
      <c r="V31" s="31">
        <v>18527.25</v>
      </c>
      <c r="W31" s="31"/>
      <c r="X31" s="31">
        <v>5620</v>
      </c>
      <c r="Y31" s="31">
        <v>405</v>
      </c>
      <c r="Z31" s="31"/>
      <c r="AA31" s="31"/>
      <c r="AB31" s="31"/>
    </row>
    <row r="32" spans="1:28" ht="15" customHeight="1" x14ac:dyDescent="0.2">
      <c r="A32" s="17" t="s">
        <v>249</v>
      </c>
      <c r="B32" s="18" t="s">
        <v>148</v>
      </c>
      <c r="C32" s="19" t="s">
        <v>250</v>
      </c>
      <c r="D32" s="20">
        <v>122</v>
      </c>
      <c r="E32" s="20">
        <v>14799</v>
      </c>
      <c r="F32" s="20">
        <v>142.5</v>
      </c>
      <c r="G32" s="20"/>
      <c r="H32" s="20">
        <v>2923.5</v>
      </c>
      <c r="I32" s="20">
        <v>8156.5</v>
      </c>
      <c r="J32" s="20">
        <v>1644</v>
      </c>
      <c r="K32" s="20">
        <v>194</v>
      </c>
      <c r="L32" s="20">
        <v>983.5</v>
      </c>
      <c r="M32" s="20">
        <v>446.5</v>
      </c>
      <c r="N32" s="20">
        <v>24</v>
      </c>
      <c r="O32" s="20"/>
      <c r="P32" s="20"/>
      <c r="Q32" s="22">
        <v>440145.25</v>
      </c>
      <c r="R32" s="22">
        <v>7079</v>
      </c>
      <c r="S32" s="22"/>
      <c r="T32" s="22">
        <v>85554.75</v>
      </c>
      <c r="U32" s="22">
        <v>240637.46</v>
      </c>
      <c r="V32" s="22">
        <v>41886.75</v>
      </c>
      <c r="W32" s="22">
        <v>6410</v>
      </c>
      <c r="X32" s="22">
        <v>25492.04</v>
      </c>
      <c r="Y32" s="22">
        <v>17394.75</v>
      </c>
      <c r="Z32" s="22">
        <v>432</v>
      </c>
      <c r="AA32" s="22"/>
      <c r="AB32" s="22"/>
    </row>
    <row r="33" spans="1:28" ht="15" customHeight="1" x14ac:dyDescent="0.2">
      <c r="A33" s="26" t="s">
        <v>254</v>
      </c>
      <c r="B33" s="27" t="s">
        <v>148</v>
      </c>
      <c r="C33" s="28" t="s">
        <v>255</v>
      </c>
      <c r="D33" s="29">
        <v>80</v>
      </c>
      <c r="E33" s="29">
        <v>11814.25</v>
      </c>
      <c r="F33" s="29">
        <v>32</v>
      </c>
      <c r="G33" s="29"/>
      <c r="H33" s="29">
        <v>2141.25</v>
      </c>
      <c r="I33" s="29">
        <v>7100</v>
      </c>
      <c r="J33" s="29">
        <v>872.5</v>
      </c>
      <c r="K33" s="29">
        <v>91</v>
      </c>
      <c r="L33" s="29">
        <v>1339</v>
      </c>
      <c r="M33" s="29">
        <v>0</v>
      </c>
      <c r="N33" s="29"/>
      <c r="O33" s="29"/>
      <c r="P33" s="29"/>
      <c r="Q33" s="31">
        <v>324824.75</v>
      </c>
      <c r="R33" s="31">
        <v>1667</v>
      </c>
      <c r="S33" s="31"/>
      <c r="T33" s="31">
        <v>59108.5</v>
      </c>
      <c r="U33" s="31">
        <v>181998</v>
      </c>
      <c r="V33" s="31">
        <v>20959</v>
      </c>
      <c r="W33" s="31">
        <v>2740</v>
      </c>
      <c r="X33" s="31">
        <v>38061</v>
      </c>
      <c r="Y33" s="31">
        <v>7634.5</v>
      </c>
      <c r="Z33" s="31"/>
      <c r="AA33" s="31"/>
      <c r="AB33" s="31"/>
    </row>
    <row r="34" spans="1:28" ht="15" customHeight="1" x14ac:dyDescent="0.2">
      <c r="A34" s="17" t="s">
        <v>259</v>
      </c>
      <c r="B34" s="18" t="s">
        <v>148</v>
      </c>
      <c r="C34" s="19" t="s">
        <v>260</v>
      </c>
      <c r="D34" s="20"/>
      <c r="E34" s="20">
        <v>238</v>
      </c>
      <c r="F34" s="20">
        <v>3</v>
      </c>
      <c r="G34" s="20"/>
      <c r="H34" s="20">
        <v>2</v>
      </c>
      <c r="I34" s="20"/>
      <c r="J34" s="20"/>
      <c r="K34" s="20">
        <v>226</v>
      </c>
      <c r="L34" s="20">
        <v>0</v>
      </c>
      <c r="M34" s="20"/>
      <c r="N34" s="20"/>
      <c r="O34" s="20"/>
      <c r="P34" s="20"/>
      <c r="Q34" s="22">
        <v>8172.25</v>
      </c>
      <c r="R34" s="22">
        <v>159.5</v>
      </c>
      <c r="S34" s="22"/>
      <c r="T34" s="22">
        <v>72</v>
      </c>
      <c r="U34" s="22"/>
      <c r="V34" s="22"/>
      <c r="W34" s="22">
        <v>7599.75</v>
      </c>
      <c r="X34" s="22">
        <v>0</v>
      </c>
      <c r="Y34" s="22"/>
      <c r="Z34" s="22"/>
      <c r="AA34" s="22"/>
      <c r="AB34" s="22"/>
    </row>
    <row r="35" spans="1:28" ht="15" customHeight="1" x14ac:dyDescent="0.2">
      <c r="A35" s="26" t="s">
        <v>263</v>
      </c>
      <c r="B35" s="27" t="s">
        <v>148</v>
      </c>
      <c r="C35" s="28" t="s">
        <v>264</v>
      </c>
      <c r="D35" s="29">
        <v>55</v>
      </c>
      <c r="E35" s="29">
        <v>5454</v>
      </c>
      <c r="F35" s="29">
        <v>44</v>
      </c>
      <c r="G35" s="29"/>
      <c r="H35" s="29">
        <v>441</v>
      </c>
      <c r="I35" s="29">
        <v>3429.75</v>
      </c>
      <c r="J35" s="29">
        <v>531.75</v>
      </c>
      <c r="K35" s="29">
        <v>83</v>
      </c>
      <c r="L35" s="29">
        <v>635.5</v>
      </c>
      <c r="M35" s="29">
        <v>192</v>
      </c>
      <c r="N35" s="29"/>
      <c r="O35" s="29"/>
      <c r="P35" s="29"/>
      <c r="Q35" s="31">
        <v>146699.25</v>
      </c>
      <c r="R35" s="31">
        <v>2160</v>
      </c>
      <c r="S35" s="31"/>
      <c r="T35" s="31">
        <v>14102</v>
      </c>
      <c r="U35" s="31">
        <v>86788</v>
      </c>
      <c r="V35" s="31">
        <v>13510.25</v>
      </c>
      <c r="W35" s="31">
        <v>2784</v>
      </c>
      <c r="X35" s="31">
        <v>15056.5</v>
      </c>
      <c r="Y35" s="31">
        <v>7174</v>
      </c>
      <c r="Z35" s="31"/>
      <c r="AA35" s="31"/>
      <c r="AB35" s="31"/>
    </row>
    <row r="36" spans="1:28" ht="15" customHeight="1" x14ac:dyDescent="0.2">
      <c r="A36" s="17" t="s">
        <v>266</v>
      </c>
      <c r="B36" s="18" t="s">
        <v>148</v>
      </c>
      <c r="C36" s="19" t="s">
        <v>268</v>
      </c>
      <c r="D36" s="20">
        <v>108</v>
      </c>
      <c r="E36" s="20">
        <v>14566.5</v>
      </c>
      <c r="F36" s="20">
        <v>100</v>
      </c>
      <c r="G36" s="20"/>
      <c r="H36" s="20">
        <v>4339</v>
      </c>
      <c r="I36" s="20">
        <v>6131</v>
      </c>
      <c r="J36" s="20">
        <v>1290</v>
      </c>
      <c r="K36" s="20">
        <v>217</v>
      </c>
      <c r="L36" s="20">
        <v>1697.5</v>
      </c>
      <c r="M36" s="20">
        <v>424.5</v>
      </c>
      <c r="N36" s="20">
        <v>69</v>
      </c>
      <c r="O36" s="20"/>
      <c r="P36" s="20"/>
      <c r="Q36" s="22">
        <v>467297.5</v>
      </c>
      <c r="R36" s="22">
        <v>5242</v>
      </c>
      <c r="S36" s="22"/>
      <c r="T36" s="22">
        <v>145642.91</v>
      </c>
      <c r="U36" s="22">
        <v>187351.59</v>
      </c>
      <c r="V36" s="22">
        <v>33336</v>
      </c>
      <c r="W36" s="22">
        <v>7098</v>
      </c>
      <c r="X36" s="22">
        <v>53432</v>
      </c>
      <c r="Y36" s="22">
        <v>15740.5</v>
      </c>
      <c r="Z36" s="22">
        <v>2447</v>
      </c>
      <c r="AA36" s="22"/>
      <c r="AB36" s="22"/>
    </row>
    <row r="37" spans="1:28" ht="15" customHeight="1" x14ac:dyDescent="0.2">
      <c r="A37" s="26" t="s">
        <v>270</v>
      </c>
      <c r="B37" s="27" t="s">
        <v>148</v>
      </c>
      <c r="C37" s="28" t="s">
        <v>271</v>
      </c>
      <c r="D37" s="29">
        <v>75</v>
      </c>
      <c r="E37" s="29">
        <v>7093</v>
      </c>
      <c r="F37" s="29">
        <v>33</v>
      </c>
      <c r="G37" s="29"/>
      <c r="H37" s="29">
        <v>361</v>
      </c>
      <c r="I37" s="29">
        <v>4990</v>
      </c>
      <c r="J37" s="29">
        <v>651</v>
      </c>
      <c r="K37" s="29">
        <v>41</v>
      </c>
      <c r="L37" s="29">
        <v>585.5</v>
      </c>
      <c r="M37" s="29">
        <v>284.5</v>
      </c>
      <c r="N37" s="29"/>
      <c r="O37" s="29"/>
      <c r="P37" s="29"/>
      <c r="Q37" s="31">
        <v>194340.5</v>
      </c>
      <c r="R37" s="31">
        <v>1676</v>
      </c>
      <c r="S37" s="31"/>
      <c r="T37" s="31">
        <v>12475</v>
      </c>
      <c r="U37" s="31">
        <v>128045</v>
      </c>
      <c r="V37" s="31">
        <v>16956.5</v>
      </c>
      <c r="W37" s="31">
        <v>1625.5</v>
      </c>
      <c r="X37" s="31">
        <v>13633.5</v>
      </c>
      <c r="Y37" s="31">
        <v>12026.5</v>
      </c>
      <c r="Z37" s="31"/>
      <c r="AA37" s="31"/>
      <c r="AB37" s="31"/>
    </row>
    <row r="38" spans="1:28" ht="15" customHeight="1" x14ac:dyDescent="0.2">
      <c r="A38" s="17" t="s">
        <v>272</v>
      </c>
      <c r="B38" s="18" t="s">
        <v>148</v>
      </c>
      <c r="C38" s="19" t="s">
        <v>273</v>
      </c>
      <c r="D38" s="20">
        <v>89</v>
      </c>
      <c r="E38" s="20">
        <v>10969</v>
      </c>
      <c r="F38" s="20">
        <v>69.5</v>
      </c>
      <c r="G38" s="20"/>
      <c r="H38" s="20">
        <v>1749.5</v>
      </c>
      <c r="I38" s="20">
        <v>5253</v>
      </c>
      <c r="J38" s="20">
        <v>922.5</v>
      </c>
      <c r="K38" s="20">
        <v>275</v>
      </c>
      <c r="L38" s="20">
        <v>1645</v>
      </c>
      <c r="M38" s="20">
        <v>288</v>
      </c>
      <c r="N38" s="20">
        <v>489</v>
      </c>
      <c r="O38" s="20"/>
      <c r="P38" s="20"/>
      <c r="Q38" s="22">
        <v>325026</v>
      </c>
      <c r="R38" s="22">
        <v>3510.5</v>
      </c>
      <c r="S38" s="22"/>
      <c r="T38" s="22">
        <v>55409</v>
      </c>
      <c r="U38" s="22">
        <v>146478</v>
      </c>
      <c r="V38" s="22">
        <v>25473</v>
      </c>
      <c r="W38" s="22">
        <v>9705</v>
      </c>
      <c r="X38" s="22">
        <v>45112</v>
      </c>
      <c r="Y38" s="22">
        <v>10649.5</v>
      </c>
      <c r="Z38" s="22">
        <v>13291</v>
      </c>
      <c r="AA38" s="22"/>
      <c r="AB38" s="22"/>
    </row>
    <row r="39" spans="1:28" ht="15" customHeight="1" x14ac:dyDescent="0.2">
      <c r="A39" s="26" t="s">
        <v>275</v>
      </c>
      <c r="B39" s="27" t="s">
        <v>148</v>
      </c>
      <c r="C39" s="28" t="s">
        <v>276</v>
      </c>
      <c r="D39" s="29">
        <v>78</v>
      </c>
      <c r="E39" s="29">
        <v>7722.75</v>
      </c>
      <c r="F39" s="29">
        <v>30.5</v>
      </c>
      <c r="G39" s="29"/>
      <c r="H39" s="29">
        <v>195.5</v>
      </c>
      <c r="I39" s="29">
        <v>5294.75</v>
      </c>
      <c r="J39" s="29">
        <v>741.5</v>
      </c>
      <c r="K39" s="29">
        <v>135.5</v>
      </c>
      <c r="L39" s="29">
        <v>991</v>
      </c>
      <c r="M39" s="29">
        <v>249</v>
      </c>
      <c r="N39" s="29"/>
      <c r="O39" s="29"/>
      <c r="P39" s="29"/>
      <c r="Q39" s="31">
        <v>219024.35</v>
      </c>
      <c r="R39" s="31">
        <v>1590.75</v>
      </c>
      <c r="S39" s="31"/>
      <c r="T39" s="31">
        <v>6720</v>
      </c>
      <c r="U39" s="31">
        <v>150429.23000000001</v>
      </c>
      <c r="V39" s="31">
        <v>17219.5</v>
      </c>
      <c r="W39" s="31">
        <v>4551.5</v>
      </c>
      <c r="X39" s="31">
        <v>23970.37</v>
      </c>
      <c r="Y39" s="31">
        <v>9685</v>
      </c>
      <c r="Z39" s="31"/>
      <c r="AA39" s="31"/>
      <c r="AB39" s="31"/>
    </row>
    <row r="40" spans="1:28" ht="15" customHeight="1" x14ac:dyDescent="0.2">
      <c r="A40" s="17" t="s">
        <v>277</v>
      </c>
      <c r="B40" s="18" t="s">
        <v>148</v>
      </c>
      <c r="C40" s="19" t="s">
        <v>278</v>
      </c>
      <c r="D40" s="20">
        <v>158</v>
      </c>
      <c r="E40" s="20">
        <v>14541</v>
      </c>
      <c r="F40" s="20">
        <v>183.5</v>
      </c>
      <c r="G40" s="20"/>
      <c r="H40" s="20">
        <v>2190.5</v>
      </c>
      <c r="I40" s="20">
        <v>8560.5</v>
      </c>
      <c r="J40" s="20">
        <v>2528.5</v>
      </c>
      <c r="K40" s="20"/>
      <c r="L40" s="20">
        <v>698.5</v>
      </c>
      <c r="M40" s="20">
        <v>125</v>
      </c>
      <c r="N40" s="20"/>
      <c r="O40" s="20"/>
      <c r="P40" s="20"/>
      <c r="Q40" s="22">
        <v>404811.73</v>
      </c>
      <c r="R40" s="22">
        <v>9511.5</v>
      </c>
      <c r="S40" s="22"/>
      <c r="T40" s="22">
        <v>61256.25</v>
      </c>
      <c r="U40" s="22">
        <v>227602.48</v>
      </c>
      <c r="V40" s="22">
        <v>67247</v>
      </c>
      <c r="W40" s="22"/>
      <c r="X40" s="22">
        <v>21040.5</v>
      </c>
      <c r="Y40" s="22">
        <v>4376</v>
      </c>
      <c r="Z40" s="22"/>
      <c r="AA40" s="22"/>
      <c r="AB40" s="22"/>
    </row>
    <row r="41" spans="1:28" ht="15" customHeight="1" x14ac:dyDescent="0.2">
      <c r="A41" s="26" t="s">
        <v>280</v>
      </c>
      <c r="B41" s="27" t="s">
        <v>148</v>
      </c>
      <c r="C41" s="28" t="s">
        <v>281</v>
      </c>
      <c r="D41" s="29">
        <v>110</v>
      </c>
      <c r="E41" s="29">
        <v>12479.5</v>
      </c>
      <c r="F41" s="29">
        <v>69</v>
      </c>
      <c r="G41" s="29"/>
      <c r="H41" s="29">
        <v>1009</v>
      </c>
      <c r="I41" s="29">
        <v>7414.5</v>
      </c>
      <c r="J41" s="29">
        <v>1052.5</v>
      </c>
      <c r="K41" s="29">
        <v>136.5</v>
      </c>
      <c r="L41" s="29">
        <v>2333</v>
      </c>
      <c r="M41" s="29">
        <v>272.5</v>
      </c>
      <c r="N41" s="29">
        <v>20.5</v>
      </c>
      <c r="O41" s="29"/>
      <c r="P41" s="29"/>
      <c r="Q41" s="31">
        <v>349617.68</v>
      </c>
      <c r="R41" s="31">
        <v>3541</v>
      </c>
      <c r="S41" s="31"/>
      <c r="T41" s="31">
        <v>30105.5</v>
      </c>
      <c r="U41" s="31">
        <v>199226.75</v>
      </c>
      <c r="V41" s="31">
        <v>36570</v>
      </c>
      <c r="W41" s="31">
        <v>5168.5</v>
      </c>
      <c r="X41" s="31">
        <v>54625.61</v>
      </c>
      <c r="Y41" s="31">
        <v>9940.82</v>
      </c>
      <c r="Z41" s="31">
        <v>722.5</v>
      </c>
      <c r="AA41" s="31"/>
      <c r="AB41" s="31"/>
    </row>
    <row r="42" spans="1:28" ht="15" customHeight="1" x14ac:dyDescent="0.2">
      <c r="A42" s="17" t="s">
        <v>282</v>
      </c>
      <c r="B42" s="18" t="s">
        <v>148</v>
      </c>
      <c r="C42" s="19" t="s">
        <v>283</v>
      </c>
      <c r="D42" s="20">
        <v>70</v>
      </c>
      <c r="E42" s="20">
        <v>5837</v>
      </c>
      <c r="F42" s="20">
        <v>49.5</v>
      </c>
      <c r="G42" s="20"/>
      <c r="H42" s="20">
        <v>0</v>
      </c>
      <c r="I42" s="20">
        <v>4762</v>
      </c>
      <c r="J42" s="20">
        <v>923.5</v>
      </c>
      <c r="K42" s="20"/>
      <c r="L42" s="20">
        <v>0</v>
      </c>
      <c r="M42" s="20">
        <v>0</v>
      </c>
      <c r="N42" s="20">
        <v>0</v>
      </c>
      <c r="O42" s="20"/>
      <c r="P42" s="20"/>
      <c r="Q42" s="22">
        <v>150690.75</v>
      </c>
      <c r="R42" s="22">
        <v>2402</v>
      </c>
      <c r="S42" s="22"/>
      <c r="T42" s="22">
        <v>0</v>
      </c>
      <c r="U42" s="22">
        <v>119374</v>
      </c>
      <c r="V42" s="22">
        <v>23539.75</v>
      </c>
      <c r="W42" s="22"/>
      <c r="X42" s="22">
        <v>0</v>
      </c>
      <c r="Y42" s="22">
        <v>0</v>
      </c>
      <c r="Z42" s="22">
        <v>0</v>
      </c>
      <c r="AA42" s="22"/>
      <c r="AB42" s="22"/>
    </row>
    <row r="43" spans="1:28" ht="15" customHeight="1" x14ac:dyDescent="0.2">
      <c r="A43" s="26" t="s">
        <v>284</v>
      </c>
      <c r="B43" s="27" t="s">
        <v>148</v>
      </c>
      <c r="C43" s="28" t="s">
        <v>283</v>
      </c>
      <c r="D43" s="29">
        <v>72</v>
      </c>
      <c r="E43" s="29">
        <v>4658.5</v>
      </c>
      <c r="F43" s="29">
        <v>63.5</v>
      </c>
      <c r="G43" s="29"/>
      <c r="H43" s="29">
        <v>0</v>
      </c>
      <c r="I43" s="29">
        <v>3279.5</v>
      </c>
      <c r="J43" s="29">
        <v>1224.5</v>
      </c>
      <c r="K43" s="29"/>
      <c r="L43" s="29"/>
      <c r="M43" s="29"/>
      <c r="N43" s="29"/>
      <c r="O43" s="29"/>
      <c r="P43" s="29"/>
      <c r="Q43" s="31">
        <v>117360.75</v>
      </c>
      <c r="R43" s="31">
        <v>3089.5</v>
      </c>
      <c r="S43" s="31"/>
      <c r="T43" s="31">
        <v>0</v>
      </c>
      <c r="U43" s="31">
        <v>82885.25</v>
      </c>
      <c r="V43" s="31">
        <v>26670.5</v>
      </c>
      <c r="W43" s="31"/>
      <c r="X43" s="31"/>
      <c r="Y43" s="31"/>
      <c r="Z43" s="31"/>
      <c r="AA43" s="31"/>
      <c r="AB43" s="31"/>
    </row>
    <row r="44" spans="1:28" ht="15" customHeight="1" x14ac:dyDescent="0.2">
      <c r="A44" s="17" t="s">
        <v>285</v>
      </c>
      <c r="B44" s="18" t="s">
        <v>148</v>
      </c>
      <c r="C44" s="19" t="s">
        <v>283</v>
      </c>
      <c r="D44" s="20">
        <v>296</v>
      </c>
      <c r="E44" s="20">
        <v>21791.25</v>
      </c>
      <c r="F44" s="20">
        <v>77.5</v>
      </c>
      <c r="G44" s="20"/>
      <c r="H44" s="20">
        <v>1082</v>
      </c>
      <c r="I44" s="20">
        <v>14406</v>
      </c>
      <c r="J44" s="20">
        <v>3028.5</v>
      </c>
      <c r="K44" s="20">
        <v>391</v>
      </c>
      <c r="L44" s="20">
        <v>2253</v>
      </c>
      <c r="M44" s="20">
        <v>371.25</v>
      </c>
      <c r="N44" s="20">
        <v>16</v>
      </c>
      <c r="O44" s="20"/>
      <c r="P44" s="20"/>
      <c r="Q44" s="22">
        <v>568449.55000000005</v>
      </c>
      <c r="R44" s="22">
        <v>3977.5</v>
      </c>
      <c r="S44" s="22"/>
      <c r="T44" s="22">
        <v>30705</v>
      </c>
      <c r="U44" s="22">
        <v>361459.35</v>
      </c>
      <c r="V44" s="22">
        <v>83036.25</v>
      </c>
      <c r="W44" s="22">
        <v>11964.5</v>
      </c>
      <c r="X44" s="22">
        <v>55727.75</v>
      </c>
      <c r="Y44" s="22">
        <v>11736.7</v>
      </c>
      <c r="Z44" s="22">
        <v>530</v>
      </c>
      <c r="AA44" s="22"/>
      <c r="AB44" s="22"/>
    </row>
    <row r="45" spans="1:28" ht="15" customHeight="1" x14ac:dyDescent="0.2">
      <c r="A45" s="26" t="s">
        <v>286</v>
      </c>
      <c r="B45" s="27" t="s">
        <v>148</v>
      </c>
      <c r="C45" s="28" t="s">
        <v>283</v>
      </c>
      <c r="D45" s="29">
        <v>50</v>
      </c>
      <c r="E45" s="29">
        <v>5681.5</v>
      </c>
      <c r="F45" s="29">
        <v>26</v>
      </c>
      <c r="G45" s="29"/>
      <c r="H45" s="29">
        <v>1232.5</v>
      </c>
      <c r="I45" s="29">
        <v>2862.5</v>
      </c>
      <c r="J45" s="29">
        <v>503</v>
      </c>
      <c r="K45" s="29">
        <v>178</v>
      </c>
      <c r="L45" s="29">
        <v>473</v>
      </c>
      <c r="M45" s="29">
        <v>254.5</v>
      </c>
      <c r="N45" s="29"/>
      <c r="O45" s="29"/>
      <c r="P45" s="29"/>
      <c r="Q45" s="31">
        <v>163505.5</v>
      </c>
      <c r="R45" s="31">
        <v>1419.75</v>
      </c>
      <c r="S45" s="31"/>
      <c r="T45" s="31">
        <v>36704.5</v>
      </c>
      <c r="U45" s="31">
        <v>78450</v>
      </c>
      <c r="V45" s="31">
        <v>12091.25</v>
      </c>
      <c r="W45" s="31">
        <v>5268.5</v>
      </c>
      <c r="X45" s="31">
        <v>11432.5</v>
      </c>
      <c r="Y45" s="31">
        <v>9014</v>
      </c>
      <c r="Z45" s="31"/>
      <c r="AA45" s="31"/>
      <c r="AB45" s="31"/>
    </row>
    <row r="46" spans="1:28" ht="15" customHeight="1" x14ac:dyDescent="0.2">
      <c r="A46" s="17" t="s">
        <v>287</v>
      </c>
      <c r="B46" s="18" t="s">
        <v>148</v>
      </c>
      <c r="C46" s="19" t="s">
        <v>288</v>
      </c>
      <c r="D46" s="20">
        <v>163</v>
      </c>
      <c r="E46" s="20">
        <v>18720.5</v>
      </c>
      <c r="F46" s="20">
        <v>115.5</v>
      </c>
      <c r="G46" s="20"/>
      <c r="H46" s="20">
        <v>3250.5</v>
      </c>
      <c r="I46" s="20">
        <v>10088</v>
      </c>
      <c r="J46" s="20">
        <v>2738.5</v>
      </c>
      <c r="K46" s="20">
        <v>0</v>
      </c>
      <c r="L46" s="20">
        <v>1721.5</v>
      </c>
      <c r="M46" s="20">
        <v>455.5</v>
      </c>
      <c r="N46" s="20">
        <v>16</v>
      </c>
      <c r="O46" s="20"/>
      <c r="P46" s="20"/>
      <c r="Q46" s="22">
        <v>536090.56999999995</v>
      </c>
      <c r="R46" s="22">
        <v>6172.5</v>
      </c>
      <c r="S46" s="22"/>
      <c r="T46" s="22">
        <v>100944.32000000001</v>
      </c>
      <c r="U46" s="22">
        <v>261842.25</v>
      </c>
      <c r="V46" s="22">
        <v>74007.5</v>
      </c>
      <c r="W46" s="22">
        <v>10694</v>
      </c>
      <c r="X46" s="22">
        <v>46255</v>
      </c>
      <c r="Y46" s="22">
        <v>16058</v>
      </c>
      <c r="Z46" s="22">
        <v>416</v>
      </c>
      <c r="AA46" s="22"/>
      <c r="AB46" s="22"/>
    </row>
    <row r="47" spans="1:28" ht="15" customHeight="1" x14ac:dyDescent="0.2">
      <c r="A47" s="26" t="s">
        <v>289</v>
      </c>
      <c r="B47" s="27" t="s">
        <v>148</v>
      </c>
      <c r="C47" s="28" t="s">
        <v>290</v>
      </c>
      <c r="D47" s="29">
        <v>107</v>
      </c>
      <c r="E47" s="29">
        <v>15292.5</v>
      </c>
      <c r="F47" s="29">
        <v>0</v>
      </c>
      <c r="G47" s="29"/>
      <c r="H47" s="29">
        <v>1840</v>
      </c>
      <c r="I47" s="29">
        <v>7137.5</v>
      </c>
      <c r="J47" s="29">
        <v>1130</v>
      </c>
      <c r="K47" s="29">
        <v>103</v>
      </c>
      <c r="L47" s="29">
        <v>4536.5</v>
      </c>
      <c r="M47" s="29">
        <v>320</v>
      </c>
      <c r="N47" s="29"/>
      <c r="O47" s="29"/>
      <c r="P47" s="29"/>
      <c r="Q47" s="31">
        <v>443242.25</v>
      </c>
      <c r="R47" s="31">
        <v>5783</v>
      </c>
      <c r="S47" s="31"/>
      <c r="T47" s="31">
        <v>56187</v>
      </c>
      <c r="U47" s="31">
        <v>201052.75</v>
      </c>
      <c r="V47" s="31">
        <v>34751</v>
      </c>
      <c r="W47" s="31">
        <v>4126.5</v>
      </c>
      <c r="X47" s="31">
        <v>117138.5</v>
      </c>
      <c r="Y47" s="31">
        <v>11567</v>
      </c>
      <c r="Z47" s="31"/>
      <c r="AA47" s="31"/>
      <c r="AB47" s="31"/>
    </row>
    <row r="48" spans="1:28" ht="15" customHeight="1" x14ac:dyDescent="0.2">
      <c r="A48" s="17" t="s">
        <v>292</v>
      </c>
      <c r="B48" s="18" t="s">
        <v>148</v>
      </c>
      <c r="C48" s="19" t="s">
        <v>293</v>
      </c>
      <c r="D48" s="20">
        <v>136</v>
      </c>
      <c r="E48" s="20">
        <v>19334</v>
      </c>
      <c r="F48" s="20">
        <v>27</v>
      </c>
      <c r="G48" s="20"/>
      <c r="H48" s="20">
        <v>3053</v>
      </c>
      <c r="I48" s="20">
        <v>11273.5</v>
      </c>
      <c r="J48" s="20">
        <v>2180.5</v>
      </c>
      <c r="K48" s="20">
        <v>425.5</v>
      </c>
      <c r="L48" s="20">
        <v>1563.5</v>
      </c>
      <c r="M48" s="20">
        <v>527</v>
      </c>
      <c r="N48" s="20">
        <v>3</v>
      </c>
      <c r="O48" s="20"/>
      <c r="P48" s="20"/>
      <c r="Q48" s="22">
        <v>557411.5</v>
      </c>
      <c r="R48" s="22">
        <v>1448.5</v>
      </c>
      <c r="S48" s="22"/>
      <c r="T48" s="22">
        <v>100555.5</v>
      </c>
      <c r="U48" s="22">
        <v>301988</v>
      </c>
      <c r="V48" s="22">
        <v>58885.5</v>
      </c>
      <c r="W48" s="22">
        <v>13994</v>
      </c>
      <c r="X48" s="22">
        <v>46415.5</v>
      </c>
      <c r="Y48" s="22">
        <v>17521.5</v>
      </c>
      <c r="Z48" s="22">
        <v>106</v>
      </c>
      <c r="AA48" s="22"/>
      <c r="AB48" s="22"/>
    </row>
    <row r="49" spans="1:28" ht="15" customHeight="1" x14ac:dyDescent="0.2">
      <c r="A49" s="26" t="s">
        <v>295</v>
      </c>
      <c r="B49" s="27" t="s">
        <v>148</v>
      </c>
      <c r="C49" s="28" t="s">
        <v>296</v>
      </c>
      <c r="D49" s="29">
        <v>68</v>
      </c>
      <c r="E49" s="29">
        <v>8861.5</v>
      </c>
      <c r="F49" s="29">
        <v>54</v>
      </c>
      <c r="G49" s="29"/>
      <c r="H49" s="29">
        <v>361.5</v>
      </c>
      <c r="I49" s="29">
        <v>4894.5</v>
      </c>
      <c r="J49" s="29">
        <v>0</v>
      </c>
      <c r="K49" s="29">
        <v>210</v>
      </c>
      <c r="L49" s="29">
        <v>2949.5</v>
      </c>
      <c r="M49" s="29">
        <v>320</v>
      </c>
      <c r="N49" s="29"/>
      <c r="O49" s="29"/>
      <c r="P49" s="29"/>
      <c r="Q49" s="31">
        <v>282896.5</v>
      </c>
      <c r="R49" s="31">
        <v>2903.5</v>
      </c>
      <c r="S49" s="31"/>
      <c r="T49" s="31">
        <v>13215.5</v>
      </c>
      <c r="U49" s="31">
        <v>147001.5</v>
      </c>
      <c r="V49" s="31">
        <v>21750</v>
      </c>
      <c r="W49" s="31">
        <v>6735</v>
      </c>
      <c r="X49" s="31">
        <v>74881.5</v>
      </c>
      <c r="Y49" s="31">
        <v>12228</v>
      </c>
      <c r="Z49" s="31"/>
      <c r="AA49" s="31"/>
      <c r="AB49" s="31"/>
    </row>
    <row r="50" spans="1:28" ht="15" customHeight="1" x14ac:dyDescent="0.2">
      <c r="A50" s="17" t="s">
        <v>298</v>
      </c>
      <c r="B50" s="18" t="s">
        <v>148</v>
      </c>
      <c r="C50" s="19" t="s">
        <v>299</v>
      </c>
      <c r="D50" s="20">
        <v>98</v>
      </c>
      <c r="E50" s="20">
        <v>9850.5</v>
      </c>
      <c r="F50" s="20">
        <v>27</v>
      </c>
      <c r="G50" s="20"/>
      <c r="H50" s="20">
        <v>1055.5</v>
      </c>
      <c r="I50" s="20">
        <v>5631</v>
      </c>
      <c r="J50" s="20">
        <v>1020.5</v>
      </c>
      <c r="K50" s="20">
        <v>210.5</v>
      </c>
      <c r="L50" s="20">
        <v>1130</v>
      </c>
      <c r="M50" s="20">
        <v>673.5</v>
      </c>
      <c r="N50" s="20"/>
      <c r="O50" s="20"/>
      <c r="P50" s="20"/>
      <c r="Q50" s="22">
        <v>334415.5</v>
      </c>
      <c r="R50" s="22">
        <v>1582</v>
      </c>
      <c r="S50" s="22"/>
      <c r="T50" s="22">
        <v>38666.5</v>
      </c>
      <c r="U50" s="22">
        <v>182281.5</v>
      </c>
      <c r="V50" s="22">
        <v>32494.5</v>
      </c>
      <c r="W50" s="22">
        <v>7800</v>
      </c>
      <c r="X50" s="22">
        <v>37064.5</v>
      </c>
      <c r="Y50" s="22">
        <v>28376</v>
      </c>
      <c r="Z50" s="22"/>
      <c r="AA50" s="22"/>
      <c r="AB50" s="22"/>
    </row>
    <row r="51" spans="1:28" ht="15" customHeight="1" x14ac:dyDescent="0.2">
      <c r="A51" s="26" t="s">
        <v>300</v>
      </c>
      <c r="B51" s="27" t="s">
        <v>148</v>
      </c>
      <c r="C51" s="28" t="s">
        <v>301</v>
      </c>
      <c r="D51" s="29">
        <v>321</v>
      </c>
      <c r="E51" s="29">
        <v>16334</v>
      </c>
      <c r="F51" s="29">
        <v>150</v>
      </c>
      <c r="G51" s="29"/>
      <c r="H51" s="29">
        <v>6270.5</v>
      </c>
      <c r="I51" s="29">
        <v>0</v>
      </c>
      <c r="J51" s="29">
        <v>3715</v>
      </c>
      <c r="K51" s="29">
        <v>365</v>
      </c>
      <c r="L51" s="29">
        <v>4485.5</v>
      </c>
      <c r="M51" s="29">
        <v>814.5</v>
      </c>
      <c r="N51" s="29"/>
      <c r="O51" s="29"/>
      <c r="P51" s="29"/>
      <c r="Q51" s="31">
        <v>1358055.41</v>
      </c>
      <c r="R51" s="31">
        <v>8525.5</v>
      </c>
      <c r="S51" s="31"/>
      <c r="T51" s="31">
        <v>205202.75</v>
      </c>
      <c r="U51" s="31">
        <v>802553.37</v>
      </c>
      <c r="V51" s="31">
        <v>119715</v>
      </c>
      <c r="W51" s="31">
        <v>12589</v>
      </c>
      <c r="X51" s="31">
        <v>142511.29</v>
      </c>
      <c r="Y51" s="31">
        <v>35212</v>
      </c>
      <c r="Z51" s="31"/>
      <c r="AA51" s="31"/>
      <c r="AB51" s="31"/>
    </row>
    <row r="52" spans="1:28" ht="15" customHeight="1" x14ac:dyDescent="0.2">
      <c r="A52" s="17" t="s">
        <v>302</v>
      </c>
      <c r="B52" s="18" t="s">
        <v>148</v>
      </c>
      <c r="C52" s="19" t="s">
        <v>303</v>
      </c>
      <c r="D52" s="20">
        <v>111</v>
      </c>
      <c r="E52" s="20">
        <v>7091</v>
      </c>
      <c r="F52" s="20">
        <v>65</v>
      </c>
      <c r="G52" s="20"/>
      <c r="H52" s="20">
        <v>1401</v>
      </c>
      <c r="I52" s="20">
        <v>3219.5</v>
      </c>
      <c r="J52" s="20">
        <v>685.5</v>
      </c>
      <c r="K52" s="20">
        <v>255</v>
      </c>
      <c r="L52" s="20">
        <v>1157.5</v>
      </c>
      <c r="M52" s="20">
        <v>138.5</v>
      </c>
      <c r="N52" s="20"/>
      <c r="O52" s="20"/>
      <c r="P52" s="20"/>
      <c r="Q52" s="22">
        <v>221400.5</v>
      </c>
      <c r="R52" s="22">
        <v>3488.5</v>
      </c>
      <c r="S52" s="22"/>
      <c r="T52" s="22">
        <v>45342</v>
      </c>
      <c r="U52" s="22">
        <v>96775</v>
      </c>
      <c r="V52" s="22">
        <v>17090.5</v>
      </c>
      <c r="W52" s="22">
        <v>8361</v>
      </c>
      <c r="X52" s="22">
        <v>35756</v>
      </c>
      <c r="Y52" s="22">
        <v>5049.5</v>
      </c>
      <c r="Z52" s="22"/>
      <c r="AA52" s="22"/>
      <c r="AB52" s="22"/>
    </row>
    <row r="53" spans="1:28" ht="15" customHeight="1" x14ac:dyDescent="0.2">
      <c r="A53" s="26" t="s">
        <v>304</v>
      </c>
      <c r="B53" s="27" t="s">
        <v>148</v>
      </c>
      <c r="C53" s="28" t="s">
        <v>305</v>
      </c>
      <c r="D53" s="29">
        <v>77</v>
      </c>
      <c r="E53" s="29">
        <v>8884.5</v>
      </c>
      <c r="F53" s="29">
        <v>30.5</v>
      </c>
      <c r="G53" s="29"/>
      <c r="H53" s="29">
        <v>207</v>
      </c>
      <c r="I53" s="29">
        <v>6483.5</v>
      </c>
      <c r="J53" s="29">
        <v>708</v>
      </c>
      <c r="K53" s="29">
        <v>201</v>
      </c>
      <c r="L53" s="29">
        <v>817</v>
      </c>
      <c r="M53" s="29">
        <v>332.5</v>
      </c>
      <c r="N53" s="29"/>
      <c r="O53" s="29"/>
      <c r="P53" s="29"/>
      <c r="Q53" s="31">
        <v>277607.5</v>
      </c>
      <c r="R53" s="31">
        <v>1731.5</v>
      </c>
      <c r="S53" s="31"/>
      <c r="T53" s="31">
        <v>8088</v>
      </c>
      <c r="U53" s="31">
        <v>195332</v>
      </c>
      <c r="V53" s="31">
        <v>25477</v>
      </c>
      <c r="W53" s="31">
        <v>5276</v>
      </c>
      <c r="X53" s="31">
        <v>22890</v>
      </c>
      <c r="Y53" s="31">
        <v>12628.5</v>
      </c>
      <c r="Z53" s="31"/>
      <c r="AA53" s="31"/>
      <c r="AB53" s="31"/>
    </row>
    <row r="54" spans="1:28" ht="15" customHeight="1" x14ac:dyDescent="0.2">
      <c r="A54" s="17" t="s">
        <v>306</v>
      </c>
      <c r="B54" s="18" t="s">
        <v>148</v>
      </c>
      <c r="C54" s="19" t="s">
        <v>307</v>
      </c>
      <c r="D54" s="20">
        <v>365</v>
      </c>
      <c r="E54" s="20">
        <v>37109.75</v>
      </c>
      <c r="F54" s="20">
        <v>194.5</v>
      </c>
      <c r="G54" s="20"/>
      <c r="H54" s="20">
        <v>5086</v>
      </c>
      <c r="I54" s="20">
        <v>21647.5</v>
      </c>
      <c r="J54" s="20">
        <v>5104</v>
      </c>
      <c r="K54" s="20">
        <v>183</v>
      </c>
      <c r="L54" s="20">
        <v>4536.75</v>
      </c>
      <c r="M54" s="20"/>
      <c r="N54" s="20">
        <v>11</v>
      </c>
      <c r="O54" s="20"/>
      <c r="P54" s="20"/>
      <c r="Q54" s="22">
        <v>1244296.75</v>
      </c>
      <c r="R54" s="22">
        <v>10931.5</v>
      </c>
      <c r="S54" s="22"/>
      <c r="T54" s="22">
        <v>202776.5</v>
      </c>
      <c r="U54" s="22">
        <v>700399</v>
      </c>
      <c r="V54" s="22">
        <v>171108.5</v>
      </c>
      <c r="W54" s="22">
        <v>7514</v>
      </c>
      <c r="X54" s="22">
        <v>131285.25</v>
      </c>
      <c r="Y54" s="22"/>
      <c r="Z54" s="22">
        <v>284</v>
      </c>
      <c r="AA54" s="22"/>
      <c r="AB54" s="22"/>
    </row>
    <row r="55" spans="1:28" ht="15" customHeight="1" x14ac:dyDescent="0.2">
      <c r="A55" s="26" t="s">
        <v>309</v>
      </c>
      <c r="B55" s="27" t="s">
        <v>148</v>
      </c>
      <c r="C55" s="28" t="s">
        <v>310</v>
      </c>
      <c r="D55" s="29">
        <v>270</v>
      </c>
      <c r="E55" s="29">
        <v>27144</v>
      </c>
      <c r="F55" s="29">
        <v>20</v>
      </c>
      <c r="G55" s="29"/>
      <c r="H55" s="29">
        <v>4791</v>
      </c>
      <c r="I55" s="29">
        <v>13201</v>
      </c>
      <c r="J55" s="29">
        <v>3366.5</v>
      </c>
      <c r="K55" s="29">
        <v>435</v>
      </c>
      <c r="L55" s="29">
        <v>3846</v>
      </c>
      <c r="M55" s="29">
        <v>966.5</v>
      </c>
      <c r="N55" s="29"/>
      <c r="O55" s="29"/>
      <c r="P55" s="29"/>
      <c r="Q55" s="31">
        <v>922171.59</v>
      </c>
      <c r="R55" s="31">
        <v>1166</v>
      </c>
      <c r="S55" s="31"/>
      <c r="T55" s="31">
        <v>180227.75</v>
      </c>
      <c r="U55" s="31">
        <v>422639.89</v>
      </c>
      <c r="V55" s="31">
        <v>107754</v>
      </c>
      <c r="W55" s="31">
        <v>17179.5</v>
      </c>
      <c r="X55" s="31">
        <v>114150.95</v>
      </c>
      <c r="Y55" s="31">
        <v>47501.5</v>
      </c>
      <c r="Z55" s="31"/>
      <c r="AA55" s="31"/>
      <c r="AB55" s="31"/>
    </row>
    <row r="56" spans="1:28" ht="15" customHeight="1" x14ac:dyDescent="0.2">
      <c r="A56" s="35" t="s">
        <v>312</v>
      </c>
      <c r="B56" s="36" t="s">
        <v>313</v>
      </c>
      <c r="C56" s="37" t="s">
        <v>314</v>
      </c>
      <c r="D56" s="38">
        <v>170</v>
      </c>
      <c r="E56" s="38">
        <v>38113.75</v>
      </c>
      <c r="F56" s="38">
        <v>149.5</v>
      </c>
      <c r="G56" s="38"/>
      <c r="H56" s="38">
        <v>4963.5</v>
      </c>
      <c r="I56" s="38">
        <v>22746.25</v>
      </c>
      <c r="J56" s="38">
        <v>5979</v>
      </c>
      <c r="K56" s="38">
        <v>490.5</v>
      </c>
      <c r="L56" s="38">
        <v>3297</v>
      </c>
      <c r="M56" s="38">
        <v>0</v>
      </c>
      <c r="N56" s="38">
        <v>0</v>
      </c>
      <c r="O56" s="38"/>
      <c r="P56" s="38"/>
      <c r="Q56" s="40">
        <v>1532523.96</v>
      </c>
      <c r="R56" s="40">
        <v>10219</v>
      </c>
      <c r="S56" s="40"/>
      <c r="T56" s="40">
        <v>221184.76</v>
      </c>
      <c r="U56" s="40">
        <v>797900.1</v>
      </c>
      <c r="V56" s="40">
        <v>222921</v>
      </c>
      <c r="W56" s="40">
        <v>23969.5</v>
      </c>
      <c r="X56" s="40">
        <v>120399.72</v>
      </c>
      <c r="Y56" s="40">
        <v>80791</v>
      </c>
      <c r="Z56" s="40">
        <v>0</v>
      </c>
      <c r="AA56" s="40"/>
      <c r="AB56" s="40"/>
    </row>
    <row r="57" spans="1:28" ht="15" customHeight="1" x14ac:dyDescent="0.2">
      <c r="A57" s="35" t="s">
        <v>316</v>
      </c>
      <c r="B57" s="36" t="s">
        <v>313</v>
      </c>
      <c r="C57" s="37" t="s">
        <v>317</v>
      </c>
      <c r="D57" s="38">
        <v>234</v>
      </c>
      <c r="E57" s="38">
        <v>41202.25</v>
      </c>
      <c r="F57" s="38">
        <v>171</v>
      </c>
      <c r="G57" s="38"/>
      <c r="H57" s="38">
        <v>6583</v>
      </c>
      <c r="I57" s="38">
        <v>24970.5</v>
      </c>
      <c r="J57" s="38">
        <v>2992</v>
      </c>
      <c r="K57" s="38">
        <v>430.75</v>
      </c>
      <c r="L57" s="38">
        <v>4098.75</v>
      </c>
      <c r="M57" s="38">
        <v>1081.25</v>
      </c>
      <c r="N57" s="38"/>
      <c r="O57" s="38"/>
      <c r="P57" s="38"/>
      <c r="Q57" s="40">
        <v>1811122.75</v>
      </c>
      <c r="R57" s="40">
        <v>11762</v>
      </c>
      <c r="S57" s="40"/>
      <c r="T57" s="40">
        <v>304379.75</v>
      </c>
      <c r="U57" s="40">
        <v>1041296.25</v>
      </c>
      <c r="V57" s="40">
        <v>132682.75</v>
      </c>
      <c r="W57" s="40">
        <v>21237.25</v>
      </c>
      <c r="X57" s="40">
        <v>185051</v>
      </c>
      <c r="Y57" s="40">
        <v>61170.75</v>
      </c>
      <c r="Z57" s="40"/>
      <c r="AA57" s="40"/>
      <c r="AB57" s="40"/>
    </row>
    <row r="58" spans="1:28" ht="15" customHeight="1" x14ac:dyDescent="0.2">
      <c r="A58" s="35" t="s">
        <v>319</v>
      </c>
      <c r="B58" s="36" t="s">
        <v>313</v>
      </c>
      <c r="C58" s="37" t="s">
        <v>320</v>
      </c>
      <c r="D58" s="38">
        <v>24</v>
      </c>
      <c r="E58" s="38">
        <v>4603.25</v>
      </c>
      <c r="F58" s="38">
        <v>63.5</v>
      </c>
      <c r="G58" s="38"/>
      <c r="H58" s="38">
        <v>290.5</v>
      </c>
      <c r="I58" s="38">
        <v>3215.75</v>
      </c>
      <c r="J58" s="38">
        <v>222.25</v>
      </c>
      <c r="K58" s="38">
        <v>82.25</v>
      </c>
      <c r="L58" s="38">
        <v>438.75</v>
      </c>
      <c r="M58" s="38">
        <v>136.75</v>
      </c>
      <c r="N58" s="38"/>
      <c r="O58" s="38"/>
      <c r="P58" s="38"/>
      <c r="Q58" s="40">
        <v>202081</v>
      </c>
      <c r="R58" s="40">
        <v>4363.5</v>
      </c>
      <c r="S58" s="40"/>
      <c r="T58" s="40">
        <v>15169.5</v>
      </c>
      <c r="U58" s="40">
        <v>132816</v>
      </c>
      <c r="V58" s="40">
        <v>10320.5</v>
      </c>
      <c r="W58" s="40">
        <v>3848</v>
      </c>
      <c r="X58" s="40">
        <v>17012.5</v>
      </c>
      <c r="Y58" s="40">
        <v>9336</v>
      </c>
      <c r="Z58" s="40"/>
      <c r="AA58" s="40"/>
      <c r="AB58" s="40"/>
    </row>
    <row r="59" spans="1:28" ht="15" customHeight="1" x14ac:dyDescent="0.2">
      <c r="A59" s="35" t="s">
        <v>322</v>
      </c>
      <c r="B59" s="36" t="s">
        <v>313</v>
      </c>
      <c r="C59" s="37" t="s">
        <v>323</v>
      </c>
      <c r="D59" s="38">
        <v>219</v>
      </c>
      <c r="E59" s="38">
        <v>49.5</v>
      </c>
      <c r="F59" s="38"/>
      <c r="G59" s="38"/>
      <c r="H59" s="38">
        <v>3</v>
      </c>
      <c r="I59" s="38"/>
      <c r="J59" s="38"/>
      <c r="K59" s="38"/>
      <c r="L59" s="38"/>
      <c r="M59" s="38">
        <v>3</v>
      </c>
      <c r="N59" s="38"/>
      <c r="O59" s="38"/>
      <c r="P59" s="38"/>
      <c r="Q59" s="40">
        <v>3422</v>
      </c>
      <c r="R59" s="40"/>
      <c r="S59" s="40"/>
      <c r="T59" s="40">
        <v>204</v>
      </c>
      <c r="U59" s="40"/>
      <c r="V59" s="40"/>
      <c r="W59" s="40"/>
      <c r="X59" s="40"/>
      <c r="Y59" s="40">
        <v>204</v>
      </c>
      <c r="Z59" s="40"/>
      <c r="AA59" s="40"/>
      <c r="AB59" s="40"/>
    </row>
    <row r="60" spans="1:28" ht="15" customHeight="1" x14ac:dyDescent="0.2">
      <c r="A60" s="35" t="s">
        <v>325</v>
      </c>
      <c r="B60" s="36" t="s">
        <v>313</v>
      </c>
      <c r="C60" s="37" t="s">
        <v>326</v>
      </c>
      <c r="D60" s="38">
        <v>146</v>
      </c>
      <c r="E60" s="38">
        <v>152</v>
      </c>
      <c r="F60" s="38">
        <v>1</v>
      </c>
      <c r="G60" s="38"/>
      <c r="H60" s="38"/>
      <c r="I60" s="38"/>
      <c r="J60" s="38"/>
      <c r="K60" s="38"/>
      <c r="L60" s="38"/>
      <c r="M60" s="38"/>
      <c r="N60" s="38"/>
      <c r="O60" s="38"/>
      <c r="P60" s="38"/>
      <c r="Q60" s="40">
        <v>9982.25</v>
      </c>
      <c r="R60" s="40">
        <v>69</v>
      </c>
      <c r="S60" s="40"/>
      <c r="T60" s="40"/>
      <c r="U60" s="40"/>
      <c r="V60" s="40"/>
      <c r="W60" s="40"/>
      <c r="X60" s="40"/>
      <c r="Y60" s="40"/>
      <c r="Z60" s="40"/>
      <c r="AA60" s="40"/>
      <c r="AB60" s="40"/>
    </row>
    <row r="61" spans="1:28" ht="15" customHeight="1" x14ac:dyDescent="0.2">
      <c r="A61" s="35" t="s">
        <v>327</v>
      </c>
      <c r="B61" s="36" t="s">
        <v>313</v>
      </c>
      <c r="C61" s="37" t="s">
        <v>328</v>
      </c>
      <c r="D61" s="38">
        <v>244</v>
      </c>
      <c r="E61" s="38">
        <v>24977.25</v>
      </c>
      <c r="F61" s="38">
        <v>136</v>
      </c>
      <c r="G61" s="38"/>
      <c r="H61" s="38">
        <v>5672.25</v>
      </c>
      <c r="I61" s="38">
        <v>14998</v>
      </c>
      <c r="J61" s="38">
        <v>1</v>
      </c>
      <c r="K61" s="38">
        <v>211.75</v>
      </c>
      <c r="L61" s="38">
        <v>2553</v>
      </c>
      <c r="M61" s="38">
        <v>642.25</v>
      </c>
      <c r="N61" s="38"/>
      <c r="O61" s="38"/>
      <c r="P61" s="38"/>
      <c r="Q61" s="40">
        <v>1100218.51</v>
      </c>
      <c r="R61" s="40">
        <v>9357</v>
      </c>
      <c r="S61" s="40"/>
      <c r="T61" s="40">
        <v>251655.25</v>
      </c>
      <c r="U61" s="40">
        <v>646310.26</v>
      </c>
      <c r="V61" s="40">
        <v>65</v>
      </c>
      <c r="W61" s="40">
        <v>7647.75</v>
      </c>
      <c r="X61" s="40">
        <v>108097.75</v>
      </c>
      <c r="Y61" s="40">
        <v>28970</v>
      </c>
      <c r="Z61" s="40"/>
      <c r="AA61" s="40"/>
      <c r="AB61" s="40"/>
    </row>
    <row r="62" spans="1:28" ht="15" customHeight="1" x14ac:dyDescent="0.2">
      <c r="A62" s="35" t="s">
        <v>329</v>
      </c>
      <c r="B62" s="36" t="s">
        <v>313</v>
      </c>
      <c r="C62" s="37" t="s">
        <v>331</v>
      </c>
      <c r="D62" s="38">
        <v>186</v>
      </c>
      <c r="E62" s="38">
        <v>8736.5</v>
      </c>
      <c r="F62" s="38">
        <v>35</v>
      </c>
      <c r="G62" s="38"/>
      <c r="H62" s="38">
        <v>2241</v>
      </c>
      <c r="I62" s="38">
        <v>5618.75</v>
      </c>
      <c r="J62" s="38"/>
      <c r="K62" s="38"/>
      <c r="L62" s="38">
        <v>413.75</v>
      </c>
      <c r="M62" s="38"/>
      <c r="N62" s="38"/>
      <c r="O62" s="38"/>
      <c r="P62" s="38"/>
      <c r="Q62" s="40">
        <v>378611.38</v>
      </c>
      <c r="R62" s="40">
        <v>2415</v>
      </c>
      <c r="S62" s="40"/>
      <c r="T62" s="40">
        <v>96312.38</v>
      </c>
      <c r="U62" s="40">
        <v>236097</v>
      </c>
      <c r="V62" s="40"/>
      <c r="W62" s="40"/>
      <c r="X62" s="40">
        <v>16804.5</v>
      </c>
      <c r="Y62" s="40"/>
      <c r="Z62" s="40"/>
      <c r="AA62" s="40"/>
      <c r="AB62" s="40"/>
    </row>
    <row r="63" spans="1:28" ht="15" customHeight="1" x14ac:dyDescent="0.2">
      <c r="A63" s="35" t="s">
        <v>334</v>
      </c>
      <c r="B63" s="36" t="s">
        <v>313</v>
      </c>
      <c r="C63" s="37" t="s">
        <v>335</v>
      </c>
      <c r="D63" s="38">
        <v>20</v>
      </c>
      <c r="E63" s="38">
        <v>2352</v>
      </c>
      <c r="F63" s="38">
        <v>53</v>
      </c>
      <c r="G63" s="38"/>
      <c r="H63" s="38">
        <v>186.5</v>
      </c>
      <c r="I63" s="38">
        <v>1689</v>
      </c>
      <c r="J63" s="38">
        <v>49.75</v>
      </c>
      <c r="K63" s="38"/>
      <c r="L63" s="38">
        <v>190</v>
      </c>
      <c r="M63" s="38">
        <v>12.75</v>
      </c>
      <c r="N63" s="38"/>
      <c r="O63" s="38"/>
      <c r="P63" s="38"/>
      <c r="Q63" s="40">
        <v>103520.5</v>
      </c>
      <c r="R63" s="40">
        <v>3612</v>
      </c>
      <c r="S63" s="40"/>
      <c r="T63" s="40">
        <v>8197.5</v>
      </c>
      <c r="U63" s="40">
        <v>67991</v>
      </c>
      <c r="V63" s="40">
        <v>2682.5</v>
      </c>
      <c r="W63" s="40"/>
      <c r="X63" s="40">
        <v>9882.75</v>
      </c>
      <c r="Y63" s="40">
        <v>535.5</v>
      </c>
      <c r="Z63" s="40"/>
      <c r="AA63" s="40"/>
      <c r="AB63" s="40"/>
    </row>
    <row r="64" spans="1:28" ht="15" customHeight="1" x14ac:dyDescent="0.2">
      <c r="A64" s="35" t="s">
        <v>338</v>
      </c>
      <c r="B64" s="36" t="s">
        <v>313</v>
      </c>
      <c r="C64" s="37" t="s">
        <v>339</v>
      </c>
      <c r="D64" s="38">
        <v>239</v>
      </c>
      <c r="E64" s="38">
        <v>114.25</v>
      </c>
      <c r="F64" s="38"/>
      <c r="G64" s="38"/>
      <c r="H64" s="38"/>
      <c r="I64" s="38"/>
      <c r="J64" s="38"/>
      <c r="K64" s="38"/>
      <c r="L64" s="38"/>
      <c r="M64" s="38"/>
      <c r="N64" s="38"/>
      <c r="O64" s="38"/>
      <c r="P64" s="38"/>
      <c r="Q64" s="40">
        <v>7372.25</v>
      </c>
      <c r="R64" s="40"/>
      <c r="S64" s="40"/>
      <c r="T64" s="40"/>
      <c r="U64" s="40"/>
      <c r="V64" s="40"/>
      <c r="W64" s="40"/>
      <c r="X64" s="40"/>
      <c r="Y64" s="40"/>
      <c r="Z64" s="40"/>
      <c r="AA64" s="40"/>
      <c r="AB64" s="40"/>
    </row>
    <row r="65" spans="1:28" ht="15" customHeight="1" x14ac:dyDescent="0.2">
      <c r="A65" s="35" t="s">
        <v>341</v>
      </c>
      <c r="B65" s="36" t="s">
        <v>313</v>
      </c>
      <c r="C65" s="37" t="s">
        <v>342</v>
      </c>
      <c r="D65" s="38">
        <v>201</v>
      </c>
      <c r="E65" s="38">
        <v>26.25</v>
      </c>
      <c r="F65" s="38"/>
      <c r="G65" s="38"/>
      <c r="H65" s="38"/>
      <c r="I65" s="38"/>
      <c r="J65" s="38"/>
      <c r="K65" s="38"/>
      <c r="L65" s="38"/>
      <c r="M65" s="38"/>
      <c r="N65" s="38"/>
      <c r="O65" s="38"/>
      <c r="P65" s="38"/>
      <c r="Q65" s="40">
        <v>1653.75</v>
      </c>
      <c r="R65" s="40"/>
      <c r="S65" s="40"/>
      <c r="T65" s="40"/>
      <c r="U65" s="40"/>
      <c r="V65" s="40"/>
      <c r="W65" s="40"/>
      <c r="X65" s="40"/>
      <c r="Y65" s="40"/>
      <c r="Z65" s="40"/>
      <c r="AA65" s="40"/>
      <c r="AB65" s="40"/>
    </row>
    <row r="66" spans="1:28" ht="15" customHeight="1" x14ac:dyDescent="0.2">
      <c r="A66" s="35" t="s">
        <v>343</v>
      </c>
      <c r="B66" s="36" t="s">
        <v>313</v>
      </c>
      <c r="C66" s="37" t="s">
        <v>344</v>
      </c>
      <c r="D66" s="38">
        <v>166</v>
      </c>
      <c r="E66" s="38">
        <v>101</v>
      </c>
      <c r="F66" s="38">
        <v>1</v>
      </c>
      <c r="G66" s="38"/>
      <c r="H66" s="38"/>
      <c r="I66" s="38"/>
      <c r="J66" s="38"/>
      <c r="K66" s="38"/>
      <c r="L66" s="38"/>
      <c r="M66" s="38"/>
      <c r="N66" s="38"/>
      <c r="O66" s="38"/>
      <c r="P66" s="38"/>
      <c r="Q66" s="40">
        <v>6489</v>
      </c>
      <c r="R66" s="40">
        <v>69</v>
      </c>
      <c r="S66" s="40"/>
      <c r="T66" s="40"/>
      <c r="U66" s="40"/>
      <c r="V66" s="40"/>
      <c r="W66" s="40"/>
      <c r="X66" s="40"/>
      <c r="Y66" s="40"/>
      <c r="Z66" s="40"/>
      <c r="AA66" s="40"/>
      <c r="AB66" s="40"/>
    </row>
    <row r="67" spans="1:28" ht="15" customHeight="1" x14ac:dyDescent="0.2">
      <c r="A67" s="35" t="s">
        <v>346</v>
      </c>
      <c r="B67" s="36" t="s">
        <v>313</v>
      </c>
      <c r="C67" s="37" t="s">
        <v>347</v>
      </c>
      <c r="D67" s="38">
        <v>104</v>
      </c>
      <c r="E67" s="38">
        <v>3</v>
      </c>
      <c r="F67" s="38"/>
      <c r="G67" s="38"/>
      <c r="H67" s="38"/>
      <c r="I67" s="38"/>
      <c r="J67" s="38"/>
      <c r="K67" s="38"/>
      <c r="L67" s="38"/>
      <c r="M67" s="38"/>
      <c r="N67" s="38"/>
      <c r="O67" s="38"/>
      <c r="P67" s="38"/>
      <c r="Q67" s="40">
        <v>197</v>
      </c>
      <c r="R67" s="40"/>
      <c r="S67" s="40"/>
      <c r="T67" s="40"/>
      <c r="U67" s="40"/>
      <c r="V67" s="40"/>
      <c r="W67" s="40"/>
      <c r="X67" s="40"/>
      <c r="Y67" s="40"/>
      <c r="Z67" s="40"/>
      <c r="AA67" s="40"/>
      <c r="AB67" s="40"/>
    </row>
    <row r="68" spans="1:28" ht="15" customHeight="1" x14ac:dyDescent="0.2">
      <c r="A68" s="35" t="s">
        <v>349</v>
      </c>
      <c r="B68" s="36" t="s">
        <v>313</v>
      </c>
      <c r="C68" s="37" t="s">
        <v>350</v>
      </c>
      <c r="D68" s="38">
        <v>406</v>
      </c>
      <c r="E68" s="38">
        <v>0</v>
      </c>
      <c r="F68" s="38"/>
      <c r="G68" s="38"/>
      <c r="H68" s="38"/>
      <c r="I68" s="38"/>
      <c r="J68" s="38"/>
      <c r="K68" s="38"/>
      <c r="L68" s="38"/>
      <c r="M68" s="38"/>
      <c r="N68" s="38"/>
      <c r="O68" s="38"/>
      <c r="P68" s="38"/>
      <c r="Q68" s="40">
        <v>0</v>
      </c>
      <c r="R68" s="40"/>
      <c r="S68" s="40"/>
      <c r="T68" s="40"/>
      <c r="U68" s="40"/>
      <c r="V68" s="40"/>
      <c r="W68" s="40"/>
      <c r="X68" s="40"/>
      <c r="Y68" s="40"/>
      <c r="Z68" s="40"/>
      <c r="AA68" s="40"/>
      <c r="AB68" s="40"/>
    </row>
    <row r="69" spans="1:28" ht="15" customHeight="1" x14ac:dyDescent="0.2">
      <c r="A69" s="35" t="s">
        <v>352</v>
      </c>
      <c r="B69" s="36" t="s">
        <v>313</v>
      </c>
      <c r="C69" s="37" t="s">
        <v>353</v>
      </c>
      <c r="D69" s="38"/>
      <c r="E69" s="38">
        <v>0</v>
      </c>
      <c r="F69" s="38"/>
      <c r="G69" s="38"/>
      <c r="H69" s="38"/>
      <c r="I69" s="38"/>
      <c r="J69" s="38"/>
      <c r="K69" s="38"/>
      <c r="L69" s="38"/>
      <c r="M69" s="38"/>
      <c r="N69" s="38"/>
      <c r="O69" s="38"/>
      <c r="P69" s="38"/>
      <c r="Q69" s="40">
        <v>0</v>
      </c>
      <c r="R69" s="40"/>
      <c r="S69" s="40"/>
      <c r="T69" s="40"/>
      <c r="U69" s="40"/>
      <c r="V69" s="40"/>
      <c r="W69" s="40"/>
      <c r="X69" s="40"/>
      <c r="Y69" s="40"/>
      <c r="Z69" s="40"/>
      <c r="AA69" s="40"/>
      <c r="AB69" s="40"/>
    </row>
    <row r="71" spans="1:28" ht="15" customHeight="1" x14ac:dyDescent="0.2">
      <c r="A71" s="5" t="s">
        <v>355</v>
      </c>
      <c r="B71" s="5"/>
      <c r="C71" s="5"/>
      <c r="D71" s="45">
        <f t="shared" ref="D71:AB71" si="0">IFERROR(MEDIAN(D5:D69),"")</f>
        <v>136</v>
      </c>
      <c r="E71" s="45">
        <f t="shared" si="0"/>
        <v>12479.5</v>
      </c>
      <c r="F71" s="45">
        <f t="shared" si="0"/>
        <v>53</v>
      </c>
      <c r="G71" s="45" t="str">
        <f t="shared" si="0"/>
        <v/>
      </c>
      <c r="H71" s="45">
        <f t="shared" si="0"/>
        <v>1068.75</v>
      </c>
      <c r="I71" s="45">
        <f t="shared" si="0"/>
        <v>5273.875</v>
      </c>
      <c r="J71" s="45">
        <f t="shared" si="0"/>
        <v>872.5</v>
      </c>
      <c r="K71" s="45">
        <f t="shared" si="0"/>
        <v>194</v>
      </c>
      <c r="L71" s="45">
        <f t="shared" si="0"/>
        <v>944</v>
      </c>
      <c r="M71" s="45">
        <f t="shared" si="0"/>
        <v>274</v>
      </c>
      <c r="N71" s="45">
        <f t="shared" si="0"/>
        <v>22.25</v>
      </c>
      <c r="O71" s="45" t="str">
        <f t="shared" si="0"/>
        <v/>
      </c>
      <c r="P71" s="45" t="str">
        <f t="shared" si="0"/>
        <v/>
      </c>
      <c r="Q71" s="47">
        <f t="shared" si="0"/>
        <v>324824.75</v>
      </c>
      <c r="R71" s="47">
        <f t="shared" si="0"/>
        <v>4164</v>
      </c>
      <c r="S71" s="47" t="str">
        <f t="shared" si="0"/>
        <v/>
      </c>
      <c r="T71" s="47">
        <f t="shared" si="0"/>
        <v>55798</v>
      </c>
      <c r="U71" s="47">
        <f t="shared" si="0"/>
        <v>197279.375</v>
      </c>
      <c r="V71" s="47">
        <f t="shared" si="0"/>
        <v>32494.5</v>
      </c>
      <c r="W71" s="47">
        <f t="shared" si="0"/>
        <v>7665</v>
      </c>
      <c r="X71" s="47">
        <f t="shared" si="0"/>
        <v>34561.25</v>
      </c>
      <c r="Y71" s="47">
        <f t="shared" si="0"/>
        <v>11736.7</v>
      </c>
      <c r="Z71" s="47">
        <f t="shared" si="0"/>
        <v>626.25</v>
      </c>
      <c r="AA71" s="47" t="str">
        <f t="shared" si="0"/>
        <v/>
      </c>
      <c r="AB71" s="47" t="str">
        <f t="shared" si="0"/>
        <v/>
      </c>
    </row>
  </sheetData>
  <mergeCells count="1">
    <mergeCell ref="A71:C7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71"/>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640625" defaultRowHeight="15" x14ac:dyDescent="0.2"/>
  <cols>
    <col min="1" max="1" width="8" customWidth="1"/>
    <col min="2" max="2" width="10" customWidth="1"/>
    <col min="3" max="3" width="32" customWidth="1"/>
    <col min="4" max="4" width="8" customWidth="1"/>
    <col min="5" max="7" width="13" customWidth="1"/>
    <col min="8" max="17" width="14" customWidth="1"/>
  </cols>
  <sheetData>
    <row r="1" spans="1:17" ht="21.75" customHeight="1" x14ac:dyDescent="0.25">
      <c r="A1" s="13" t="s">
        <v>401</v>
      </c>
    </row>
    <row r="2" spans="1:17" ht="15" customHeight="1" x14ac:dyDescent="0.2">
      <c r="A2" s="8" t="s">
        <v>402</v>
      </c>
    </row>
    <row r="4" spans="1:17" ht="27.75" customHeight="1" x14ac:dyDescent="0.2">
      <c r="A4" s="16" t="s">
        <v>102</v>
      </c>
      <c r="B4" s="16" t="s">
        <v>103</v>
      </c>
      <c r="C4" s="16" t="s">
        <v>358</v>
      </c>
      <c r="D4" s="16" t="s">
        <v>107</v>
      </c>
      <c r="E4" s="16" t="s">
        <v>403</v>
      </c>
      <c r="F4" s="16" t="s">
        <v>404</v>
      </c>
      <c r="G4" s="16" t="s">
        <v>145</v>
      </c>
      <c r="H4" s="16" t="s">
        <v>405</v>
      </c>
      <c r="I4" s="16" t="s">
        <v>406</v>
      </c>
      <c r="J4" s="16" t="s">
        <v>407</v>
      </c>
      <c r="K4" s="16" t="s">
        <v>408</v>
      </c>
      <c r="L4" s="16" t="s">
        <v>409</v>
      </c>
      <c r="M4" s="16" t="s">
        <v>410</v>
      </c>
      <c r="N4" s="16" t="s">
        <v>411</v>
      </c>
      <c r="O4" s="16" t="s">
        <v>412</v>
      </c>
      <c r="P4" s="16" t="s">
        <v>413</v>
      </c>
      <c r="Q4" s="16" t="s">
        <v>414</v>
      </c>
    </row>
    <row r="5" spans="1:17" ht="15" customHeight="1" x14ac:dyDescent="0.2">
      <c r="A5" s="26" t="s">
        <v>147</v>
      </c>
      <c r="B5" s="27" t="s">
        <v>148</v>
      </c>
      <c r="C5" s="28" t="s">
        <v>150</v>
      </c>
      <c r="D5" s="29">
        <v>234</v>
      </c>
      <c r="E5" s="31">
        <v>717142</v>
      </c>
      <c r="F5" s="31">
        <v>717142</v>
      </c>
      <c r="G5" s="31">
        <v>637990.88</v>
      </c>
      <c r="H5" s="32">
        <v>-0.110370219566</v>
      </c>
      <c r="I5" s="31"/>
      <c r="J5" s="31"/>
      <c r="K5" s="31">
        <v>10163.67</v>
      </c>
      <c r="L5" s="31">
        <v>2968.89</v>
      </c>
      <c r="M5" s="31"/>
      <c r="N5" s="31">
        <v>148282.22</v>
      </c>
      <c r="O5" s="31">
        <v>327741.23</v>
      </c>
      <c r="P5" s="31">
        <v>73281.509999999995</v>
      </c>
      <c r="Q5" s="31">
        <v>75553.36</v>
      </c>
    </row>
    <row r="6" spans="1:17" ht="15" customHeight="1" x14ac:dyDescent="0.2">
      <c r="A6" s="17" t="s">
        <v>152</v>
      </c>
      <c r="B6" s="18" t="s">
        <v>148</v>
      </c>
      <c r="C6" s="19" t="s">
        <v>153</v>
      </c>
      <c r="D6" s="20">
        <v>258</v>
      </c>
      <c r="E6" s="22">
        <v>1016555</v>
      </c>
      <c r="F6" s="22">
        <v>1043740</v>
      </c>
      <c r="G6" s="22">
        <v>816046.33</v>
      </c>
      <c r="H6" s="23">
        <v>-0.19724330705175799</v>
      </c>
      <c r="I6" s="22"/>
      <c r="J6" s="22"/>
      <c r="K6" s="22">
        <v>11391.29</v>
      </c>
      <c r="L6" s="22">
        <v>2236.9299999999998</v>
      </c>
      <c r="M6" s="22"/>
      <c r="N6" s="22">
        <v>178543.02</v>
      </c>
      <c r="O6" s="22">
        <v>429417.91</v>
      </c>
      <c r="P6" s="22">
        <v>114008.94</v>
      </c>
      <c r="Q6" s="22">
        <v>80448.240000000005</v>
      </c>
    </row>
    <row r="7" spans="1:17" ht="15" customHeight="1" x14ac:dyDescent="0.2">
      <c r="A7" s="26" t="s">
        <v>154</v>
      </c>
      <c r="B7" s="27" t="s">
        <v>148</v>
      </c>
      <c r="C7" s="28" t="s">
        <v>155</v>
      </c>
      <c r="D7" s="29">
        <v>56</v>
      </c>
      <c r="E7" s="31">
        <v>196250</v>
      </c>
      <c r="F7" s="31">
        <v>195311</v>
      </c>
      <c r="G7" s="31">
        <v>151064.39000000001</v>
      </c>
      <c r="H7" s="32">
        <v>-0.23024514649681499</v>
      </c>
      <c r="I7" s="31"/>
      <c r="J7" s="31"/>
      <c r="K7" s="31"/>
      <c r="L7" s="31">
        <v>641.45000000000005</v>
      </c>
      <c r="M7" s="31"/>
      <c r="N7" s="31">
        <v>30742.47</v>
      </c>
      <c r="O7" s="31">
        <v>109975.66</v>
      </c>
      <c r="P7" s="31">
        <v>9704.81</v>
      </c>
      <c r="Q7" s="31">
        <v>0</v>
      </c>
    </row>
    <row r="8" spans="1:17" ht="15" customHeight="1" x14ac:dyDescent="0.2">
      <c r="A8" s="17" t="s">
        <v>157</v>
      </c>
      <c r="B8" s="18" t="s">
        <v>148</v>
      </c>
      <c r="C8" s="19" t="s">
        <v>158</v>
      </c>
      <c r="D8" s="20">
        <v>149</v>
      </c>
      <c r="E8" s="22">
        <v>570975</v>
      </c>
      <c r="F8" s="22">
        <v>504680</v>
      </c>
      <c r="G8" s="22">
        <v>282662.77</v>
      </c>
      <c r="H8" s="23">
        <v>-0.50494720434344798</v>
      </c>
      <c r="I8" s="22"/>
      <c r="J8" s="22"/>
      <c r="K8" s="22">
        <v>1080.05</v>
      </c>
      <c r="L8" s="22">
        <v>1098.46</v>
      </c>
      <c r="M8" s="22"/>
      <c r="N8" s="22">
        <v>66457.52</v>
      </c>
      <c r="O8" s="22">
        <v>174300.17</v>
      </c>
      <c r="P8" s="22">
        <v>19726.080000000002</v>
      </c>
      <c r="Q8" s="22">
        <v>20000.490000000002</v>
      </c>
    </row>
    <row r="9" spans="1:17" ht="15" customHeight="1" x14ac:dyDescent="0.2">
      <c r="A9" s="26" t="s">
        <v>159</v>
      </c>
      <c r="B9" s="27" t="s">
        <v>148</v>
      </c>
      <c r="C9" s="28" t="s">
        <v>160</v>
      </c>
      <c r="D9" s="29">
        <v>117</v>
      </c>
      <c r="E9" s="31">
        <v>358945</v>
      </c>
      <c r="F9" s="31">
        <v>393359</v>
      </c>
      <c r="G9" s="31">
        <v>295005.88</v>
      </c>
      <c r="H9" s="32">
        <v>-0.17813068854559899</v>
      </c>
      <c r="I9" s="31"/>
      <c r="J9" s="31">
        <v>0</v>
      </c>
      <c r="K9" s="31"/>
      <c r="L9" s="31">
        <v>1233.58</v>
      </c>
      <c r="M9" s="31"/>
      <c r="N9" s="31">
        <v>48840.52</v>
      </c>
      <c r="O9" s="31">
        <v>207985.82</v>
      </c>
      <c r="P9" s="31">
        <v>21798.94</v>
      </c>
      <c r="Q9" s="31">
        <v>15147.02</v>
      </c>
    </row>
    <row r="10" spans="1:17" ht="15" customHeight="1" x14ac:dyDescent="0.2">
      <c r="A10" s="17" t="s">
        <v>161</v>
      </c>
      <c r="B10" s="18" t="s">
        <v>148</v>
      </c>
      <c r="C10" s="19" t="s">
        <v>162</v>
      </c>
      <c r="D10" s="20">
        <v>162</v>
      </c>
      <c r="E10" s="22">
        <v>553400</v>
      </c>
      <c r="F10" s="22">
        <v>561666</v>
      </c>
      <c r="G10" s="22">
        <v>390750.86</v>
      </c>
      <c r="H10" s="23">
        <v>-0.29390881821467302</v>
      </c>
      <c r="I10" s="22"/>
      <c r="J10" s="22"/>
      <c r="K10" s="22">
        <v>996.32</v>
      </c>
      <c r="L10" s="22">
        <v>22695.31</v>
      </c>
      <c r="M10" s="22"/>
      <c r="N10" s="22">
        <v>94000.7</v>
      </c>
      <c r="O10" s="22">
        <v>212424.21</v>
      </c>
      <c r="P10" s="22">
        <v>23669.65</v>
      </c>
      <c r="Q10" s="22">
        <v>36964.67</v>
      </c>
    </row>
    <row r="11" spans="1:17" ht="15" customHeight="1" x14ac:dyDescent="0.2">
      <c r="A11" s="26" t="s">
        <v>165</v>
      </c>
      <c r="B11" s="27" t="s">
        <v>148</v>
      </c>
      <c r="C11" s="28" t="s">
        <v>166</v>
      </c>
      <c r="D11" s="29">
        <v>197</v>
      </c>
      <c r="E11" s="31">
        <v>841015</v>
      </c>
      <c r="F11" s="31">
        <v>866894</v>
      </c>
      <c r="G11" s="31">
        <v>661468.32999999996</v>
      </c>
      <c r="H11" s="32">
        <v>-0.213488070961874</v>
      </c>
      <c r="I11" s="31"/>
      <c r="J11" s="31"/>
      <c r="K11" s="31">
        <v>6984.66</v>
      </c>
      <c r="L11" s="31">
        <v>29343.46</v>
      </c>
      <c r="M11" s="31"/>
      <c r="N11" s="31">
        <v>176561.56</v>
      </c>
      <c r="O11" s="31">
        <v>337546.71</v>
      </c>
      <c r="P11" s="31">
        <v>64282.61</v>
      </c>
      <c r="Q11" s="31">
        <v>46749.33</v>
      </c>
    </row>
    <row r="12" spans="1:17" ht="15" customHeight="1" x14ac:dyDescent="0.2">
      <c r="A12" s="17" t="s">
        <v>167</v>
      </c>
      <c r="B12" s="18" t="s">
        <v>148</v>
      </c>
      <c r="C12" s="19" t="s">
        <v>168</v>
      </c>
      <c r="D12" s="20">
        <v>119</v>
      </c>
      <c r="E12" s="22">
        <v>534360</v>
      </c>
      <c r="F12" s="22">
        <v>502391</v>
      </c>
      <c r="G12" s="22">
        <v>378313.74</v>
      </c>
      <c r="H12" s="23">
        <v>-0.29202459016393401</v>
      </c>
      <c r="I12" s="22"/>
      <c r="J12" s="22"/>
      <c r="K12" s="22">
        <v>2769</v>
      </c>
      <c r="L12" s="22">
        <v>8987.73</v>
      </c>
      <c r="M12" s="22"/>
      <c r="N12" s="22">
        <v>98571.05</v>
      </c>
      <c r="O12" s="22">
        <v>192296.61</v>
      </c>
      <c r="P12" s="22">
        <v>29784.74</v>
      </c>
      <c r="Q12" s="22">
        <v>45904.61</v>
      </c>
    </row>
    <row r="13" spans="1:17" ht="15" customHeight="1" x14ac:dyDescent="0.2">
      <c r="A13" s="26" t="s">
        <v>169</v>
      </c>
      <c r="B13" s="27" t="s">
        <v>148</v>
      </c>
      <c r="C13" s="28" t="s">
        <v>170</v>
      </c>
      <c r="D13" s="29">
        <v>211</v>
      </c>
      <c r="E13" s="31">
        <v>776247</v>
      </c>
      <c r="F13" s="31">
        <v>722677</v>
      </c>
      <c r="G13" s="31">
        <v>556906.77</v>
      </c>
      <c r="H13" s="32">
        <v>-0.28256499542027202</v>
      </c>
      <c r="I13" s="31"/>
      <c r="J13" s="31"/>
      <c r="K13" s="31">
        <v>3578.52</v>
      </c>
      <c r="L13" s="31">
        <v>1947.18</v>
      </c>
      <c r="M13" s="31"/>
      <c r="N13" s="31">
        <v>141396.65</v>
      </c>
      <c r="O13" s="31">
        <v>273202.23</v>
      </c>
      <c r="P13" s="31">
        <v>88443.92</v>
      </c>
      <c r="Q13" s="31">
        <v>48338.27</v>
      </c>
    </row>
    <row r="14" spans="1:17" ht="15" customHeight="1" x14ac:dyDescent="0.2">
      <c r="A14" s="17" t="s">
        <v>171</v>
      </c>
      <c r="B14" s="18" t="s">
        <v>148</v>
      </c>
      <c r="C14" s="19" t="s">
        <v>172</v>
      </c>
      <c r="D14" s="20">
        <v>211</v>
      </c>
      <c r="E14" s="22">
        <v>941700</v>
      </c>
      <c r="F14" s="22">
        <v>974017</v>
      </c>
      <c r="G14" s="22">
        <v>660548.93000000005</v>
      </c>
      <c r="H14" s="23">
        <v>-0.29855693957736001</v>
      </c>
      <c r="I14" s="22"/>
      <c r="J14" s="22">
        <v>0</v>
      </c>
      <c r="K14" s="22">
        <v>4568.01</v>
      </c>
      <c r="L14" s="22">
        <v>24175.21</v>
      </c>
      <c r="M14" s="22"/>
      <c r="N14" s="22">
        <v>176444.92</v>
      </c>
      <c r="O14" s="22">
        <v>313722.19</v>
      </c>
      <c r="P14" s="22">
        <v>72332.91</v>
      </c>
      <c r="Q14" s="22">
        <v>69305.69</v>
      </c>
    </row>
    <row r="15" spans="1:17" ht="15" customHeight="1" x14ac:dyDescent="0.2">
      <c r="A15" s="26" t="s">
        <v>173</v>
      </c>
      <c r="B15" s="27" t="s">
        <v>148</v>
      </c>
      <c r="C15" s="28" t="s">
        <v>174</v>
      </c>
      <c r="D15" s="29">
        <v>256</v>
      </c>
      <c r="E15" s="31">
        <v>1099380</v>
      </c>
      <c r="F15" s="31">
        <v>997196</v>
      </c>
      <c r="G15" s="31">
        <v>735694.62</v>
      </c>
      <c r="H15" s="32">
        <v>-0.33080952900725902</v>
      </c>
      <c r="I15" s="31"/>
      <c r="J15" s="31"/>
      <c r="K15" s="31">
        <v>8263.1200000000008</v>
      </c>
      <c r="L15" s="31">
        <v>2198.9699999999998</v>
      </c>
      <c r="M15" s="31"/>
      <c r="N15" s="31">
        <v>87900.72</v>
      </c>
      <c r="O15" s="31">
        <v>411991.97</v>
      </c>
      <c r="P15" s="31">
        <v>103174.59</v>
      </c>
      <c r="Q15" s="31">
        <v>122165.25</v>
      </c>
    </row>
    <row r="16" spans="1:17" ht="15" customHeight="1" x14ac:dyDescent="0.2">
      <c r="A16" s="17" t="s">
        <v>175</v>
      </c>
      <c r="B16" s="18" t="s">
        <v>148</v>
      </c>
      <c r="C16" s="19" t="s">
        <v>176</v>
      </c>
      <c r="D16" s="20">
        <v>136</v>
      </c>
      <c r="E16" s="22">
        <v>512085</v>
      </c>
      <c r="F16" s="22">
        <v>494749</v>
      </c>
      <c r="G16" s="22">
        <v>423924.46</v>
      </c>
      <c r="H16" s="23">
        <v>-0.172159973441909</v>
      </c>
      <c r="I16" s="22"/>
      <c r="J16" s="22">
        <v>133.04</v>
      </c>
      <c r="K16" s="22">
        <v>3604.09</v>
      </c>
      <c r="L16" s="22">
        <v>5.44</v>
      </c>
      <c r="M16" s="22"/>
      <c r="N16" s="22">
        <v>99695.01</v>
      </c>
      <c r="O16" s="22">
        <v>202739.69</v>
      </c>
      <c r="P16" s="22">
        <v>67808.600000000006</v>
      </c>
      <c r="Q16" s="22">
        <v>49938.59</v>
      </c>
    </row>
    <row r="17" spans="1:17" ht="15" customHeight="1" x14ac:dyDescent="0.2">
      <c r="A17" s="26" t="s">
        <v>177</v>
      </c>
      <c r="B17" s="27" t="s">
        <v>148</v>
      </c>
      <c r="C17" s="28" t="s">
        <v>178</v>
      </c>
      <c r="D17" s="29">
        <v>18</v>
      </c>
      <c r="E17" s="31">
        <v>82480</v>
      </c>
      <c r="F17" s="31">
        <v>89109</v>
      </c>
      <c r="G17" s="31">
        <v>60804.36</v>
      </c>
      <c r="H17" s="32">
        <v>-0.26279873908826401</v>
      </c>
      <c r="I17" s="31"/>
      <c r="J17" s="31"/>
      <c r="K17" s="31"/>
      <c r="L17" s="31">
        <v>2510.08</v>
      </c>
      <c r="M17" s="31"/>
      <c r="N17" s="31">
        <v>20929.54</v>
      </c>
      <c r="O17" s="31">
        <v>32656.07</v>
      </c>
      <c r="P17" s="31">
        <v>4708.67</v>
      </c>
      <c r="Q17" s="31"/>
    </row>
    <row r="18" spans="1:17" ht="15" customHeight="1" x14ac:dyDescent="0.2">
      <c r="A18" s="17" t="s">
        <v>179</v>
      </c>
      <c r="B18" s="18" t="s">
        <v>148</v>
      </c>
      <c r="C18" s="19" t="s">
        <v>181</v>
      </c>
      <c r="D18" s="20">
        <v>209</v>
      </c>
      <c r="E18" s="22">
        <v>900375</v>
      </c>
      <c r="F18" s="22">
        <v>982300</v>
      </c>
      <c r="G18" s="22">
        <v>725504.82</v>
      </c>
      <c r="H18" s="23">
        <v>-0.19421927530195801</v>
      </c>
      <c r="I18" s="22">
        <v>182.88</v>
      </c>
      <c r="J18" s="22">
        <v>654.39</v>
      </c>
      <c r="K18" s="22">
        <v>4873.37</v>
      </c>
      <c r="L18" s="22">
        <v>105558.69</v>
      </c>
      <c r="M18" s="22"/>
      <c r="N18" s="22">
        <v>158305.23000000001</v>
      </c>
      <c r="O18" s="22">
        <v>287126.83</v>
      </c>
      <c r="P18" s="22">
        <v>91458.15</v>
      </c>
      <c r="Q18" s="22">
        <v>77345.279999999999</v>
      </c>
    </row>
    <row r="19" spans="1:17" ht="15" customHeight="1" x14ac:dyDescent="0.2">
      <c r="A19" s="26" t="s">
        <v>185</v>
      </c>
      <c r="B19" s="27" t="s">
        <v>148</v>
      </c>
      <c r="C19" s="28" t="s">
        <v>186</v>
      </c>
      <c r="D19" s="29">
        <v>117</v>
      </c>
      <c r="E19" s="31">
        <v>574700</v>
      </c>
      <c r="F19" s="31">
        <v>587857</v>
      </c>
      <c r="G19" s="31">
        <v>336538.34</v>
      </c>
      <c r="H19" s="32">
        <v>-0.41441040542891899</v>
      </c>
      <c r="I19" s="31">
        <v>1704</v>
      </c>
      <c r="J19" s="31"/>
      <c r="K19" s="31">
        <v>4159.9399999999996</v>
      </c>
      <c r="L19" s="31">
        <v>76386.17</v>
      </c>
      <c r="M19" s="31"/>
      <c r="N19" s="31">
        <v>75249.36</v>
      </c>
      <c r="O19" s="31">
        <v>70943.89</v>
      </c>
      <c r="P19" s="31">
        <v>57437.65</v>
      </c>
      <c r="Q19" s="31">
        <v>50657.33</v>
      </c>
    </row>
    <row r="20" spans="1:17" ht="15" customHeight="1" x14ac:dyDescent="0.2">
      <c r="A20" s="17" t="s">
        <v>190</v>
      </c>
      <c r="B20" s="18" t="s">
        <v>148</v>
      </c>
      <c r="C20" s="19" t="s">
        <v>191</v>
      </c>
      <c r="D20" s="20">
        <v>75</v>
      </c>
      <c r="E20" s="22">
        <v>369935</v>
      </c>
      <c r="F20" s="22">
        <v>376656.5</v>
      </c>
      <c r="G20" s="22">
        <v>263607.67</v>
      </c>
      <c r="H20" s="23">
        <v>-0.287421655155636</v>
      </c>
      <c r="I20" s="22"/>
      <c r="J20" s="22"/>
      <c r="K20" s="22">
        <v>1507.91</v>
      </c>
      <c r="L20" s="22">
        <v>36585.89</v>
      </c>
      <c r="M20" s="22"/>
      <c r="N20" s="22">
        <v>58515.95</v>
      </c>
      <c r="O20" s="22">
        <v>110946.04</v>
      </c>
      <c r="P20" s="22">
        <v>36467.14</v>
      </c>
      <c r="Q20" s="22">
        <v>19584.740000000002</v>
      </c>
    </row>
    <row r="21" spans="1:17" ht="15" customHeight="1" x14ac:dyDescent="0.2">
      <c r="A21" s="26" t="s">
        <v>195</v>
      </c>
      <c r="B21" s="27" t="s">
        <v>148</v>
      </c>
      <c r="C21" s="28" t="s">
        <v>196</v>
      </c>
      <c r="D21" s="29">
        <v>49</v>
      </c>
      <c r="E21" s="31">
        <v>261100</v>
      </c>
      <c r="F21" s="31">
        <v>265270</v>
      </c>
      <c r="G21" s="31">
        <v>194870.36</v>
      </c>
      <c r="H21" s="32">
        <v>-0.25365622366909302</v>
      </c>
      <c r="I21" s="31">
        <v>27.08</v>
      </c>
      <c r="J21" s="31">
        <v>178.63</v>
      </c>
      <c r="K21" s="31">
        <v>625.77</v>
      </c>
      <c r="L21" s="31">
        <v>33752.74</v>
      </c>
      <c r="M21" s="31"/>
      <c r="N21" s="31">
        <v>42655.4</v>
      </c>
      <c r="O21" s="31">
        <v>68397.279999999999</v>
      </c>
      <c r="P21" s="31">
        <v>28130.43</v>
      </c>
      <c r="Q21" s="31">
        <v>21103.03</v>
      </c>
    </row>
    <row r="22" spans="1:17" ht="15" customHeight="1" x14ac:dyDescent="0.2">
      <c r="A22" s="17" t="s">
        <v>201</v>
      </c>
      <c r="B22" s="18" t="s">
        <v>148</v>
      </c>
      <c r="C22" s="19" t="s">
        <v>202</v>
      </c>
      <c r="D22" s="20">
        <v>170</v>
      </c>
      <c r="E22" s="22">
        <v>686465</v>
      </c>
      <c r="F22" s="22">
        <v>696496</v>
      </c>
      <c r="G22" s="22">
        <v>548337.59</v>
      </c>
      <c r="H22" s="23">
        <v>-0.20121551717858899</v>
      </c>
      <c r="I22" s="22">
        <v>15.84</v>
      </c>
      <c r="J22" s="22"/>
      <c r="K22" s="22">
        <v>1363.51</v>
      </c>
      <c r="L22" s="22">
        <v>99306.42</v>
      </c>
      <c r="M22" s="22"/>
      <c r="N22" s="22">
        <v>91274.89</v>
      </c>
      <c r="O22" s="22">
        <v>220048.68</v>
      </c>
      <c r="P22" s="22">
        <v>64724.24</v>
      </c>
      <c r="Q22" s="22">
        <v>71604.009999999995</v>
      </c>
    </row>
    <row r="23" spans="1:17" ht="15" customHeight="1" x14ac:dyDescent="0.2">
      <c r="A23" s="26" t="s">
        <v>205</v>
      </c>
      <c r="B23" s="27" t="s">
        <v>148</v>
      </c>
      <c r="C23" s="28" t="s">
        <v>206</v>
      </c>
      <c r="D23" s="29">
        <v>296</v>
      </c>
      <c r="E23" s="31">
        <v>826455</v>
      </c>
      <c r="F23" s="31">
        <v>694434</v>
      </c>
      <c r="G23" s="31">
        <v>458753.13</v>
      </c>
      <c r="H23" s="32">
        <v>-0.44491456885129899</v>
      </c>
      <c r="I23" s="31">
        <v>38.65</v>
      </c>
      <c r="J23" s="31"/>
      <c r="K23" s="31">
        <v>4382.08</v>
      </c>
      <c r="L23" s="31">
        <v>68176.58</v>
      </c>
      <c r="M23" s="31"/>
      <c r="N23" s="31">
        <v>77241.990000000005</v>
      </c>
      <c r="O23" s="31">
        <v>140999.26999999999</v>
      </c>
      <c r="P23" s="31">
        <v>70807.97</v>
      </c>
      <c r="Q23" s="31">
        <v>97106.59</v>
      </c>
    </row>
    <row r="24" spans="1:17" ht="15" customHeight="1" x14ac:dyDescent="0.2">
      <c r="A24" s="17" t="s">
        <v>210</v>
      </c>
      <c r="B24" s="18" t="s">
        <v>148</v>
      </c>
      <c r="C24" s="19" t="s">
        <v>211</v>
      </c>
      <c r="D24" s="20">
        <v>83</v>
      </c>
      <c r="E24" s="22">
        <v>306800</v>
      </c>
      <c r="F24" s="22">
        <v>310049.5</v>
      </c>
      <c r="G24" s="22">
        <v>242874.9</v>
      </c>
      <c r="H24" s="23">
        <v>-0.20836082138200801</v>
      </c>
      <c r="I24" s="22">
        <v>13.2</v>
      </c>
      <c r="J24" s="22"/>
      <c r="K24" s="22">
        <v>1057.3</v>
      </c>
      <c r="L24" s="22">
        <v>53061.22</v>
      </c>
      <c r="M24" s="22"/>
      <c r="N24" s="22">
        <v>63196.04</v>
      </c>
      <c r="O24" s="22">
        <v>82322</v>
      </c>
      <c r="P24" s="22">
        <v>17047.919999999998</v>
      </c>
      <c r="Q24" s="22">
        <v>26177.22</v>
      </c>
    </row>
    <row r="25" spans="1:17" ht="15" customHeight="1" x14ac:dyDescent="0.2">
      <c r="A25" s="26" t="s">
        <v>214</v>
      </c>
      <c r="B25" s="27" t="s">
        <v>148</v>
      </c>
      <c r="C25" s="28" t="s">
        <v>215</v>
      </c>
      <c r="D25" s="29">
        <v>144</v>
      </c>
      <c r="E25" s="31">
        <v>713730</v>
      </c>
      <c r="F25" s="31">
        <v>771610</v>
      </c>
      <c r="G25" s="31">
        <v>569904.99</v>
      </c>
      <c r="H25" s="32">
        <v>-0.201511790172754</v>
      </c>
      <c r="I25" s="31">
        <v>21.41</v>
      </c>
      <c r="J25" s="31"/>
      <c r="K25" s="31">
        <v>3056.66</v>
      </c>
      <c r="L25" s="31">
        <v>27223.200000000001</v>
      </c>
      <c r="M25" s="31"/>
      <c r="N25" s="31">
        <v>104992.07</v>
      </c>
      <c r="O25" s="31">
        <v>290680.64</v>
      </c>
      <c r="P25" s="31">
        <v>97389.7</v>
      </c>
      <c r="Q25" s="31">
        <v>46541.31</v>
      </c>
    </row>
    <row r="26" spans="1:17" ht="15" customHeight="1" x14ac:dyDescent="0.2">
      <c r="A26" s="17" t="s">
        <v>219</v>
      </c>
      <c r="B26" s="18" t="s">
        <v>148</v>
      </c>
      <c r="C26" s="19" t="s">
        <v>220</v>
      </c>
      <c r="D26" s="20">
        <v>398</v>
      </c>
      <c r="E26" s="22">
        <v>657109</v>
      </c>
      <c r="F26" s="22">
        <v>642830</v>
      </c>
      <c r="G26" s="22">
        <v>485439.43</v>
      </c>
      <c r="H26" s="23">
        <v>-0.26124976221600998</v>
      </c>
      <c r="I26" s="22">
        <v>6.64</v>
      </c>
      <c r="J26" s="22"/>
      <c r="K26" s="22">
        <v>5822.71</v>
      </c>
      <c r="L26" s="22">
        <v>38991.480000000003</v>
      </c>
      <c r="M26" s="22"/>
      <c r="N26" s="22">
        <v>90966.27</v>
      </c>
      <c r="O26" s="22">
        <v>268692.84000000003</v>
      </c>
      <c r="P26" s="22">
        <v>32457.27</v>
      </c>
      <c r="Q26" s="22">
        <v>48502.22</v>
      </c>
    </row>
    <row r="27" spans="1:17" ht="15" customHeight="1" x14ac:dyDescent="0.2">
      <c r="A27" s="26" t="s">
        <v>224</v>
      </c>
      <c r="B27" s="27" t="s">
        <v>148</v>
      </c>
      <c r="C27" s="28" t="s">
        <v>225</v>
      </c>
      <c r="D27" s="29">
        <v>71</v>
      </c>
      <c r="E27" s="31">
        <v>204375</v>
      </c>
      <c r="F27" s="31">
        <v>230569</v>
      </c>
      <c r="G27" s="31">
        <v>167700.53</v>
      </c>
      <c r="H27" s="32">
        <v>-0.17944694801223199</v>
      </c>
      <c r="I27" s="31">
        <v>0</v>
      </c>
      <c r="J27" s="31"/>
      <c r="K27" s="31">
        <v>1008.16</v>
      </c>
      <c r="L27" s="31">
        <v>11291.75</v>
      </c>
      <c r="M27" s="31"/>
      <c r="N27" s="31">
        <v>27891.8</v>
      </c>
      <c r="O27" s="31">
        <v>98389.06</v>
      </c>
      <c r="P27" s="31">
        <v>7694.5</v>
      </c>
      <c r="Q27" s="31">
        <v>21425.26</v>
      </c>
    </row>
    <row r="28" spans="1:17" ht="15" customHeight="1" x14ac:dyDescent="0.2">
      <c r="A28" s="17" t="s">
        <v>230</v>
      </c>
      <c r="B28" s="18" t="s">
        <v>148</v>
      </c>
      <c r="C28" s="19" t="s">
        <v>231</v>
      </c>
      <c r="D28" s="20">
        <v>139</v>
      </c>
      <c r="E28" s="22">
        <v>850125</v>
      </c>
      <c r="F28" s="22">
        <v>691518</v>
      </c>
      <c r="G28" s="22">
        <v>460263.33</v>
      </c>
      <c r="H28" s="23">
        <v>-0.45859334803705298</v>
      </c>
      <c r="I28" s="22">
        <v>3093.95</v>
      </c>
      <c r="J28" s="22"/>
      <c r="K28" s="22">
        <v>2339.62</v>
      </c>
      <c r="L28" s="22">
        <v>43786.76</v>
      </c>
      <c r="M28" s="22"/>
      <c r="N28" s="22">
        <v>67263.77</v>
      </c>
      <c r="O28" s="22">
        <v>219513.43</v>
      </c>
      <c r="P28" s="22">
        <v>56801.36</v>
      </c>
      <c r="Q28" s="22">
        <v>67464.44</v>
      </c>
    </row>
    <row r="29" spans="1:17" ht="15" customHeight="1" x14ac:dyDescent="0.2">
      <c r="A29" s="26" t="s">
        <v>236</v>
      </c>
      <c r="B29" s="27" t="s">
        <v>148</v>
      </c>
      <c r="C29" s="28" t="s">
        <v>237</v>
      </c>
      <c r="D29" s="29">
        <v>128</v>
      </c>
      <c r="E29" s="31">
        <v>614030</v>
      </c>
      <c r="F29" s="31">
        <v>602753</v>
      </c>
      <c r="G29" s="31">
        <v>419880.12</v>
      </c>
      <c r="H29" s="32">
        <v>-0.31618956728498598</v>
      </c>
      <c r="I29" s="31">
        <v>2280.11</v>
      </c>
      <c r="J29" s="31"/>
      <c r="K29" s="31">
        <v>3977.41</v>
      </c>
      <c r="L29" s="31">
        <v>22432.91</v>
      </c>
      <c r="M29" s="31"/>
      <c r="N29" s="31">
        <v>100919.24</v>
      </c>
      <c r="O29" s="31">
        <v>181853.14</v>
      </c>
      <c r="P29" s="31">
        <v>52186.52</v>
      </c>
      <c r="Q29" s="31">
        <v>56230.79</v>
      </c>
    </row>
    <row r="30" spans="1:17" ht="15" customHeight="1" x14ac:dyDescent="0.2">
      <c r="A30" s="17" t="s">
        <v>239</v>
      </c>
      <c r="B30" s="18" t="s">
        <v>148</v>
      </c>
      <c r="C30" s="19" t="s">
        <v>240</v>
      </c>
      <c r="D30" s="20">
        <v>92</v>
      </c>
      <c r="E30" s="22">
        <v>211875</v>
      </c>
      <c r="F30" s="22">
        <v>210340</v>
      </c>
      <c r="G30" s="22">
        <v>159409.60999999999</v>
      </c>
      <c r="H30" s="23">
        <v>-0.247624259587021</v>
      </c>
      <c r="I30" s="22">
        <v>121.8</v>
      </c>
      <c r="J30" s="22"/>
      <c r="K30" s="22"/>
      <c r="L30" s="22">
        <v>7233.3</v>
      </c>
      <c r="M30" s="22"/>
      <c r="N30" s="22">
        <v>17359.05</v>
      </c>
      <c r="O30" s="22">
        <v>96906.5</v>
      </c>
      <c r="P30" s="22">
        <v>20442.43</v>
      </c>
      <c r="Q30" s="22">
        <v>17346.53</v>
      </c>
    </row>
    <row r="31" spans="1:17" ht="15" customHeight="1" x14ac:dyDescent="0.2">
      <c r="A31" s="26" t="s">
        <v>245</v>
      </c>
      <c r="B31" s="27" t="s">
        <v>148</v>
      </c>
      <c r="C31" s="28" t="s">
        <v>246</v>
      </c>
      <c r="D31" s="29">
        <v>31</v>
      </c>
      <c r="E31" s="31">
        <v>102770</v>
      </c>
      <c r="F31" s="31">
        <v>115827</v>
      </c>
      <c r="G31" s="31">
        <v>104252.85</v>
      </c>
      <c r="H31" s="32">
        <v>1.44288216405566E-2</v>
      </c>
      <c r="I31" s="31"/>
      <c r="J31" s="31"/>
      <c r="K31" s="31"/>
      <c r="L31" s="31"/>
      <c r="M31" s="31"/>
      <c r="N31" s="31">
        <v>21242.97</v>
      </c>
      <c r="O31" s="31">
        <v>65661.22</v>
      </c>
      <c r="P31" s="31">
        <v>7734.29</v>
      </c>
      <c r="Q31" s="31">
        <v>9614.3700000000008</v>
      </c>
    </row>
    <row r="32" spans="1:17" ht="15" customHeight="1" x14ac:dyDescent="0.2">
      <c r="A32" s="17" t="s">
        <v>249</v>
      </c>
      <c r="B32" s="18" t="s">
        <v>148</v>
      </c>
      <c r="C32" s="19" t="s">
        <v>250</v>
      </c>
      <c r="D32" s="20">
        <v>122</v>
      </c>
      <c r="E32" s="22">
        <v>576480</v>
      </c>
      <c r="F32" s="22">
        <v>643201</v>
      </c>
      <c r="G32" s="22">
        <v>487276.21</v>
      </c>
      <c r="H32" s="23">
        <v>-0.154738742020539</v>
      </c>
      <c r="I32" s="22">
        <v>106.54</v>
      </c>
      <c r="J32" s="22"/>
      <c r="K32" s="22">
        <v>4633.76</v>
      </c>
      <c r="L32" s="22">
        <v>24688.69</v>
      </c>
      <c r="M32" s="22"/>
      <c r="N32" s="22">
        <v>106312.24</v>
      </c>
      <c r="O32" s="22">
        <v>273944.52</v>
      </c>
      <c r="P32" s="22">
        <v>44531.360000000001</v>
      </c>
      <c r="Q32" s="22">
        <v>33059.1</v>
      </c>
    </row>
    <row r="33" spans="1:17" ht="15" customHeight="1" x14ac:dyDescent="0.2">
      <c r="A33" s="26" t="s">
        <v>254</v>
      </c>
      <c r="B33" s="27" t="s">
        <v>148</v>
      </c>
      <c r="C33" s="28" t="s">
        <v>255</v>
      </c>
      <c r="D33" s="29">
        <v>80</v>
      </c>
      <c r="E33" s="31">
        <v>391395</v>
      </c>
      <c r="F33" s="31">
        <v>372182</v>
      </c>
      <c r="G33" s="31">
        <v>268693.53999999998</v>
      </c>
      <c r="H33" s="32">
        <v>-0.31349777079420998</v>
      </c>
      <c r="I33" s="31">
        <v>258.5</v>
      </c>
      <c r="J33" s="31"/>
      <c r="K33" s="31">
        <v>1301.17</v>
      </c>
      <c r="L33" s="31">
        <v>13768.11</v>
      </c>
      <c r="M33" s="31"/>
      <c r="N33" s="31">
        <v>61984.15</v>
      </c>
      <c r="O33" s="31">
        <v>116427.88</v>
      </c>
      <c r="P33" s="31">
        <v>42713.64</v>
      </c>
      <c r="Q33" s="31">
        <v>32240.09</v>
      </c>
    </row>
    <row r="34" spans="1:17" ht="15" customHeight="1" x14ac:dyDescent="0.2">
      <c r="A34" s="17" t="s">
        <v>259</v>
      </c>
      <c r="B34" s="18" t="s">
        <v>148</v>
      </c>
      <c r="C34" s="19" t="s">
        <v>260</v>
      </c>
      <c r="D34" s="20"/>
      <c r="E34" s="22">
        <v>10650</v>
      </c>
      <c r="F34" s="22">
        <v>10650</v>
      </c>
      <c r="G34" s="22">
        <v>2697.34</v>
      </c>
      <c r="H34" s="23">
        <v>-0.74672863849765303</v>
      </c>
      <c r="I34" s="22"/>
      <c r="J34" s="22"/>
      <c r="K34" s="22">
        <v>2667.14</v>
      </c>
      <c r="L34" s="22"/>
      <c r="M34" s="22"/>
      <c r="N34" s="22">
        <v>30.2</v>
      </c>
      <c r="O34" s="22"/>
      <c r="P34" s="22"/>
      <c r="Q34" s="22"/>
    </row>
    <row r="35" spans="1:17" ht="15" customHeight="1" x14ac:dyDescent="0.2">
      <c r="A35" s="26" t="s">
        <v>263</v>
      </c>
      <c r="B35" s="27" t="s">
        <v>148</v>
      </c>
      <c r="C35" s="28" t="s">
        <v>264</v>
      </c>
      <c r="D35" s="29">
        <v>55</v>
      </c>
      <c r="E35" s="31">
        <v>173720</v>
      </c>
      <c r="F35" s="31">
        <v>185986</v>
      </c>
      <c r="G35" s="31">
        <v>154104.17000000001</v>
      </c>
      <c r="H35" s="32">
        <v>-0.112916359659222</v>
      </c>
      <c r="I35" s="31">
        <v>7.2</v>
      </c>
      <c r="J35" s="31"/>
      <c r="K35" s="31">
        <v>1504.45</v>
      </c>
      <c r="L35" s="31">
        <v>15297.78</v>
      </c>
      <c r="M35" s="31"/>
      <c r="N35" s="31">
        <v>24915.98</v>
      </c>
      <c r="O35" s="31">
        <v>88855.74</v>
      </c>
      <c r="P35" s="31">
        <v>6470.34</v>
      </c>
      <c r="Q35" s="31">
        <v>17052.68</v>
      </c>
    </row>
    <row r="36" spans="1:17" ht="15" customHeight="1" x14ac:dyDescent="0.2">
      <c r="A36" s="17" t="s">
        <v>266</v>
      </c>
      <c r="B36" s="18" t="s">
        <v>148</v>
      </c>
      <c r="C36" s="19" t="s">
        <v>268</v>
      </c>
      <c r="D36" s="20">
        <v>108</v>
      </c>
      <c r="E36" s="22">
        <v>598130</v>
      </c>
      <c r="F36" s="22">
        <v>639725</v>
      </c>
      <c r="G36" s="22">
        <v>502616.05</v>
      </c>
      <c r="H36" s="23">
        <v>-0.15968760971695101</v>
      </c>
      <c r="I36" s="22">
        <v>0</v>
      </c>
      <c r="J36" s="22"/>
      <c r="K36" s="22">
        <v>4155.07</v>
      </c>
      <c r="L36" s="22">
        <v>19825.43</v>
      </c>
      <c r="M36" s="22"/>
      <c r="N36" s="22">
        <v>79004.39</v>
      </c>
      <c r="O36" s="22">
        <v>251663.7</v>
      </c>
      <c r="P36" s="22">
        <v>85820.97</v>
      </c>
      <c r="Q36" s="22">
        <v>62146.49</v>
      </c>
    </row>
    <row r="37" spans="1:17" ht="15" customHeight="1" x14ac:dyDescent="0.2">
      <c r="A37" s="26" t="s">
        <v>270</v>
      </c>
      <c r="B37" s="27" t="s">
        <v>148</v>
      </c>
      <c r="C37" s="28" t="s">
        <v>271</v>
      </c>
      <c r="D37" s="29">
        <v>75</v>
      </c>
      <c r="E37" s="31">
        <v>310497</v>
      </c>
      <c r="F37" s="31">
        <v>316790</v>
      </c>
      <c r="G37" s="31">
        <v>250243.51</v>
      </c>
      <c r="H37" s="32">
        <v>-0.19405498281787001</v>
      </c>
      <c r="I37" s="31">
        <v>91.07</v>
      </c>
      <c r="J37" s="31"/>
      <c r="K37" s="31">
        <v>665.67</v>
      </c>
      <c r="L37" s="31">
        <v>16059.71</v>
      </c>
      <c r="M37" s="31"/>
      <c r="N37" s="31">
        <v>62128.4</v>
      </c>
      <c r="O37" s="31">
        <v>148333.68</v>
      </c>
      <c r="P37" s="31">
        <v>9801.58</v>
      </c>
      <c r="Q37" s="31">
        <v>13163.4</v>
      </c>
    </row>
    <row r="38" spans="1:17" ht="15" customHeight="1" x14ac:dyDescent="0.2">
      <c r="A38" s="17" t="s">
        <v>272</v>
      </c>
      <c r="B38" s="18" t="s">
        <v>148</v>
      </c>
      <c r="C38" s="19" t="s">
        <v>273</v>
      </c>
      <c r="D38" s="20">
        <v>89</v>
      </c>
      <c r="E38" s="22">
        <v>548895</v>
      </c>
      <c r="F38" s="22">
        <v>551921</v>
      </c>
      <c r="G38" s="22">
        <v>320019.62</v>
      </c>
      <c r="H38" s="23">
        <v>-0.41697479481503802</v>
      </c>
      <c r="I38" s="22">
        <v>1275</v>
      </c>
      <c r="J38" s="22"/>
      <c r="K38" s="22">
        <v>3780.25</v>
      </c>
      <c r="L38" s="22">
        <v>12806.38</v>
      </c>
      <c r="M38" s="22"/>
      <c r="N38" s="22">
        <v>30692.52</v>
      </c>
      <c r="O38" s="22">
        <v>200687.65</v>
      </c>
      <c r="P38" s="22">
        <v>40958.58</v>
      </c>
      <c r="Q38" s="22">
        <v>29819.24</v>
      </c>
    </row>
    <row r="39" spans="1:17" ht="15" customHeight="1" x14ac:dyDescent="0.2">
      <c r="A39" s="26" t="s">
        <v>275</v>
      </c>
      <c r="B39" s="27" t="s">
        <v>148</v>
      </c>
      <c r="C39" s="28" t="s">
        <v>276</v>
      </c>
      <c r="D39" s="29">
        <v>78</v>
      </c>
      <c r="E39" s="31">
        <v>262392</v>
      </c>
      <c r="F39" s="31">
        <v>279401</v>
      </c>
      <c r="G39" s="31">
        <v>216377.88</v>
      </c>
      <c r="H39" s="32">
        <v>-0.17536403548888699</v>
      </c>
      <c r="I39" s="31">
        <v>0</v>
      </c>
      <c r="J39" s="31"/>
      <c r="K39" s="31">
        <v>2098.38</v>
      </c>
      <c r="L39" s="31">
        <v>15511.19</v>
      </c>
      <c r="M39" s="31"/>
      <c r="N39" s="31">
        <v>42382.13</v>
      </c>
      <c r="O39" s="31">
        <v>133693.07999999999</v>
      </c>
      <c r="P39" s="31">
        <v>8593.44</v>
      </c>
      <c r="Q39" s="31">
        <v>14099.66</v>
      </c>
    </row>
    <row r="40" spans="1:17" ht="15" customHeight="1" x14ac:dyDescent="0.2">
      <c r="A40" s="17" t="s">
        <v>277</v>
      </c>
      <c r="B40" s="18" t="s">
        <v>148</v>
      </c>
      <c r="C40" s="19" t="s">
        <v>278</v>
      </c>
      <c r="D40" s="20">
        <v>158</v>
      </c>
      <c r="E40" s="22">
        <v>520410</v>
      </c>
      <c r="F40" s="22">
        <v>608708</v>
      </c>
      <c r="G40" s="22">
        <v>497590.37</v>
      </c>
      <c r="H40" s="23">
        <v>-4.3849330335696997E-2</v>
      </c>
      <c r="I40" s="22">
        <v>0</v>
      </c>
      <c r="J40" s="22"/>
      <c r="K40" s="22">
        <v>63.72</v>
      </c>
      <c r="L40" s="22">
        <v>7101</v>
      </c>
      <c r="M40" s="22"/>
      <c r="N40" s="22">
        <v>97191</v>
      </c>
      <c r="O40" s="22">
        <v>293213.40999999997</v>
      </c>
      <c r="P40" s="22">
        <v>34777.620000000003</v>
      </c>
      <c r="Q40" s="22">
        <v>65243.62</v>
      </c>
    </row>
    <row r="41" spans="1:17" ht="15" customHeight="1" x14ac:dyDescent="0.2">
      <c r="A41" s="26" t="s">
        <v>280</v>
      </c>
      <c r="B41" s="27" t="s">
        <v>148</v>
      </c>
      <c r="C41" s="28" t="s">
        <v>281</v>
      </c>
      <c r="D41" s="29">
        <v>110</v>
      </c>
      <c r="E41" s="31">
        <v>459229</v>
      </c>
      <c r="F41" s="31">
        <v>493642</v>
      </c>
      <c r="G41" s="31">
        <v>378784.06</v>
      </c>
      <c r="H41" s="32">
        <v>-0.175173911055269</v>
      </c>
      <c r="I41" s="31"/>
      <c r="J41" s="31"/>
      <c r="K41" s="31">
        <v>2670.82</v>
      </c>
      <c r="L41" s="31">
        <v>24087.86</v>
      </c>
      <c r="M41" s="31"/>
      <c r="N41" s="31">
        <v>91683.71</v>
      </c>
      <c r="O41" s="31">
        <v>199016.45</v>
      </c>
      <c r="P41" s="31">
        <v>21407.72</v>
      </c>
      <c r="Q41" s="31">
        <v>39917.5</v>
      </c>
    </row>
    <row r="42" spans="1:17" ht="15" customHeight="1" x14ac:dyDescent="0.2">
      <c r="A42" s="17" t="s">
        <v>282</v>
      </c>
      <c r="B42" s="18" t="s">
        <v>148</v>
      </c>
      <c r="C42" s="19" t="s">
        <v>283</v>
      </c>
      <c r="D42" s="20">
        <v>70</v>
      </c>
      <c r="E42" s="22">
        <v>149685</v>
      </c>
      <c r="F42" s="22">
        <v>172896</v>
      </c>
      <c r="G42" s="22">
        <v>133195.01999999999</v>
      </c>
      <c r="H42" s="23">
        <v>-0.110164545545646</v>
      </c>
      <c r="I42" s="22"/>
      <c r="J42" s="22"/>
      <c r="K42" s="22"/>
      <c r="L42" s="22">
        <v>0</v>
      </c>
      <c r="M42" s="22"/>
      <c r="N42" s="22">
        <v>56003.99</v>
      </c>
      <c r="O42" s="22">
        <v>77180.429999999993</v>
      </c>
      <c r="P42" s="22">
        <v>10.6</v>
      </c>
      <c r="Q42" s="22"/>
    </row>
    <row r="43" spans="1:17" ht="15" customHeight="1" x14ac:dyDescent="0.2">
      <c r="A43" s="26" t="s">
        <v>284</v>
      </c>
      <c r="B43" s="27" t="s">
        <v>148</v>
      </c>
      <c r="C43" s="28" t="s">
        <v>283</v>
      </c>
      <c r="D43" s="29">
        <v>72</v>
      </c>
      <c r="E43" s="31">
        <v>143792</v>
      </c>
      <c r="F43" s="31">
        <v>151898</v>
      </c>
      <c r="G43" s="31">
        <v>115436.54</v>
      </c>
      <c r="H43" s="32">
        <v>-0.197197757872482</v>
      </c>
      <c r="I43" s="31"/>
      <c r="J43" s="31"/>
      <c r="K43" s="31"/>
      <c r="L43" s="31"/>
      <c r="M43" s="31"/>
      <c r="N43" s="31">
        <v>51415.82</v>
      </c>
      <c r="O43" s="31">
        <v>64020.72</v>
      </c>
      <c r="P43" s="31">
        <v>0</v>
      </c>
      <c r="Q43" s="31">
        <v>0</v>
      </c>
    </row>
    <row r="44" spans="1:17" ht="15" customHeight="1" x14ac:dyDescent="0.2">
      <c r="A44" s="17" t="s">
        <v>285</v>
      </c>
      <c r="B44" s="18" t="s">
        <v>148</v>
      </c>
      <c r="C44" s="19" t="s">
        <v>283</v>
      </c>
      <c r="D44" s="20">
        <v>296</v>
      </c>
      <c r="E44" s="22">
        <v>669800</v>
      </c>
      <c r="F44" s="22">
        <v>691822</v>
      </c>
      <c r="G44" s="22">
        <v>618442.18000000005</v>
      </c>
      <c r="H44" s="23">
        <v>-7.6676351149596797E-2</v>
      </c>
      <c r="I44" s="22">
        <v>0</v>
      </c>
      <c r="J44" s="22"/>
      <c r="K44" s="22">
        <v>11428.68</v>
      </c>
      <c r="L44" s="22">
        <v>27383.35</v>
      </c>
      <c r="M44" s="22"/>
      <c r="N44" s="22">
        <v>140166.18</v>
      </c>
      <c r="O44" s="22">
        <v>335404.06</v>
      </c>
      <c r="P44" s="22">
        <v>7507.03</v>
      </c>
      <c r="Q44" s="22">
        <v>96552.88</v>
      </c>
    </row>
    <row r="45" spans="1:17" ht="15" customHeight="1" x14ac:dyDescent="0.2">
      <c r="A45" s="26" t="s">
        <v>286</v>
      </c>
      <c r="B45" s="27" t="s">
        <v>148</v>
      </c>
      <c r="C45" s="28" t="s">
        <v>283</v>
      </c>
      <c r="D45" s="29">
        <v>50</v>
      </c>
      <c r="E45" s="31">
        <v>305655</v>
      </c>
      <c r="F45" s="31">
        <v>311905</v>
      </c>
      <c r="G45" s="31">
        <v>204958.79</v>
      </c>
      <c r="H45" s="32">
        <v>-0.32944401367554899</v>
      </c>
      <c r="I45" s="31">
        <v>2.16</v>
      </c>
      <c r="J45" s="31"/>
      <c r="K45" s="31">
        <v>1913.88</v>
      </c>
      <c r="L45" s="31">
        <v>10877.78</v>
      </c>
      <c r="M45" s="31"/>
      <c r="N45" s="31">
        <v>40315.08</v>
      </c>
      <c r="O45" s="31">
        <v>111207.3</v>
      </c>
      <c r="P45" s="31">
        <v>19986.98</v>
      </c>
      <c r="Q45" s="31">
        <v>20655.61</v>
      </c>
    </row>
    <row r="46" spans="1:17" ht="15" customHeight="1" x14ac:dyDescent="0.2">
      <c r="A46" s="17" t="s">
        <v>287</v>
      </c>
      <c r="B46" s="18" t="s">
        <v>148</v>
      </c>
      <c r="C46" s="19" t="s">
        <v>288</v>
      </c>
      <c r="D46" s="20">
        <v>163</v>
      </c>
      <c r="E46" s="22">
        <v>755185</v>
      </c>
      <c r="F46" s="22">
        <v>673732</v>
      </c>
      <c r="G46" s="22">
        <v>431531</v>
      </c>
      <c r="H46" s="23">
        <v>-0.42857577944477199</v>
      </c>
      <c r="I46" s="22">
        <v>0</v>
      </c>
      <c r="J46" s="22"/>
      <c r="K46" s="22">
        <v>5341.44</v>
      </c>
      <c r="L46" s="22">
        <v>20399.37</v>
      </c>
      <c r="M46" s="22"/>
      <c r="N46" s="22">
        <v>47851.97</v>
      </c>
      <c r="O46" s="22">
        <v>281538.12</v>
      </c>
      <c r="P46" s="22">
        <v>33044.47</v>
      </c>
      <c r="Q46" s="22">
        <v>43355.63</v>
      </c>
    </row>
    <row r="47" spans="1:17" ht="15" customHeight="1" x14ac:dyDescent="0.2">
      <c r="A47" s="26" t="s">
        <v>289</v>
      </c>
      <c r="B47" s="27" t="s">
        <v>148</v>
      </c>
      <c r="C47" s="28" t="s">
        <v>290</v>
      </c>
      <c r="D47" s="29">
        <v>107</v>
      </c>
      <c r="E47" s="31">
        <v>725720</v>
      </c>
      <c r="F47" s="31">
        <v>754934</v>
      </c>
      <c r="G47" s="31">
        <v>479362.75</v>
      </c>
      <c r="H47" s="32">
        <v>-0.33946597861434202</v>
      </c>
      <c r="I47" s="31"/>
      <c r="J47" s="31"/>
      <c r="K47" s="31">
        <v>6559.15</v>
      </c>
      <c r="L47" s="31">
        <v>15179.21</v>
      </c>
      <c r="M47" s="31">
        <v>81.680000000000007</v>
      </c>
      <c r="N47" s="31">
        <v>87583.59</v>
      </c>
      <c r="O47" s="31">
        <v>273004.96000000002</v>
      </c>
      <c r="P47" s="31">
        <v>55677.36</v>
      </c>
      <c r="Q47" s="31">
        <v>41276.800000000003</v>
      </c>
    </row>
    <row r="48" spans="1:17" ht="15" customHeight="1" x14ac:dyDescent="0.2">
      <c r="A48" s="17" t="s">
        <v>292</v>
      </c>
      <c r="B48" s="18" t="s">
        <v>148</v>
      </c>
      <c r="C48" s="19" t="s">
        <v>293</v>
      </c>
      <c r="D48" s="20">
        <v>136</v>
      </c>
      <c r="E48" s="22">
        <v>785523</v>
      </c>
      <c r="F48" s="22">
        <v>787591</v>
      </c>
      <c r="G48" s="22">
        <v>478591.1</v>
      </c>
      <c r="H48" s="23">
        <v>-0.390735726388661</v>
      </c>
      <c r="I48" s="22">
        <v>0</v>
      </c>
      <c r="J48" s="22"/>
      <c r="K48" s="22">
        <v>6882.96</v>
      </c>
      <c r="L48" s="22">
        <v>20788.7</v>
      </c>
      <c r="M48" s="22"/>
      <c r="N48" s="22">
        <v>74601.11</v>
      </c>
      <c r="O48" s="22">
        <v>287966.65000000002</v>
      </c>
      <c r="P48" s="22">
        <v>42888.95</v>
      </c>
      <c r="Q48" s="22">
        <v>45462.73</v>
      </c>
    </row>
    <row r="49" spans="1:17" ht="15" customHeight="1" x14ac:dyDescent="0.2">
      <c r="A49" s="26" t="s">
        <v>295</v>
      </c>
      <c r="B49" s="27" t="s">
        <v>148</v>
      </c>
      <c r="C49" s="28" t="s">
        <v>296</v>
      </c>
      <c r="D49" s="29">
        <v>68</v>
      </c>
      <c r="E49" s="31">
        <v>247326</v>
      </c>
      <c r="F49" s="31">
        <v>290842</v>
      </c>
      <c r="G49" s="31">
        <v>264321</v>
      </c>
      <c r="H49" s="32">
        <v>6.8714975376628198E-2</v>
      </c>
      <c r="I49" s="31"/>
      <c r="J49" s="31"/>
      <c r="K49" s="31">
        <v>3477.36</v>
      </c>
      <c r="L49" s="31">
        <v>22105.439999999999</v>
      </c>
      <c r="M49" s="31"/>
      <c r="N49" s="31">
        <v>34199.43</v>
      </c>
      <c r="O49" s="31">
        <v>147852.35999999999</v>
      </c>
      <c r="P49" s="31">
        <v>38476.06</v>
      </c>
      <c r="Q49" s="31">
        <v>18210.349999999999</v>
      </c>
    </row>
    <row r="50" spans="1:17" ht="15" customHeight="1" x14ac:dyDescent="0.2">
      <c r="A50" s="17" t="s">
        <v>298</v>
      </c>
      <c r="B50" s="18" t="s">
        <v>148</v>
      </c>
      <c r="C50" s="19" t="s">
        <v>299</v>
      </c>
      <c r="D50" s="20">
        <v>98</v>
      </c>
      <c r="E50" s="22">
        <v>377441</v>
      </c>
      <c r="F50" s="22">
        <v>405741</v>
      </c>
      <c r="G50" s="22">
        <v>406456.61</v>
      </c>
      <c r="H50" s="23">
        <v>7.6874557877920094E-2</v>
      </c>
      <c r="I50" s="22"/>
      <c r="J50" s="22"/>
      <c r="K50" s="22">
        <v>4654.1499999999996</v>
      </c>
      <c r="L50" s="22">
        <v>29539.9</v>
      </c>
      <c r="M50" s="22"/>
      <c r="N50" s="22">
        <v>84940.23</v>
      </c>
      <c r="O50" s="22">
        <v>216460.37</v>
      </c>
      <c r="P50" s="22">
        <v>38588.71</v>
      </c>
      <c r="Q50" s="22">
        <v>32273.25</v>
      </c>
    </row>
    <row r="51" spans="1:17" ht="15" customHeight="1" x14ac:dyDescent="0.2">
      <c r="A51" s="26" t="s">
        <v>300</v>
      </c>
      <c r="B51" s="27" t="s">
        <v>148</v>
      </c>
      <c r="C51" s="28" t="s">
        <v>301</v>
      </c>
      <c r="D51" s="29">
        <v>321</v>
      </c>
      <c r="E51" s="31">
        <v>1922880</v>
      </c>
      <c r="F51" s="31">
        <v>1931720</v>
      </c>
      <c r="G51" s="31">
        <v>1238306.1399999999</v>
      </c>
      <c r="H51" s="32">
        <v>-0.35601486312198399</v>
      </c>
      <c r="I51" s="31"/>
      <c r="J51" s="31"/>
      <c r="K51" s="31">
        <v>8134.74</v>
      </c>
      <c r="L51" s="31">
        <v>79516.100000000006</v>
      </c>
      <c r="M51" s="31"/>
      <c r="N51" s="31">
        <v>239543.21</v>
      </c>
      <c r="O51" s="31">
        <v>650099</v>
      </c>
      <c r="P51" s="31">
        <v>157337.54999999999</v>
      </c>
      <c r="Q51" s="31">
        <v>103675.54</v>
      </c>
    </row>
    <row r="52" spans="1:17" ht="15" customHeight="1" x14ac:dyDescent="0.2">
      <c r="A52" s="17" t="s">
        <v>302</v>
      </c>
      <c r="B52" s="18" t="s">
        <v>148</v>
      </c>
      <c r="C52" s="19" t="s">
        <v>303</v>
      </c>
      <c r="D52" s="20">
        <v>111</v>
      </c>
      <c r="E52" s="22">
        <v>419205</v>
      </c>
      <c r="F52" s="22">
        <v>431063</v>
      </c>
      <c r="G52" s="22">
        <v>232848.36</v>
      </c>
      <c r="H52" s="23">
        <v>-0.44454775110029698</v>
      </c>
      <c r="I52" s="22">
        <v>0</v>
      </c>
      <c r="J52" s="22"/>
      <c r="K52" s="22">
        <v>1138.79</v>
      </c>
      <c r="L52" s="22">
        <v>7324.66</v>
      </c>
      <c r="M52" s="22"/>
      <c r="N52" s="22">
        <v>25828.61</v>
      </c>
      <c r="O52" s="22">
        <v>141842.79</v>
      </c>
      <c r="P52" s="22">
        <v>25991.759999999998</v>
      </c>
      <c r="Q52" s="22">
        <v>30721.75</v>
      </c>
    </row>
    <row r="53" spans="1:17" ht="15" customHeight="1" x14ac:dyDescent="0.2">
      <c r="A53" s="26" t="s">
        <v>304</v>
      </c>
      <c r="B53" s="27" t="s">
        <v>148</v>
      </c>
      <c r="C53" s="28" t="s">
        <v>305</v>
      </c>
      <c r="D53" s="29">
        <v>77</v>
      </c>
      <c r="E53" s="31">
        <v>287240</v>
      </c>
      <c r="F53" s="31">
        <v>299744</v>
      </c>
      <c r="G53" s="31">
        <v>244128.93</v>
      </c>
      <c r="H53" s="32">
        <v>-0.15008727893051099</v>
      </c>
      <c r="I53" s="31"/>
      <c r="J53" s="31"/>
      <c r="K53" s="31">
        <v>3600.92</v>
      </c>
      <c r="L53" s="31">
        <v>17680.02</v>
      </c>
      <c r="M53" s="31"/>
      <c r="N53" s="31">
        <v>32023.13</v>
      </c>
      <c r="O53" s="31">
        <v>150779.38</v>
      </c>
      <c r="P53" s="31">
        <v>23952.05</v>
      </c>
      <c r="Q53" s="31">
        <v>16093.43</v>
      </c>
    </row>
    <row r="54" spans="1:17" ht="15" customHeight="1" x14ac:dyDescent="0.2">
      <c r="A54" s="17" t="s">
        <v>306</v>
      </c>
      <c r="B54" s="18" t="s">
        <v>148</v>
      </c>
      <c r="C54" s="19" t="s">
        <v>307</v>
      </c>
      <c r="D54" s="20">
        <v>365</v>
      </c>
      <c r="E54" s="22">
        <v>1478085</v>
      </c>
      <c r="F54" s="22">
        <v>1516510</v>
      </c>
      <c r="G54" s="22">
        <v>1034930.53</v>
      </c>
      <c r="H54" s="23">
        <v>-0.29981663436135297</v>
      </c>
      <c r="I54" s="22"/>
      <c r="J54" s="22"/>
      <c r="K54" s="22">
        <v>6691.94</v>
      </c>
      <c r="L54" s="22">
        <v>7790.2</v>
      </c>
      <c r="M54" s="22"/>
      <c r="N54" s="22">
        <v>205612.27</v>
      </c>
      <c r="O54" s="22">
        <v>682969.44</v>
      </c>
      <c r="P54" s="22">
        <v>73948.12</v>
      </c>
      <c r="Q54" s="22">
        <v>57918.559999999998</v>
      </c>
    </row>
    <row r="55" spans="1:17" ht="15" customHeight="1" x14ac:dyDescent="0.2">
      <c r="A55" s="26" t="s">
        <v>309</v>
      </c>
      <c r="B55" s="27" t="s">
        <v>148</v>
      </c>
      <c r="C55" s="28" t="s">
        <v>310</v>
      </c>
      <c r="D55" s="29">
        <v>270</v>
      </c>
      <c r="E55" s="31">
        <v>1739148</v>
      </c>
      <c r="F55" s="31">
        <v>2038248</v>
      </c>
      <c r="G55" s="31">
        <v>1009043.67</v>
      </c>
      <c r="H55" s="32">
        <v>-0.41980574971192802</v>
      </c>
      <c r="I55" s="31"/>
      <c r="J55" s="31"/>
      <c r="K55" s="31">
        <v>13263.56</v>
      </c>
      <c r="L55" s="31">
        <v>69474.91</v>
      </c>
      <c r="M55" s="31"/>
      <c r="N55" s="31">
        <v>162471.67999999999</v>
      </c>
      <c r="O55" s="31">
        <v>539813.97</v>
      </c>
      <c r="P55" s="31">
        <v>89415.95</v>
      </c>
      <c r="Q55" s="31">
        <v>134603.6</v>
      </c>
    </row>
    <row r="56" spans="1:17" ht="15" customHeight="1" x14ac:dyDescent="0.2">
      <c r="A56" s="35" t="s">
        <v>312</v>
      </c>
      <c r="B56" s="36" t="s">
        <v>313</v>
      </c>
      <c r="C56" s="37" t="s">
        <v>314</v>
      </c>
      <c r="D56" s="38">
        <v>170</v>
      </c>
      <c r="E56" s="40">
        <v>2199597</v>
      </c>
      <c r="F56" s="40">
        <v>2209412</v>
      </c>
      <c r="G56" s="40">
        <v>1518915.7</v>
      </c>
      <c r="H56" s="41">
        <v>-0.30945727785589799</v>
      </c>
      <c r="I56" s="40"/>
      <c r="J56" s="40"/>
      <c r="K56" s="40">
        <v>14686.12</v>
      </c>
      <c r="L56" s="40">
        <v>58031.73</v>
      </c>
      <c r="M56" s="40">
        <v>1481.84</v>
      </c>
      <c r="N56" s="40">
        <v>266624.03000000003</v>
      </c>
      <c r="O56" s="40">
        <v>912915.01</v>
      </c>
      <c r="P56" s="40">
        <v>143549.66</v>
      </c>
      <c r="Q56" s="40">
        <v>121627.31</v>
      </c>
    </row>
    <row r="57" spans="1:17" ht="15" customHeight="1" x14ac:dyDescent="0.2">
      <c r="A57" s="35" t="s">
        <v>316</v>
      </c>
      <c r="B57" s="36" t="s">
        <v>313</v>
      </c>
      <c r="C57" s="37" t="s">
        <v>317</v>
      </c>
      <c r="D57" s="38">
        <v>234</v>
      </c>
      <c r="E57" s="40">
        <v>2172207</v>
      </c>
      <c r="F57" s="40">
        <v>2387628</v>
      </c>
      <c r="G57" s="40">
        <v>1854483.43</v>
      </c>
      <c r="H57" s="41">
        <v>-0.146267630110758</v>
      </c>
      <c r="I57" s="40"/>
      <c r="J57" s="40"/>
      <c r="K57" s="40">
        <v>14023.31</v>
      </c>
      <c r="L57" s="40">
        <v>71241.58</v>
      </c>
      <c r="M57" s="40">
        <v>0</v>
      </c>
      <c r="N57" s="40">
        <v>429974.35</v>
      </c>
      <c r="O57" s="40">
        <v>971188.26</v>
      </c>
      <c r="P57" s="40">
        <v>241274.55</v>
      </c>
      <c r="Q57" s="40">
        <v>126781.38</v>
      </c>
    </row>
    <row r="58" spans="1:17" ht="15" customHeight="1" x14ac:dyDescent="0.2">
      <c r="A58" s="35" t="s">
        <v>319</v>
      </c>
      <c r="B58" s="36" t="s">
        <v>313</v>
      </c>
      <c r="C58" s="37" t="s">
        <v>320</v>
      </c>
      <c r="D58" s="38">
        <v>24</v>
      </c>
      <c r="E58" s="40">
        <v>530143</v>
      </c>
      <c r="F58" s="40">
        <v>558927</v>
      </c>
      <c r="G58" s="40">
        <v>432579.38</v>
      </c>
      <c r="H58" s="41">
        <v>-0.18403264779502901</v>
      </c>
      <c r="I58" s="40"/>
      <c r="J58" s="40"/>
      <c r="K58" s="40">
        <v>2063.38</v>
      </c>
      <c r="L58" s="40">
        <v>28522.36</v>
      </c>
      <c r="M58" s="40"/>
      <c r="N58" s="40">
        <v>18939.04</v>
      </c>
      <c r="O58" s="40">
        <v>343464.97</v>
      </c>
      <c r="P58" s="40">
        <v>8197.14</v>
      </c>
      <c r="Q58" s="40">
        <v>31392.49</v>
      </c>
    </row>
    <row r="59" spans="1:17" ht="15" customHeight="1" x14ac:dyDescent="0.2">
      <c r="A59" s="35" t="s">
        <v>322</v>
      </c>
      <c r="B59" s="36" t="s">
        <v>313</v>
      </c>
      <c r="C59" s="37" t="s">
        <v>323</v>
      </c>
      <c r="D59" s="38">
        <v>219</v>
      </c>
      <c r="E59" s="40">
        <v>0</v>
      </c>
      <c r="F59" s="40">
        <v>0</v>
      </c>
      <c r="G59" s="40">
        <v>0</v>
      </c>
      <c r="H59" s="41"/>
      <c r="I59" s="40"/>
      <c r="J59" s="40"/>
      <c r="K59" s="40"/>
      <c r="L59" s="40"/>
      <c r="M59" s="40"/>
      <c r="N59" s="40"/>
      <c r="O59" s="40"/>
      <c r="P59" s="40"/>
      <c r="Q59" s="40"/>
    </row>
    <row r="60" spans="1:17" ht="15" customHeight="1" x14ac:dyDescent="0.2">
      <c r="A60" s="35" t="s">
        <v>325</v>
      </c>
      <c r="B60" s="36" t="s">
        <v>313</v>
      </c>
      <c r="C60" s="37" t="s">
        <v>326</v>
      </c>
      <c r="D60" s="38">
        <v>146</v>
      </c>
      <c r="E60" s="40">
        <v>0</v>
      </c>
      <c r="F60" s="40">
        <v>0</v>
      </c>
      <c r="G60" s="40">
        <v>0</v>
      </c>
      <c r="H60" s="41"/>
      <c r="I60" s="40"/>
      <c r="J60" s="40"/>
      <c r="K60" s="40"/>
      <c r="L60" s="40"/>
      <c r="M60" s="40"/>
      <c r="N60" s="40"/>
      <c r="O60" s="40"/>
      <c r="P60" s="40"/>
      <c r="Q60" s="40"/>
    </row>
    <row r="61" spans="1:17" ht="15" customHeight="1" x14ac:dyDescent="0.2">
      <c r="A61" s="35" t="s">
        <v>327</v>
      </c>
      <c r="B61" s="36" t="s">
        <v>313</v>
      </c>
      <c r="C61" s="37" t="s">
        <v>328</v>
      </c>
      <c r="D61" s="38">
        <v>244</v>
      </c>
      <c r="E61" s="40">
        <v>1911015</v>
      </c>
      <c r="F61" s="40">
        <v>1930422</v>
      </c>
      <c r="G61" s="40">
        <v>1100377.27</v>
      </c>
      <c r="H61" s="41">
        <v>-0.42419223815616303</v>
      </c>
      <c r="I61" s="40"/>
      <c r="J61" s="40"/>
      <c r="K61" s="40">
        <v>7204.51</v>
      </c>
      <c r="L61" s="40">
        <v>82317.36</v>
      </c>
      <c r="M61" s="40"/>
      <c r="N61" s="40">
        <v>209687.42</v>
      </c>
      <c r="O61" s="40">
        <v>546778.65</v>
      </c>
      <c r="P61" s="40">
        <v>116420.07</v>
      </c>
      <c r="Q61" s="40">
        <v>137969.26</v>
      </c>
    </row>
    <row r="62" spans="1:17" ht="15" customHeight="1" x14ac:dyDescent="0.2">
      <c r="A62" s="35" t="s">
        <v>329</v>
      </c>
      <c r="B62" s="36" t="s">
        <v>313</v>
      </c>
      <c r="C62" s="37" t="s">
        <v>331</v>
      </c>
      <c r="D62" s="38">
        <v>186</v>
      </c>
      <c r="E62" s="40">
        <v>1590100</v>
      </c>
      <c r="F62" s="40">
        <v>1618150</v>
      </c>
      <c r="G62" s="40">
        <v>344768.24</v>
      </c>
      <c r="H62" s="41">
        <v>-0.78317826551789205</v>
      </c>
      <c r="I62" s="40"/>
      <c r="J62" s="40"/>
      <c r="K62" s="40"/>
      <c r="L62" s="40"/>
      <c r="M62" s="40"/>
      <c r="N62" s="40">
        <v>224000.12</v>
      </c>
      <c r="O62" s="40">
        <v>43213.45</v>
      </c>
      <c r="P62" s="40">
        <v>61772.15</v>
      </c>
      <c r="Q62" s="40">
        <v>15782.52</v>
      </c>
    </row>
    <row r="63" spans="1:17" ht="15" customHeight="1" x14ac:dyDescent="0.2">
      <c r="A63" s="35" t="s">
        <v>334</v>
      </c>
      <c r="B63" s="36" t="s">
        <v>313</v>
      </c>
      <c r="C63" s="37" t="s">
        <v>335</v>
      </c>
      <c r="D63" s="38">
        <v>20</v>
      </c>
      <c r="E63" s="40">
        <v>256952</v>
      </c>
      <c r="F63" s="40">
        <v>272837</v>
      </c>
      <c r="G63" s="40">
        <v>91340.7</v>
      </c>
      <c r="H63" s="41">
        <v>-0.64452232323546799</v>
      </c>
      <c r="I63" s="40"/>
      <c r="J63" s="40"/>
      <c r="K63" s="40"/>
      <c r="L63" s="40"/>
      <c r="M63" s="40"/>
      <c r="N63" s="40">
        <v>32236.67</v>
      </c>
      <c r="O63" s="40">
        <v>42798.91</v>
      </c>
      <c r="P63" s="40">
        <v>4486.5200000000004</v>
      </c>
      <c r="Q63" s="40">
        <v>11818.6</v>
      </c>
    </row>
    <row r="64" spans="1:17" ht="15" customHeight="1" x14ac:dyDescent="0.2">
      <c r="A64" s="35" t="s">
        <v>338</v>
      </c>
      <c r="B64" s="36" t="s">
        <v>313</v>
      </c>
      <c r="C64" s="37" t="s">
        <v>339</v>
      </c>
      <c r="D64" s="38">
        <v>239</v>
      </c>
      <c r="E64" s="40">
        <v>0</v>
      </c>
      <c r="F64" s="40">
        <v>0</v>
      </c>
      <c r="G64" s="40">
        <v>0</v>
      </c>
      <c r="H64" s="41"/>
      <c r="I64" s="40"/>
      <c r="J64" s="40"/>
      <c r="K64" s="40"/>
      <c r="L64" s="40"/>
      <c r="M64" s="40"/>
      <c r="N64" s="40"/>
      <c r="O64" s="40"/>
      <c r="P64" s="40"/>
      <c r="Q64" s="40"/>
    </row>
    <row r="65" spans="1:17" ht="15" customHeight="1" x14ac:dyDescent="0.2">
      <c r="A65" s="35" t="s">
        <v>341</v>
      </c>
      <c r="B65" s="36" t="s">
        <v>313</v>
      </c>
      <c r="C65" s="37" t="s">
        <v>342</v>
      </c>
      <c r="D65" s="38">
        <v>201</v>
      </c>
      <c r="E65" s="40">
        <v>0</v>
      </c>
      <c r="F65" s="40">
        <v>0</v>
      </c>
      <c r="G65" s="40">
        <v>0</v>
      </c>
      <c r="H65" s="41"/>
      <c r="I65" s="40"/>
      <c r="J65" s="40"/>
      <c r="K65" s="40"/>
      <c r="L65" s="40"/>
      <c r="M65" s="40"/>
      <c r="N65" s="40"/>
      <c r="O65" s="40"/>
      <c r="P65" s="40"/>
      <c r="Q65" s="40"/>
    </row>
    <row r="66" spans="1:17" ht="15" customHeight="1" x14ac:dyDescent="0.2">
      <c r="A66" s="35" t="s">
        <v>343</v>
      </c>
      <c r="B66" s="36" t="s">
        <v>313</v>
      </c>
      <c r="C66" s="37" t="s">
        <v>344</v>
      </c>
      <c r="D66" s="38">
        <v>166</v>
      </c>
      <c r="E66" s="40">
        <v>0</v>
      </c>
      <c r="F66" s="40">
        <v>0</v>
      </c>
      <c r="G66" s="40">
        <v>0</v>
      </c>
      <c r="H66" s="41"/>
      <c r="I66" s="40"/>
      <c r="J66" s="40"/>
      <c r="K66" s="40"/>
      <c r="L66" s="40"/>
      <c r="M66" s="40"/>
      <c r="N66" s="40"/>
      <c r="O66" s="40"/>
      <c r="P66" s="40"/>
      <c r="Q66" s="40"/>
    </row>
    <row r="67" spans="1:17" ht="15" customHeight="1" x14ac:dyDescent="0.2">
      <c r="A67" s="35" t="s">
        <v>346</v>
      </c>
      <c r="B67" s="36" t="s">
        <v>313</v>
      </c>
      <c r="C67" s="37" t="s">
        <v>347</v>
      </c>
      <c r="D67" s="38">
        <v>104</v>
      </c>
      <c r="E67" s="40">
        <v>0</v>
      </c>
      <c r="F67" s="40">
        <v>0</v>
      </c>
      <c r="G67" s="40">
        <v>0</v>
      </c>
      <c r="H67" s="41"/>
      <c r="I67" s="40"/>
      <c r="J67" s="40"/>
      <c r="K67" s="40"/>
      <c r="L67" s="40"/>
      <c r="M67" s="40"/>
      <c r="N67" s="40"/>
      <c r="O67" s="40"/>
      <c r="P67" s="40"/>
      <c r="Q67" s="40"/>
    </row>
    <row r="68" spans="1:17" ht="15" customHeight="1" x14ac:dyDescent="0.2">
      <c r="A68" s="35" t="s">
        <v>349</v>
      </c>
      <c r="B68" s="36" t="s">
        <v>313</v>
      </c>
      <c r="C68" s="37" t="s">
        <v>350</v>
      </c>
      <c r="D68" s="38">
        <v>406</v>
      </c>
      <c r="E68" s="40">
        <v>0</v>
      </c>
      <c r="F68" s="40">
        <v>0</v>
      </c>
      <c r="G68" s="40">
        <v>0</v>
      </c>
      <c r="H68" s="41"/>
      <c r="I68" s="40"/>
      <c r="J68" s="40"/>
      <c r="K68" s="40"/>
      <c r="L68" s="40"/>
      <c r="M68" s="40"/>
      <c r="N68" s="40"/>
      <c r="O68" s="40"/>
      <c r="P68" s="40"/>
      <c r="Q68" s="40"/>
    </row>
    <row r="69" spans="1:17" ht="15" customHeight="1" x14ac:dyDescent="0.2">
      <c r="A69" s="35" t="s">
        <v>352</v>
      </c>
      <c r="B69" s="36" t="s">
        <v>313</v>
      </c>
      <c r="C69" s="37" t="s">
        <v>353</v>
      </c>
      <c r="D69" s="38"/>
      <c r="E69" s="40">
        <v>0</v>
      </c>
      <c r="F69" s="40">
        <v>0</v>
      </c>
      <c r="G69" s="40">
        <v>0</v>
      </c>
      <c r="H69" s="41"/>
      <c r="I69" s="40"/>
      <c r="J69" s="40"/>
      <c r="K69" s="40"/>
      <c r="L69" s="40"/>
      <c r="M69" s="40"/>
      <c r="N69" s="40"/>
      <c r="O69" s="40"/>
      <c r="P69" s="40"/>
      <c r="Q69" s="40"/>
    </row>
    <row r="71" spans="1:17" ht="15" customHeight="1" x14ac:dyDescent="0.2">
      <c r="A71" s="5" t="s">
        <v>355</v>
      </c>
      <c r="B71" s="5"/>
      <c r="C71" s="5"/>
      <c r="D71" s="45">
        <f t="shared" ref="D71:Q71" si="0">IFERROR(MEDIAN(D5:D69),"")</f>
        <v>136</v>
      </c>
      <c r="E71" s="47">
        <f t="shared" si="0"/>
        <v>520410</v>
      </c>
      <c r="F71" s="47">
        <f t="shared" si="0"/>
        <v>502391</v>
      </c>
      <c r="G71" s="47">
        <f t="shared" si="0"/>
        <v>344768.24</v>
      </c>
      <c r="H71" s="48">
        <f t="shared" si="0"/>
        <v>-0.25365622366909302</v>
      </c>
      <c r="I71" s="47">
        <f t="shared" si="0"/>
        <v>15.84</v>
      </c>
      <c r="J71" s="47">
        <f t="shared" si="0"/>
        <v>133.04</v>
      </c>
      <c r="K71" s="47">
        <f t="shared" si="0"/>
        <v>3692.17</v>
      </c>
      <c r="L71" s="47">
        <f t="shared" si="0"/>
        <v>20594.035</v>
      </c>
      <c r="M71" s="47">
        <f t="shared" si="0"/>
        <v>81.680000000000007</v>
      </c>
      <c r="N71" s="47">
        <f t="shared" si="0"/>
        <v>77241.990000000005</v>
      </c>
      <c r="O71" s="47">
        <f t="shared" si="0"/>
        <v>205362.755</v>
      </c>
      <c r="P71" s="47">
        <f t="shared" si="0"/>
        <v>38532.384999999995</v>
      </c>
      <c r="Q71" s="47">
        <f t="shared" si="0"/>
        <v>42316.214999999997</v>
      </c>
    </row>
  </sheetData>
  <mergeCells count="1">
    <mergeCell ref="A71:C71"/>
  </mergeCells>
  <conditionalFormatting sqref="H5:H69">
    <cfRule type="colorScale" priority="2">
      <colorScale>
        <cfvo type="num" val="-0.5"/>
        <cfvo type="num" val="0"/>
        <cfvo type="num" val="0.5"/>
        <color rgb="FF2E7D5B"/>
        <color rgb="FFFFFFFF"/>
        <color rgb="FFC0392B"/>
      </colorScale>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71"/>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640625" defaultRowHeight="15" x14ac:dyDescent="0.2"/>
  <cols>
    <col min="1" max="1" width="8" customWidth="1"/>
    <col min="2" max="2" width="10" customWidth="1"/>
    <col min="3" max="3" width="32" customWidth="1"/>
    <col min="4" max="6" width="11" customWidth="1"/>
    <col min="7" max="7" width="14" customWidth="1"/>
    <col min="8" max="9" width="11" customWidth="1"/>
    <col min="10" max="12" width="13" customWidth="1"/>
    <col min="13" max="13" width="11" customWidth="1"/>
    <col min="14" max="14" width="12" customWidth="1"/>
    <col min="15" max="19" width="11" customWidth="1"/>
  </cols>
  <sheetData>
    <row r="1" spans="1:19" ht="21.75" customHeight="1" x14ac:dyDescent="0.25">
      <c r="A1" s="13" t="s">
        <v>415</v>
      </c>
    </row>
    <row r="2" spans="1:19" ht="15" customHeight="1" x14ac:dyDescent="0.2">
      <c r="A2" s="8" t="s">
        <v>416</v>
      </c>
    </row>
    <row r="4" spans="1:19" ht="27.75" customHeight="1" x14ac:dyDescent="0.2">
      <c r="A4" s="16" t="s">
        <v>102</v>
      </c>
      <c r="B4" s="16" t="s">
        <v>103</v>
      </c>
      <c r="C4" s="16" t="s">
        <v>358</v>
      </c>
      <c r="D4" s="16" t="s">
        <v>108</v>
      </c>
      <c r="E4" s="16" t="s">
        <v>359</v>
      </c>
      <c r="F4" s="16" t="s">
        <v>417</v>
      </c>
      <c r="G4" s="16" t="s">
        <v>418</v>
      </c>
      <c r="H4" s="16" t="s">
        <v>120</v>
      </c>
      <c r="I4" s="16" t="s">
        <v>419</v>
      </c>
      <c r="J4" s="16" t="s">
        <v>122</v>
      </c>
      <c r="K4" s="16" t="s">
        <v>123</v>
      </c>
      <c r="L4" s="16" t="s">
        <v>124</v>
      </c>
      <c r="M4" s="16" t="s">
        <v>125</v>
      </c>
      <c r="N4" s="16" t="s">
        <v>420</v>
      </c>
      <c r="O4" s="16" t="s">
        <v>421</v>
      </c>
      <c r="P4" s="16" t="s">
        <v>422</v>
      </c>
      <c r="Q4" s="16" t="s">
        <v>423</v>
      </c>
      <c r="R4" s="16" t="s">
        <v>424</v>
      </c>
      <c r="S4" s="16" t="s">
        <v>425</v>
      </c>
    </row>
    <row r="5" spans="1:19" ht="15" customHeight="1" x14ac:dyDescent="0.2">
      <c r="A5" s="26" t="s">
        <v>147</v>
      </c>
      <c r="B5" s="27" t="s">
        <v>148</v>
      </c>
      <c r="C5" s="28" t="s">
        <v>150</v>
      </c>
      <c r="D5" s="30">
        <v>18</v>
      </c>
      <c r="E5" s="29">
        <v>44632</v>
      </c>
      <c r="F5" s="29">
        <v>28</v>
      </c>
      <c r="G5" s="29">
        <v>25</v>
      </c>
      <c r="H5" s="30">
        <v>14.305403309038001</v>
      </c>
      <c r="I5" s="32">
        <v>0.66409750851407101</v>
      </c>
      <c r="J5" s="30"/>
      <c r="K5" s="33">
        <v>21.079762950349501</v>
      </c>
      <c r="L5" s="33">
        <v>14.42</v>
      </c>
      <c r="M5" s="34">
        <v>0.68</v>
      </c>
      <c r="N5" s="32">
        <v>0</v>
      </c>
      <c r="O5" s="29">
        <v>0</v>
      </c>
      <c r="P5" s="33"/>
      <c r="Q5" s="33"/>
      <c r="R5" s="33"/>
      <c r="S5" s="33"/>
    </row>
    <row r="6" spans="1:19" ht="15" customHeight="1" x14ac:dyDescent="0.2">
      <c r="A6" s="17" t="s">
        <v>152</v>
      </c>
      <c r="B6" s="18" t="s">
        <v>148</v>
      </c>
      <c r="C6" s="19" t="s">
        <v>153</v>
      </c>
      <c r="D6" s="21">
        <v>15</v>
      </c>
      <c r="E6" s="20">
        <v>59248.5</v>
      </c>
      <c r="F6" s="20">
        <v>50</v>
      </c>
      <c r="G6" s="20">
        <v>44</v>
      </c>
      <c r="H6" s="21">
        <v>22.788322852362501</v>
      </c>
      <c r="I6" s="23">
        <v>0.62347148029064003</v>
      </c>
      <c r="J6" s="21"/>
      <c r="K6" s="24">
        <v>20.027573693848801</v>
      </c>
      <c r="L6" s="24">
        <v>15.4</v>
      </c>
      <c r="M6" s="25">
        <v>0.77</v>
      </c>
      <c r="N6" s="23">
        <v>0</v>
      </c>
      <c r="O6" s="20">
        <v>0</v>
      </c>
      <c r="P6" s="24"/>
      <c r="Q6" s="24"/>
      <c r="R6" s="24"/>
      <c r="S6" s="24"/>
    </row>
    <row r="7" spans="1:19" ht="15" customHeight="1" x14ac:dyDescent="0.2">
      <c r="A7" s="26" t="s">
        <v>154</v>
      </c>
      <c r="B7" s="27" t="s">
        <v>148</v>
      </c>
      <c r="C7" s="28" t="s">
        <v>155</v>
      </c>
      <c r="D7" s="30">
        <v>16</v>
      </c>
      <c r="E7" s="29">
        <v>8318</v>
      </c>
      <c r="F7" s="29">
        <v>24</v>
      </c>
      <c r="G7" s="29">
        <v>17</v>
      </c>
      <c r="H7" s="30">
        <v>2.9993365257024198</v>
      </c>
      <c r="I7" s="32">
        <v>0.71237076220245299</v>
      </c>
      <c r="J7" s="30"/>
      <c r="K7" s="33">
        <v>20.670281317624401</v>
      </c>
      <c r="L7" s="33">
        <v>14.64</v>
      </c>
      <c r="M7" s="34">
        <v>0.71</v>
      </c>
      <c r="N7" s="32">
        <v>0</v>
      </c>
      <c r="O7" s="29">
        <v>0</v>
      </c>
      <c r="P7" s="33"/>
      <c r="Q7" s="33"/>
      <c r="R7" s="33"/>
      <c r="S7" s="33"/>
    </row>
    <row r="8" spans="1:19" ht="15" customHeight="1" x14ac:dyDescent="0.2">
      <c r="A8" s="17" t="s">
        <v>157</v>
      </c>
      <c r="B8" s="18" t="s">
        <v>148</v>
      </c>
      <c r="C8" s="19" t="s">
        <v>158</v>
      </c>
      <c r="D8" s="21">
        <v>24</v>
      </c>
      <c r="E8" s="20">
        <v>19847</v>
      </c>
      <c r="F8" s="20">
        <v>23</v>
      </c>
      <c r="G8" s="20">
        <v>14</v>
      </c>
      <c r="H8" s="21">
        <v>4.7710052116386903</v>
      </c>
      <c r="I8" s="23">
        <v>0.79858416889202399</v>
      </c>
      <c r="J8" s="21"/>
      <c r="K8" s="24">
        <v>19.323852471406301</v>
      </c>
      <c r="L8" s="24">
        <v>15.1</v>
      </c>
      <c r="M8" s="25">
        <v>0.78</v>
      </c>
      <c r="N8" s="23">
        <v>0</v>
      </c>
      <c r="O8" s="20">
        <v>0</v>
      </c>
      <c r="P8" s="24"/>
      <c r="Q8" s="24"/>
      <c r="R8" s="24"/>
      <c r="S8" s="24"/>
    </row>
    <row r="9" spans="1:19" ht="15" customHeight="1" x14ac:dyDescent="0.2">
      <c r="A9" s="26" t="s">
        <v>159</v>
      </c>
      <c r="B9" s="27" t="s">
        <v>148</v>
      </c>
      <c r="C9" s="28" t="s">
        <v>160</v>
      </c>
      <c r="D9" s="30">
        <v>17</v>
      </c>
      <c r="E9" s="29">
        <v>13606</v>
      </c>
      <c r="F9" s="29">
        <v>32</v>
      </c>
      <c r="G9" s="29">
        <v>22</v>
      </c>
      <c r="H9" s="30">
        <v>4.6175096127414204</v>
      </c>
      <c r="I9" s="32">
        <v>0.70851095105100703</v>
      </c>
      <c r="J9" s="30"/>
      <c r="K9" s="33">
        <v>20.387108628546201</v>
      </c>
      <c r="L9" s="33">
        <v>15.85</v>
      </c>
      <c r="M9" s="34">
        <v>0.78</v>
      </c>
      <c r="N9" s="32">
        <v>0</v>
      </c>
      <c r="O9" s="29">
        <v>0</v>
      </c>
      <c r="P9" s="33"/>
      <c r="Q9" s="33"/>
      <c r="R9" s="33"/>
      <c r="S9" s="33"/>
    </row>
    <row r="10" spans="1:19" ht="15" customHeight="1" x14ac:dyDescent="0.2">
      <c r="A10" s="17" t="s">
        <v>161</v>
      </c>
      <c r="B10" s="18" t="s">
        <v>148</v>
      </c>
      <c r="C10" s="19" t="s">
        <v>162</v>
      </c>
      <c r="D10" s="21">
        <v>16</v>
      </c>
      <c r="E10" s="20">
        <v>14607.25</v>
      </c>
      <c r="F10" s="20">
        <v>42</v>
      </c>
      <c r="G10" s="20">
        <v>31</v>
      </c>
      <c r="H10" s="21">
        <v>5.2671385507413602</v>
      </c>
      <c r="I10" s="23">
        <v>0.35318807691651499</v>
      </c>
      <c r="J10" s="21">
        <v>43.6095238095238</v>
      </c>
      <c r="K10" s="24">
        <v>30.026359091607102</v>
      </c>
      <c r="L10" s="24">
        <v>30.02</v>
      </c>
      <c r="M10" s="25">
        <v>1</v>
      </c>
      <c r="N10" s="23">
        <v>0</v>
      </c>
      <c r="O10" s="20">
        <v>0</v>
      </c>
      <c r="P10" s="24"/>
      <c r="Q10" s="24"/>
      <c r="R10" s="24"/>
      <c r="S10" s="24"/>
    </row>
    <row r="11" spans="1:19" ht="15" customHeight="1" x14ac:dyDescent="0.2">
      <c r="A11" s="26" t="s">
        <v>165</v>
      </c>
      <c r="B11" s="27" t="s">
        <v>148</v>
      </c>
      <c r="C11" s="28" t="s">
        <v>166</v>
      </c>
      <c r="D11" s="30">
        <v>25</v>
      </c>
      <c r="E11" s="29">
        <v>51911</v>
      </c>
      <c r="F11" s="29">
        <v>54</v>
      </c>
      <c r="G11" s="29">
        <v>48</v>
      </c>
      <c r="H11" s="30">
        <v>11.9796919171523</v>
      </c>
      <c r="I11" s="32">
        <v>0.60966847103696697</v>
      </c>
      <c r="J11" s="30"/>
      <c r="K11" s="33">
        <v>19.733678796401499</v>
      </c>
      <c r="L11" s="33">
        <v>16.920000000000002</v>
      </c>
      <c r="M11" s="34">
        <v>0.86</v>
      </c>
      <c r="N11" s="32">
        <v>0</v>
      </c>
      <c r="O11" s="29">
        <v>0</v>
      </c>
      <c r="P11" s="33"/>
      <c r="Q11" s="33"/>
      <c r="R11" s="33"/>
      <c r="S11" s="33"/>
    </row>
    <row r="12" spans="1:19" ht="15" customHeight="1" x14ac:dyDescent="0.2">
      <c r="A12" s="17" t="s">
        <v>167</v>
      </c>
      <c r="B12" s="18" t="s">
        <v>148</v>
      </c>
      <c r="C12" s="19" t="s">
        <v>168</v>
      </c>
      <c r="D12" s="21">
        <v>16</v>
      </c>
      <c r="E12" s="20">
        <v>29950</v>
      </c>
      <c r="F12" s="20">
        <v>46</v>
      </c>
      <c r="G12" s="20">
        <v>30</v>
      </c>
      <c r="H12" s="21">
        <v>10.799486528587099</v>
      </c>
      <c r="I12" s="23">
        <v>0.65527545909849805</v>
      </c>
      <c r="J12" s="21"/>
      <c r="K12" s="24">
        <v>19.669532554257099</v>
      </c>
      <c r="L12" s="24">
        <v>14.93</v>
      </c>
      <c r="M12" s="25">
        <v>0.76</v>
      </c>
      <c r="N12" s="23">
        <v>0</v>
      </c>
      <c r="O12" s="20">
        <v>0</v>
      </c>
      <c r="P12" s="24"/>
      <c r="Q12" s="24"/>
      <c r="R12" s="24"/>
      <c r="S12" s="24"/>
    </row>
    <row r="13" spans="1:19" ht="15" customHeight="1" x14ac:dyDescent="0.2">
      <c r="A13" s="26" t="s">
        <v>169</v>
      </c>
      <c r="B13" s="27" t="s">
        <v>148</v>
      </c>
      <c r="C13" s="28" t="s">
        <v>170</v>
      </c>
      <c r="D13" s="30">
        <v>15</v>
      </c>
      <c r="E13" s="29">
        <v>47132</v>
      </c>
      <c r="F13" s="29">
        <v>49</v>
      </c>
      <c r="G13" s="29">
        <v>43</v>
      </c>
      <c r="H13" s="30">
        <v>18.1280409238639</v>
      </c>
      <c r="I13" s="32">
        <v>0.58448081982517197</v>
      </c>
      <c r="J13" s="30"/>
      <c r="K13" s="33">
        <v>19.043887380123898</v>
      </c>
      <c r="L13" s="33">
        <v>14.22</v>
      </c>
      <c r="M13" s="34">
        <v>0.75</v>
      </c>
      <c r="N13" s="32">
        <v>0</v>
      </c>
      <c r="O13" s="29">
        <v>0</v>
      </c>
      <c r="P13" s="33"/>
      <c r="Q13" s="33"/>
      <c r="R13" s="33"/>
      <c r="S13" s="33"/>
    </row>
    <row r="14" spans="1:19" ht="15" customHeight="1" x14ac:dyDescent="0.2">
      <c r="A14" s="17" t="s">
        <v>171</v>
      </c>
      <c r="B14" s="18" t="s">
        <v>148</v>
      </c>
      <c r="C14" s="19" t="s">
        <v>172</v>
      </c>
      <c r="D14" s="21">
        <v>22</v>
      </c>
      <c r="E14" s="20">
        <v>52897</v>
      </c>
      <c r="F14" s="20">
        <v>57</v>
      </c>
      <c r="G14" s="20">
        <v>43</v>
      </c>
      <c r="H14" s="21">
        <v>13.8718576755847</v>
      </c>
      <c r="I14" s="23">
        <v>0.62633041571355696</v>
      </c>
      <c r="J14" s="21"/>
      <c r="K14" s="24">
        <v>20.586762954420902</v>
      </c>
      <c r="L14" s="24">
        <v>15.19</v>
      </c>
      <c r="M14" s="25">
        <v>0.74</v>
      </c>
      <c r="N14" s="23">
        <v>0</v>
      </c>
      <c r="O14" s="20">
        <v>0</v>
      </c>
      <c r="P14" s="24"/>
      <c r="Q14" s="24"/>
      <c r="R14" s="24"/>
      <c r="S14" s="24"/>
    </row>
    <row r="15" spans="1:19" ht="15" customHeight="1" x14ac:dyDescent="0.2">
      <c r="A15" s="26" t="s">
        <v>173</v>
      </c>
      <c r="B15" s="27" t="s">
        <v>148</v>
      </c>
      <c r="C15" s="28" t="s">
        <v>174</v>
      </c>
      <c r="D15" s="30">
        <v>22</v>
      </c>
      <c r="E15" s="29">
        <v>76015</v>
      </c>
      <c r="F15" s="29">
        <v>58</v>
      </c>
      <c r="G15" s="29">
        <v>52</v>
      </c>
      <c r="H15" s="30">
        <v>19.9343868500968</v>
      </c>
      <c r="I15" s="32">
        <v>0.64076826942050902</v>
      </c>
      <c r="J15" s="30"/>
      <c r="K15" s="33">
        <v>19.6157600473591</v>
      </c>
      <c r="L15" s="33">
        <v>15.33</v>
      </c>
      <c r="M15" s="34">
        <v>0.78</v>
      </c>
      <c r="N15" s="32">
        <v>0</v>
      </c>
      <c r="O15" s="29">
        <v>0</v>
      </c>
      <c r="P15" s="33"/>
      <c r="Q15" s="33"/>
      <c r="R15" s="33"/>
      <c r="S15" s="33"/>
    </row>
    <row r="16" spans="1:19" ht="15" customHeight="1" x14ac:dyDescent="0.2">
      <c r="A16" s="17" t="s">
        <v>175</v>
      </c>
      <c r="B16" s="18" t="s">
        <v>148</v>
      </c>
      <c r="C16" s="19" t="s">
        <v>176</v>
      </c>
      <c r="D16" s="21">
        <v>19</v>
      </c>
      <c r="E16" s="20">
        <v>41555</v>
      </c>
      <c r="F16" s="20">
        <v>41</v>
      </c>
      <c r="G16" s="20">
        <v>35</v>
      </c>
      <c r="H16" s="21">
        <v>12.618157636634701</v>
      </c>
      <c r="I16" s="23">
        <v>0.64282276501022695</v>
      </c>
      <c r="J16" s="21"/>
      <c r="K16" s="24">
        <v>22.059655877752402</v>
      </c>
      <c r="L16" s="24">
        <v>15.46</v>
      </c>
      <c r="M16" s="25">
        <v>0.7</v>
      </c>
      <c r="N16" s="23">
        <v>0</v>
      </c>
      <c r="O16" s="20">
        <v>0</v>
      </c>
      <c r="P16" s="24"/>
      <c r="Q16" s="24"/>
      <c r="R16" s="24"/>
      <c r="S16" s="24"/>
    </row>
    <row r="17" spans="1:19" ht="15" customHeight="1" x14ac:dyDescent="0.2">
      <c r="A17" s="26" t="s">
        <v>177</v>
      </c>
      <c r="B17" s="27" t="s">
        <v>148</v>
      </c>
      <c r="C17" s="28" t="s">
        <v>178</v>
      </c>
      <c r="D17" s="30">
        <v>11</v>
      </c>
      <c r="E17" s="29">
        <v>3952</v>
      </c>
      <c r="F17" s="29">
        <v>21</v>
      </c>
      <c r="G17" s="29">
        <v>10</v>
      </c>
      <c r="H17" s="30">
        <v>2.0727671336336901</v>
      </c>
      <c r="I17" s="32">
        <v>0.78643724696356299</v>
      </c>
      <c r="J17" s="30"/>
      <c r="K17" s="33">
        <v>21.979504048582999</v>
      </c>
      <c r="L17" s="33">
        <v>22.11</v>
      </c>
      <c r="M17" s="34">
        <v>1.01</v>
      </c>
      <c r="N17" s="32">
        <v>0</v>
      </c>
      <c r="O17" s="29">
        <v>0</v>
      </c>
      <c r="P17" s="33"/>
      <c r="Q17" s="33"/>
      <c r="R17" s="33"/>
      <c r="S17" s="33"/>
    </row>
    <row r="18" spans="1:19" ht="15" customHeight="1" x14ac:dyDescent="0.2">
      <c r="A18" s="17" t="s">
        <v>179</v>
      </c>
      <c r="B18" s="18" t="s">
        <v>148</v>
      </c>
      <c r="C18" s="19" t="s">
        <v>181</v>
      </c>
      <c r="D18" s="21">
        <v>22.9</v>
      </c>
      <c r="E18" s="20">
        <v>33107</v>
      </c>
      <c r="F18" s="20">
        <v>52</v>
      </c>
      <c r="G18" s="20">
        <v>47</v>
      </c>
      <c r="H18" s="21">
        <v>8.3408557319417707</v>
      </c>
      <c r="I18" s="23">
        <v>0.24391641286976501</v>
      </c>
      <c r="J18" s="21">
        <v>24.653846153846199</v>
      </c>
      <c r="K18" s="24">
        <v>21.4920091668426</v>
      </c>
      <c r="L18" s="24">
        <v>32.301236898541099</v>
      </c>
      <c r="M18" s="25">
        <v>1.5029417048814</v>
      </c>
      <c r="N18" s="23">
        <v>1.20820370314435E-3</v>
      </c>
      <c r="O18" s="20">
        <v>40</v>
      </c>
      <c r="P18" s="24"/>
      <c r="Q18" s="24"/>
      <c r="R18" s="24"/>
      <c r="S18" s="24"/>
    </row>
    <row r="19" spans="1:19" ht="15" customHeight="1" x14ac:dyDescent="0.2">
      <c r="A19" s="26" t="s">
        <v>185</v>
      </c>
      <c r="B19" s="27" t="s">
        <v>148</v>
      </c>
      <c r="C19" s="28" t="s">
        <v>186</v>
      </c>
      <c r="D19" s="30">
        <v>15.1</v>
      </c>
      <c r="E19" s="29">
        <v>17098</v>
      </c>
      <c r="F19" s="29">
        <v>40</v>
      </c>
      <c r="G19" s="29">
        <v>28</v>
      </c>
      <c r="H19" s="30">
        <v>6.5327287878307398</v>
      </c>
      <c r="I19" s="32">
        <v>0.374362581325831</v>
      </c>
      <c r="J19" s="30">
        <v>17.850000000000001</v>
      </c>
      <c r="K19" s="33">
        <v>22.244241251978199</v>
      </c>
      <c r="L19" s="33">
        <v>33.716968066440501</v>
      </c>
      <c r="M19" s="34">
        <v>1.51576166093964</v>
      </c>
      <c r="N19" s="32">
        <v>2.16399578898117E-3</v>
      </c>
      <c r="O19" s="29">
        <v>37</v>
      </c>
      <c r="P19" s="33"/>
      <c r="Q19" s="33"/>
      <c r="R19" s="33"/>
      <c r="S19" s="33"/>
    </row>
    <row r="20" spans="1:19" ht="15" customHeight="1" x14ac:dyDescent="0.2">
      <c r="A20" s="17" t="s">
        <v>190</v>
      </c>
      <c r="B20" s="18" t="s">
        <v>148</v>
      </c>
      <c r="C20" s="19" t="s">
        <v>191</v>
      </c>
      <c r="D20" s="21">
        <v>17.8</v>
      </c>
      <c r="E20" s="20">
        <v>11488.5</v>
      </c>
      <c r="F20" s="20">
        <v>36</v>
      </c>
      <c r="G20" s="20">
        <v>27</v>
      </c>
      <c r="H20" s="21">
        <v>3.7236563105902398</v>
      </c>
      <c r="I20" s="23">
        <v>0.40773771605724701</v>
      </c>
      <c r="J20" s="21">
        <v>14.4722222222222</v>
      </c>
      <c r="K20" s="24">
        <v>24.397417930097301</v>
      </c>
      <c r="L20" s="24">
        <v>38.0012603908256</v>
      </c>
      <c r="M20" s="25">
        <v>1.55759353304131</v>
      </c>
      <c r="N20" s="23">
        <v>8.7043565304434895E-5</v>
      </c>
      <c r="O20" s="20">
        <v>1</v>
      </c>
      <c r="P20" s="24"/>
      <c r="Q20" s="24"/>
      <c r="R20" s="24"/>
      <c r="S20" s="24"/>
    </row>
    <row r="21" spans="1:19" ht="15" customHeight="1" x14ac:dyDescent="0.2">
      <c r="A21" s="26" t="s">
        <v>195</v>
      </c>
      <c r="B21" s="27" t="s">
        <v>148</v>
      </c>
      <c r="C21" s="28" t="s">
        <v>196</v>
      </c>
      <c r="D21" s="30">
        <v>16.100000000000001</v>
      </c>
      <c r="E21" s="29">
        <v>8541.5</v>
      </c>
      <c r="F21" s="29">
        <v>25</v>
      </c>
      <c r="G21" s="29">
        <v>16</v>
      </c>
      <c r="H21" s="30">
        <v>3.0607970363500798</v>
      </c>
      <c r="I21" s="32">
        <v>0.71936437974830403</v>
      </c>
      <c r="J21" s="30">
        <v>16.239999999999998</v>
      </c>
      <c r="K21" s="33">
        <v>24.440700574146</v>
      </c>
      <c r="L21" s="33">
        <v>37.489771117485198</v>
      </c>
      <c r="M21" s="34">
        <v>1.53390738550035</v>
      </c>
      <c r="N21" s="32">
        <v>0</v>
      </c>
      <c r="O21" s="29">
        <v>0</v>
      </c>
      <c r="P21" s="33"/>
      <c r="Q21" s="33"/>
      <c r="R21" s="33"/>
      <c r="S21" s="33"/>
    </row>
    <row r="22" spans="1:19" ht="15" customHeight="1" x14ac:dyDescent="0.2">
      <c r="A22" s="17" t="s">
        <v>201</v>
      </c>
      <c r="B22" s="18" t="s">
        <v>148</v>
      </c>
      <c r="C22" s="19" t="s">
        <v>202</v>
      </c>
      <c r="D22" s="21">
        <v>18.899999999999999</v>
      </c>
      <c r="E22" s="20">
        <v>21014</v>
      </c>
      <c r="F22" s="20">
        <v>43</v>
      </c>
      <c r="G22" s="20">
        <v>36</v>
      </c>
      <c r="H22" s="21">
        <v>6.4146532732467101</v>
      </c>
      <c r="I22" s="23">
        <v>0.37431733256682997</v>
      </c>
      <c r="J22" s="21">
        <v>18.930232558139501</v>
      </c>
      <c r="K22" s="24">
        <v>23.138425792852399</v>
      </c>
      <c r="L22" s="24">
        <v>34.123865042352698</v>
      </c>
      <c r="M22" s="25">
        <v>1.4747703818681499</v>
      </c>
      <c r="N22" s="23">
        <v>1.2229941943466299E-2</v>
      </c>
      <c r="O22" s="20">
        <v>257</v>
      </c>
      <c r="P22" s="24"/>
      <c r="Q22" s="24"/>
      <c r="R22" s="24"/>
      <c r="S22" s="24"/>
    </row>
    <row r="23" spans="1:19" ht="15" customHeight="1" x14ac:dyDescent="0.2">
      <c r="A23" s="26" t="s">
        <v>205</v>
      </c>
      <c r="B23" s="27" t="s">
        <v>148</v>
      </c>
      <c r="C23" s="28" t="s">
        <v>206</v>
      </c>
      <c r="D23" s="30">
        <v>12.4</v>
      </c>
      <c r="E23" s="29">
        <v>24097</v>
      </c>
      <c r="F23" s="29">
        <v>45</v>
      </c>
      <c r="G23" s="29">
        <v>41</v>
      </c>
      <c r="H23" s="30">
        <v>11.211598982362601</v>
      </c>
      <c r="I23" s="32">
        <v>0.25310470779220801</v>
      </c>
      <c r="J23" s="30">
        <v>19.088888888888899</v>
      </c>
      <c r="K23" s="33">
        <v>23.148518668831201</v>
      </c>
      <c r="L23" s="33">
        <v>35.839110677677702</v>
      </c>
      <c r="M23" s="34">
        <v>1.5482247996254801</v>
      </c>
      <c r="N23" s="32">
        <v>0</v>
      </c>
      <c r="O23" s="29">
        <v>0</v>
      </c>
      <c r="P23" s="33"/>
      <c r="Q23" s="33"/>
      <c r="R23" s="33"/>
      <c r="S23" s="33"/>
    </row>
    <row r="24" spans="1:19" ht="15" customHeight="1" x14ac:dyDescent="0.2">
      <c r="A24" s="17" t="s">
        <v>210</v>
      </c>
      <c r="B24" s="18" t="s">
        <v>148</v>
      </c>
      <c r="C24" s="19" t="s">
        <v>211</v>
      </c>
      <c r="D24" s="21">
        <v>14</v>
      </c>
      <c r="E24" s="20">
        <v>7596</v>
      </c>
      <c r="F24" s="20">
        <v>21</v>
      </c>
      <c r="G24" s="20">
        <v>12</v>
      </c>
      <c r="H24" s="21">
        <v>3.1302799779116599</v>
      </c>
      <c r="I24" s="23">
        <v>0.69982914969115495</v>
      </c>
      <c r="J24" s="21">
        <v>17.761904761904798</v>
      </c>
      <c r="K24" s="24">
        <v>24.713562886056</v>
      </c>
      <c r="L24" s="24">
        <v>37.628709847288</v>
      </c>
      <c r="M24" s="25">
        <v>1.5225934852363601</v>
      </c>
      <c r="N24" s="23">
        <v>0</v>
      </c>
      <c r="O24" s="20">
        <v>0</v>
      </c>
      <c r="P24" s="24"/>
      <c r="Q24" s="24"/>
      <c r="R24" s="24"/>
      <c r="S24" s="24"/>
    </row>
    <row r="25" spans="1:19" ht="15" customHeight="1" x14ac:dyDescent="0.2">
      <c r="A25" s="26" t="s">
        <v>214</v>
      </c>
      <c r="B25" s="27" t="s">
        <v>148</v>
      </c>
      <c r="C25" s="28" t="s">
        <v>215</v>
      </c>
      <c r="D25" s="30">
        <v>20.5</v>
      </c>
      <c r="E25" s="29">
        <v>18665</v>
      </c>
      <c r="F25" s="29">
        <v>45</v>
      </c>
      <c r="G25" s="29">
        <v>30</v>
      </c>
      <c r="H25" s="30">
        <v>5.2529152765132903</v>
      </c>
      <c r="I25" s="32">
        <v>0.43845325555086101</v>
      </c>
      <c r="J25" s="30">
        <v>16.488888888888901</v>
      </c>
      <c r="K25" s="33">
        <v>26.235092071367198</v>
      </c>
      <c r="L25" s="33">
        <v>41.051130993838697</v>
      </c>
      <c r="M25" s="34">
        <v>1.5647412588516001</v>
      </c>
      <c r="N25" s="32">
        <v>2.8355210286632699E-2</v>
      </c>
      <c r="O25" s="29">
        <v>529.25</v>
      </c>
      <c r="P25" s="33"/>
      <c r="Q25" s="33"/>
      <c r="R25" s="33"/>
      <c r="S25" s="33"/>
    </row>
    <row r="26" spans="1:19" ht="15" customHeight="1" x14ac:dyDescent="0.2">
      <c r="A26" s="17" t="s">
        <v>219</v>
      </c>
      <c r="B26" s="18" t="s">
        <v>148</v>
      </c>
      <c r="C26" s="19" t="s">
        <v>220</v>
      </c>
      <c r="D26" s="21">
        <v>31.1</v>
      </c>
      <c r="E26" s="20">
        <v>22023</v>
      </c>
      <c r="F26" s="20">
        <v>72</v>
      </c>
      <c r="G26" s="20">
        <v>54</v>
      </c>
      <c r="H26" s="21">
        <v>4.0854730758178697</v>
      </c>
      <c r="I26" s="23">
        <v>0.28670938716872701</v>
      </c>
      <c r="J26" s="21">
        <v>26.5694444444444</v>
      </c>
      <c r="K26" s="24">
        <v>23.1074155986541</v>
      </c>
      <c r="L26" s="24">
        <v>25.651381737274701</v>
      </c>
      <c r="M26" s="25">
        <v>1.1100930620198299</v>
      </c>
      <c r="N26" s="23">
        <v>1.06933660264269E-2</v>
      </c>
      <c r="O26" s="20">
        <v>235.5</v>
      </c>
      <c r="P26" s="24"/>
      <c r="Q26" s="24"/>
      <c r="R26" s="24"/>
      <c r="S26" s="24"/>
    </row>
    <row r="27" spans="1:19" ht="15" customHeight="1" x14ac:dyDescent="0.2">
      <c r="A27" s="26" t="s">
        <v>224</v>
      </c>
      <c r="B27" s="27" t="s">
        <v>148</v>
      </c>
      <c r="C27" s="28" t="s">
        <v>225</v>
      </c>
      <c r="D27" s="30">
        <v>15.6</v>
      </c>
      <c r="E27" s="29">
        <v>5157</v>
      </c>
      <c r="F27" s="29">
        <v>26</v>
      </c>
      <c r="G27" s="29">
        <v>16</v>
      </c>
      <c r="H27" s="30">
        <v>1.9072112333521201</v>
      </c>
      <c r="I27" s="32">
        <v>0.61383230696352398</v>
      </c>
      <c r="J27" s="30">
        <v>12.653846153846199</v>
      </c>
      <c r="K27" s="33">
        <v>25.399147323543399</v>
      </c>
      <c r="L27" s="33">
        <v>39.651566802404503</v>
      </c>
      <c r="M27" s="34">
        <v>1.5611377144795</v>
      </c>
      <c r="N27" s="32">
        <v>3.78126817917394E-3</v>
      </c>
      <c r="O27" s="29">
        <v>19.5</v>
      </c>
      <c r="P27" s="33"/>
      <c r="Q27" s="33"/>
      <c r="R27" s="33"/>
      <c r="S27" s="33"/>
    </row>
    <row r="28" spans="1:19" ht="15" customHeight="1" x14ac:dyDescent="0.2">
      <c r="A28" s="17" t="s">
        <v>230</v>
      </c>
      <c r="B28" s="18" t="s">
        <v>148</v>
      </c>
      <c r="C28" s="19" t="s">
        <v>231</v>
      </c>
      <c r="D28" s="21">
        <v>24.8</v>
      </c>
      <c r="E28" s="20">
        <v>19509</v>
      </c>
      <c r="F28" s="20">
        <v>44</v>
      </c>
      <c r="G28" s="20">
        <v>25</v>
      </c>
      <c r="H28" s="21">
        <v>4.5384712733309396</v>
      </c>
      <c r="I28" s="23">
        <v>0.46768750958638</v>
      </c>
      <c r="J28" s="21">
        <v>19.386363636363601</v>
      </c>
      <c r="K28" s="24">
        <v>26.6936193056905</v>
      </c>
      <c r="L28" s="24">
        <v>39.783375365216102</v>
      </c>
      <c r="M28" s="25">
        <v>1.4903702232965901</v>
      </c>
      <c r="N28" s="23">
        <v>5.5359065046901397E-3</v>
      </c>
      <c r="O28" s="20">
        <v>108</v>
      </c>
      <c r="P28" s="24"/>
      <c r="Q28" s="24"/>
      <c r="R28" s="24"/>
      <c r="S28" s="24"/>
    </row>
    <row r="29" spans="1:19" ht="15" customHeight="1" x14ac:dyDescent="0.2">
      <c r="A29" s="26" t="s">
        <v>236</v>
      </c>
      <c r="B29" s="27" t="s">
        <v>148</v>
      </c>
      <c r="C29" s="28" t="s">
        <v>237</v>
      </c>
      <c r="D29" s="30">
        <v>17.100000000000001</v>
      </c>
      <c r="E29" s="29">
        <v>21637.75</v>
      </c>
      <c r="F29" s="29">
        <v>45</v>
      </c>
      <c r="G29" s="29">
        <v>36</v>
      </c>
      <c r="H29" s="30">
        <v>7.3003259509376504</v>
      </c>
      <c r="I29" s="32">
        <v>0.36990689184069397</v>
      </c>
      <c r="J29" s="30">
        <v>18.622222222222199</v>
      </c>
      <c r="K29" s="33">
        <v>24.727437631310099</v>
      </c>
      <c r="L29" s="33">
        <v>36.843580778962703</v>
      </c>
      <c r="M29" s="34">
        <v>1.4899878154908801</v>
      </c>
      <c r="N29" s="32">
        <v>1.0167415743319E-3</v>
      </c>
      <c r="O29" s="29">
        <v>22</v>
      </c>
      <c r="P29" s="33"/>
      <c r="Q29" s="33"/>
      <c r="R29" s="33"/>
      <c r="S29" s="33"/>
    </row>
    <row r="30" spans="1:19" ht="15" customHeight="1" x14ac:dyDescent="0.2">
      <c r="A30" s="17" t="s">
        <v>239</v>
      </c>
      <c r="B30" s="18" t="s">
        <v>148</v>
      </c>
      <c r="C30" s="19" t="s">
        <v>240</v>
      </c>
      <c r="D30" s="21">
        <v>16.600000000000001</v>
      </c>
      <c r="E30" s="20">
        <v>5204.75</v>
      </c>
      <c r="F30" s="20">
        <v>24</v>
      </c>
      <c r="G30" s="20">
        <v>13</v>
      </c>
      <c r="H30" s="21">
        <v>1.80891453658632</v>
      </c>
      <c r="I30" s="23">
        <v>0.69612579331249402</v>
      </c>
      <c r="J30" s="21">
        <v>13.25</v>
      </c>
      <c r="K30" s="24">
        <v>25.194752297054102</v>
      </c>
      <c r="L30" s="24">
        <v>38.973649070560597</v>
      </c>
      <c r="M30" s="25">
        <v>1.5468955047086399</v>
      </c>
      <c r="N30" s="23">
        <v>1.5850905422930999E-3</v>
      </c>
      <c r="O30" s="20">
        <v>8.25</v>
      </c>
      <c r="P30" s="24"/>
      <c r="Q30" s="24"/>
      <c r="R30" s="24"/>
      <c r="S30" s="24"/>
    </row>
    <row r="31" spans="1:19" ht="15" customHeight="1" x14ac:dyDescent="0.2">
      <c r="A31" s="26" t="s">
        <v>245</v>
      </c>
      <c r="B31" s="27" t="s">
        <v>148</v>
      </c>
      <c r="C31" s="28" t="s">
        <v>246</v>
      </c>
      <c r="D31" s="30">
        <v>17.899999999999999</v>
      </c>
      <c r="E31" s="29">
        <v>4098</v>
      </c>
      <c r="F31" s="29">
        <v>30</v>
      </c>
      <c r="G31" s="29">
        <v>10</v>
      </c>
      <c r="H31" s="30">
        <v>1.32082471289467</v>
      </c>
      <c r="I31" s="32">
        <v>0.69580078125</v>
      </c>
      <c r="J31" s="30">
        <v>9.8333333333333304</v>
      </c>
      <c r="K31" s="33">
        <v>27.34228515625</v>
      </c>
      <c r="L31" s="33">
        <v>41.759548560273302</v>
      </c>
      <c r="M31" s="34">
        <v>1.52728816635605</v>
      </c>
      <c r="N31" s="32">
        <v>4.3923865300146397E-3</v>
      </c>
      <c r="O31" s="29">
        <v>18</v>
      </c>
      <c r="P31" s="33"/>
      <c r="Q31" s="33"/>
      <c r="R31" s="33"/>
      <c r="S31" s="33"/>
    </row>
    <row r="32" spans="1:19" ht="15" customHeight="1" x14ac:dyDescent="0.2">
      <c r="A32" s="17" t="s">
        <v>249</v>
      </c>
      <c r="B32" s="18" t="s">
        <v>148</v>
      </c>
      <c r="C32" s="19" t="s">
        <v>250</v>
      </c>
      <c r="D32" s="21">
        <v>26</v>
      </c>
      <c r="E32" s="20">
        <v>14799</v>
      </c>
      <c r="F32" s="20">
        <v>50</v>
      </c>
      <c r="G32" s="20">
        <v>29</v>
      </c>
      <c r="H32" s="21">
        <v>3.2838649263965101</v>
      </c>
      <c r="I32" s="23">
        <v>0.42520055807464302</v>
      </c>
      <c r="J32" s="21">
        <v>15.04</v>
      </c>
      <c r="K32" s="24">
        <v>29.115399372165999</v>
      </c>
      <c r="L32" s="24">
        <v>45.324077302520401</v>
      </c>
      <c r="M32" s="25">
        <v>1.55670464015169</v>
      </c>
      <c r="N32" s="23">
        <v>4.1219001283870502E-2</v>
      </c>
      <c r="O32" s="20">
        <v>610</v>
      </c>
      <c r="P32" s="24"/>
      <c r="Q32" s="24"/>
      <c r="R32" s="24"/>
      <c r="S32" s="24"/>
    </row>
    <row r="33" spans="1:19" ht="15" customHeight="1" x14ac:dyDescent="0.2">
      <c r="A33" s="26" t="s">
        <v>254</v>
      </c>
      <c r="B33" s="27" t="s">
        <v>148</v>
      </c>
      <c r="C33" s="28" t="s">
        <v>255</v>
      </c>
      <c r="D33" s="30">
        <v>22.7</v>
      </c>
      <c r="E33" s="29">
        <v>11814.25</v>
      </c>
      <c r="F33" s="29">
        <v>36</v>
      </c>
      <c r="G33" s="29">
        <v>24</v>
      </c>
      <c r="H33" s="30">
        <v>3.00266279265113</v>
      </c>
      <c r="I33" s="32">
        <v>0.41373735698889103</v>
      </c>
      <c r="J33" s="30">
        <v>16.1944444444444</v>
      </c>
      <c r="K33" s="33">
        <v>26.393798706682102</v>
      </c>
      <c r="L33" s="33">
        <v>40.678600842203302</v>
      </c>
      <c r="M33" s="34">
        <v>1.5412181207514</v>
      </c>
      <c r="N33" s="32">
        <v>1.0940178174662E-2</v>
      </c>
      <c r="O33" s="29">
        <v>129.25</v>
      </c>
      <c r="P33" s="33"/>
      <c r="Q33" s="33"/>
      <c r="R33" s="33"/>
      <c r="S33" s="33"/>
    </row>
    <row r="34" spans="1:19" ht="15" customHeight="1" x14ac:dyDescent="0.2">
      <c r="A34" s="17" t="s">
        <v>259</v>
      </c>
      <c r="B34" s="18" t="s">
        <v>148</v>
      </c>
      <c r="C34" s="19" t="s">
        <v>260</v>
      </c>
      <c r="D34" s="21">
        <v>9.8000000000000007</v>
      </c>
      <c r="E34" s="20">
        <v>238</v>
      </c>
      <c r="F34" s="20">
        <v>12</v>
      </c>
      <c r="G34" s="20">
        <v>1</v>
      </c>
      <c r="H34" s="21">
        <v>0.14011258458267101</v>
      </c>
      <c r="I34" s="23">
        <v>0.84761904761904805</v>
      </c>
      <c r="J34" s="21">
        <v>3.4166666666666701</v>
      </c>
      <c r="K34" s="24">
        <v>27.5371428571429</v>
      </c>
      <c r="L34" s="24">
        <v>52.582226890756303</v>
      </c>
      <c r="M34" s="25">
        <v>1.90950191033043</v>
      </c>
      <c r="N34" s="23">
        <v>7.3529411764705899E-2</v>
      </c>
      <c r="O34" s="20">
        <v>17.5</v>
      </c>
      <c r="P34" s="24"/>
      <c r="Q34" s="24"/>
      <c r="R34" s="24"/>
      <c r="S34" s="24"/>
    </row>
    <row r="35" spans="1:19" ht="15" customHeight="1" x14ac:dyDescent="0.2">
      <c r="A35" s="26" t="s">
        <v>263</v>
      </c>
      <c r="B35" s="27" t="s">
        <v>148</v>
      </c>
      <c r="C35" s="28" t="s">
        <v>264</v>
      </c>
      <c r="D35" s="30">
        <v>17</v>
      </c>
      <c r="E35" s="29">
        <v>5454</v>
      </c>
      <c r="F35" s="29">
        <v>32</v>
      </c>
      <c r="G35" s="29">
        <v>15</v>
      </c>
      <c r="H35" s="30">
        <v>1.8509405723865699</v>
      </c>
      <c r="I35" s="32">
        <v>0.62497107686612097</v>
      </c>
      <c r="J35" s="30">
        <v>10.9375</v>
      </c>
      <c r="K35" s="33">
        <v>25.847702346244599</v>
      </c>
      <c r="L35" s="33">
        <v>40.884376604327102</v>
      </c>
      <c r="M35" s="34">
        <v>1.5817412339657</v>
      </c>
      <c r="N35" s="32">
        <v>3.5157682434910201E-2</v>
      </c>
      <c r="O35" s="29">
        <v>191.75</v>
      </c>
      <c r="P35" s="33"/>
      <c r="Q35" s="33"/>
      <c r="R35" s="33"/>
      <c r="S35" s="33"/>
    </row>
    <row r="36" spans="1:19" ht="15" customHeight="1" x14ac:dyDescent="0.2">
      <c r="A36" s="17" t="s">
        <v>266</v>
      </c>
      <c r="B36" s="18" t="s">
        <v>148</v>
      </c>
      <c r="C36" s="19" t="s">
        <v>268</v>
      </c>
      <c r="D36" s="21"/>
      <c r="E36" s="20">
        <v>14566.5</v>
      </c>
      <c r="F36" s="20">
        <v>44</v>
      </c>
      <c r="G36" s="20">
        <v>21</v>
      </c>
      <c r="H36" s="21"/>
      <c r="I36" s="23">
        <v>0.50206477594621401</v>
      </c>
      <c r="J36" s="21"/>
      <c r="K36" s="24">
        <v>32.575168083000598</v>
      </c>
      <c r="L36" s="24">
        <v>66.453500000000005</v>
      </c>
      <c r="M36" s="25">
        <v>1.3421000000000001</v>
      </c>
      <c r="N36" s="23">
        <v>5.9382830467167802E-2</v>
      </c>
      <c r="O36" s="20">
        <v>865</v>
      </c>
      <c r="P36" s="24">
        <v>23.31</v>
      </c>
      <c r="Q36" s="24">
        <v>29</v>
      </c>
      <c r="R36" s="24">
        <v>36.979999999999997</v>
      </c>
      <c r="S36" s="24">
        <v>47.82</v>
      </c>
    </row>
    <row r="37" spans="1:19" ht="15" customHeight="1" x14ac:dyDescent="0.2">
      <c r="A37" s="26" t="s">
        <v>270</v>
      </c>
      <c r="B37" s="27" t="s">
        <v>148</v>
      </c>
      <c r="C37" s="28" t="s">
        <v>271</v>
      </c>
      <c r="D37" s="30"/>
      <c r="E37" s="29">
        <v>7093</v>
      </c>
      <c r="F37" s="29">
        <v>35</v>
      </c>
      <c r="G37" s="29">
        <v>17</v>
      </c>
      <c r="H37" s="30"/>
      <c r="I37" s="32">
        <v>0.594386694386694</v>
      </c>
      <c r="J37" s="30"/>
      <c r="K37" s="33">
        <v>26.935620235620199</v>
      </c>
      <c r="L37" s="33">
        <v>54.948799999999999</v>
      </c>
      <c r="M37" s="34">
        <v>1.3421000000000001</v>
      </c>
      <c r="N37" s="32">
        <v>1.89623572536303E-2</v>
      </c>
      <c r="O37" s="29">
        <v>134.5</v>
      </c>
      <c r="P37" s="33">
        <v>17.82</v>
      </c>
      <c r="Q37" s="33">
        <v>23.8</v>
      </c>
      <c r="R37" s="33">
        <v>32.5</v>
      </c>
      <c r="S37" s="33">
        <v>43.34</v>
      </c>
    </row>
    <row r="38" spans="1:19" ht="15" customHeight="1" x14ac:dyDescent="0.2">
      <c r="A38" s="17" t="s">
        <v>272</v>
      </c>
      <c r="B38" s="18" t="s">
        <v>148</v>
      </c>
      <c r="C38" s="19" t="s">
        <v>273</v>
      </c>
      <c r="D38" s="21"/>
      <c r="E38" s="20">
        <v>10969</v>
      </c>
      <c r="F38" s="20">
        <v>32</v>
      </c>
      <c r="G38" s="20">
        <v>18</v>
      </c>
      <c r="H38" s="21"/>
      <c r="I38" s="23">
        <v>0.58426354478627796</v>
      </c>
      <c r="J38" s="21"/>
      <c r="K38" s="24">
        <v>29.496869044377899</v>
      </c>
      <c r="L38" s="24">
        <v>60.173699999999997</v>
      </c>
      <c r="M38" s="25">
        <v>1.3421000000000001</v>
      </c>
      <c r="N38" s="23">
        <v>3.7788312517093602E-2</v>
      </c>
      <c r="O38" s="20">
        <v>414.5</v>
      </c>
      <c r="P38" s="24">
        <v>18</v>
      </c>
      <c r="Q38" s="24">
        <v>23.61</v>
      </c>
      <c r="R38" s="24">
        <v>29.95</v>
      </c>
      <c r="S38" s="24">
        <v>44.69</v>
      </c>
    </row>
    <row r="39" spans="1:19" ht="15" customHeight="1" x14ac:dyDescent="0.2">
      <c r="A39" s="26" t="s">
        <v>275</v>
      </c>
      <c r="B39" s="27" t="s">
        <v>148</v>
      </c>
      <c r="C39" s="28" t="s">
        <v>276</v>
      </c>
      <c r="D39" s="30"/>
      <c r="E39" s="29">
        <v>7722.75</v>
      </c>
      <c r="F39" s="29">
        <v>24</v>
      </c>
      <c r="G39" s="29">
        <v>15</v>
      </c>
      <c r="H39" s="30"/>
      <c r="I39" s="32">
        <v>0.62733482244019301</v>
      </c>
      <c r="J39" s="30"/>
      <c r="K39" s="33">
        <v>28.4914700074455</v>
      </c>
      <c r="L39" s="33">
        <v>58.122700000000002</v>
      </c>
      <c r="M39" s="34">
        <v>1.3421000000000001</v>
      </c>
      <c r="N39" s="32">
        <v>1.2560292641869799E-2</v>
      </c>
      <c r="O39" s="29">
        <v>97</v>
      </c>
      <c r="P39" s="33">
        <v>19.75</v>
      </c>
      <c r="Q39" s="33">
        <v>28.63</v>
      </c>
      <c r="R39" s="33">
        <v>42.01</v>
      </c>
      <c r="S39" s="33">
        <v>49.64</v>
      </c>
    </row>
    <row r="40" spans="1:19" ht="15" customHeight="1" x14ac:dyDescent="0.2">
      <c r="A40" s="17" t="s">
        <v>277</v>
      </c>
      <c r="B40" s="18" t="s">
        <v>148</v>
      </c>
      <c r="C40" s="19" t="s">
        <v>278</v>
      </c>
      <c r="D40" s="21"/>
      <c r="E40" s="20">
        <v>14541</v>
      </c>
      <c r="F40" s="20">
        <v>39</v>
      </c>
      <c r="G40" s="20">
        <v>29</v>
      </c>
      <c r="H40" s="21"/>
      <c r="I40" s="23">
        <v>0.45725888324873099</v>
      </c>
      <c r="J40" s="21"/>
      <c r="K40" s="24">
        <v>27.414788494077801</v>
      </c>
      <c r="L40" s="24">
        <v>55.926299999999998</v>
      </c>
      <c r="M40" s="25">
        <v>1.3421000000000001</v>
      </c>
      <c r="N40" s="23">
        <v>2.6098617701671101E-2</v>
      </c>
      <c r="O40" s="20">
        <v>379.5</v>
      </c>
      <c r="P40" s="24">
        <v>18</v>
      </c>
      <c r="Q40" s="24">
        <v>22</v>
      </c>
      <c r="R40" s="24">
        <v>31.68</v>
      </c>
      <c r="S40" s="24">
        <v>43.76</v>
      </c>
    </row>
    <row r="41" spans="1:19" ht="15" customHeight="1" x14ac:dyDescent="0.2">
      <c r="A41" s="26" t="s">
        <v>280</v>
      </c>
      <c r="B41" s="27" t="s">
        <v>148</v>
      </c>
      <c r="C41" s="28" t="s">
        <v>281</v>
      </c>
      <c r="D41" s="30"/>
      <c r="E41" s="29">
        <v>12479.5</v>
      </c>
      <c r="F41" s="29">
        <v>32</v>
      </c>
      <c r="G41" s="29">
        <v>21</v>
      </c>
      <c r="H41" s="30"/>
      <c r="I41" s="32">
        <v>0.44761829715141299</v>
      </c>
      <c r="J41" s="30"/>
      <c r="K41" s="33">
        <v>27.5870730073677</v>
      </c>
      <c r="L41" s="33">
        <v>56.277700000000003</v>
      </c>
      <c r="M41" s="34">
        <v>1.3421000000000001</v>
      </c>
      <c r="N41" s="32">
        <v>4.1668336071156699E-2</v>
      </c>
      <c r="O41" s="29">
        <v>520</v>
      </c>
      <c r="P41" s="33">
        <v>20.5</v>
      </c>
      <c r="Q41" s="33">
        <v>27.24</v>
      </c>
      <c r="R41" s="33">
        <v>34.5</v>
      </c>
      <c r="S41" s="33">
        <v>46.36</v>
      </c>
    </row>
    <row r="42" spans="1:19" ht="15" customHeight="1" x14ac:dyDescent="0.2">
      <c r="A42" s="17" t="s">
        <v>282</v>
      </c>
      <c r="B42" s="18" t="s">
        <v>148</v>
      </c>
      <c r="C42" s="19" t="s">
        <v>283</v>
      </c>
      <c r="D42" s="21"/>
      <c r="E42" s="20">
        <v>5837</v>
      </c>
      <c r="F42" s="20">
        <v>33</v>
      </c>
      <c r="G42" s="20">
        <v>17</v>
      </c>
      <c r="H42" s="21"/>
      <c r="I42" s="23">
        <v>0.53445686634406797</v>
      </c>
      <c r="J42" s="21"/>
      <c r="K42" s="24">
        <v>25.144460203570802</v>
      </c>
      <c r="L42" s="24">
        <v>51.294800000000002</v>
      </c>
      <c r="M42" s="25">
        <v>1.3421000000000001</v>
      </c>
      <c r="N42" s="23">
        <v>3.75192735994518E-2</v>
      </c>
      <c r="O42" s="20">
        <v>219</v>
      </c>
      <c r="P42" s="24">
        <v>16</v>
      </c>
      <c r="Q42" s="24">
        <v>19</v>
      </c>
      <c r="R42" s="24">
        <v>28.15</v>
      </c>
      <c r="S42" s="24">
        <v>42.28</v>
      </c>
    </row>
    <row r="43" spans="1:19" ht="15" customHeight="1" x14ac:dyDescent="0.2">
      <c r="A43" s="26" t="s">
        <v>284</v>
      </c>
      <c r="B43" s="27" t="s">
        <v>148</v>
      </c>
      <c r="C43" s="28" t="s">
        <v>283</v>
      </c>
      <c r="D43" s="30"/>
      <c r="E43" s="29">
        <v>4658.5</v>
      </c>
      <c r="F43" s="29">
        <v>30</v>
      </c>
      <c r="G43" s="29">
        <v>15</v>
      </c>
      <c r="H43" s="30"/>
      <c r="I43" s="32">
        <v>0.52584822862035796</v>
      </c>
      <c r="J43" s="30"/>
      <c r="K43" s="33">
        <v>25.122712190945101</v>
      </c>
      <c r="L43" s="33">
        <v>51.250399999999999</v>
      </c>
      <c r="M43" s="34">
        <v>1.3421000000000001</v>
      </c>
      <c r="N43" s="32">
        <v>7.1696898143179102E-2</v>
      </c>
      <c r="O43" s="29">
        <v>334</v>
      </c>
      <c r="P43" s="33">
        <v>18</v>
      </c>
      <c r="Q43" s="33">
        <v>21</v>
      </c>
      <c r="R43" s="33">
        <v>31</v>
      </c>
      <c r="S43" s="33">
        <v>42.39</v>
      </c>
    </row>
    <row r="44" spans="1:19" ht="15" customHeight="1" x14ac:dyDescent="0.2">
      <c r="A44" s="17" t="s">
        <v>285</v>
      </c>
      <c r="B44" s="18" t="s">
        <v>148</v>
      </c>
      <c r="C44" s="19" t="s">
        <v>283</v>
      </c>
      <c r="D44" s="21"/>
      <c r="E44" s="20">
        <v>21791.25</v>
      </c>
      <c r="F44" s="20">
        <v>58</v>
      </c>
      <c r="G44" s="20">
        <v>36</v>
      </c>
      <c r="H44" s="21"/>
      <c r="I44" s="23">
        <v>0.385072814143474</v>
      </c>
      <c r="J44" s="21"/>
      <c r="K44" s="24">
        <v>26.185289595196899</v>
      </c>
      <c r="L44" s="24">
        <v>53.418100000000003</v>
      </c>
      <c r="M44" s="25">
        <v>1.3421000000000001</v>
      </c>
      <c r="N44" s="23">
        <v>6.3110193311535598E-2</v>
      </c>
      <c r="O44" s="20">
        <v>1375.25</v>
      </c>
      <c r="P44" s="24">
        <v>18</v>
      </c>
      <c r="Q44" s="24">
        <v>23.78</v>
      </c>
      <c r="R44" s="24">
        <v>32.1</v>
      </c>
      <c r="S44" s="24">
        <v>44.59</v>
      </c>
    </row>
    <row r="45" spans="1:19" ht="15" customHeight="1" x14ac:dyDescent="0.2">
      <c r="A45" s="26" t="s">
        <v>286</v>
      </c>
      <c r="B45" s="27" t="s">
        <v>148</v>
      </c>
      <c r="C45" s="28" t="s">
        <v>283</v>
      </c>
      <c r="D45" s="30"/>
      <c r="E45" s="29">
        <v>5681.5</v>
      </c>
      <c r="F45" s="29">
        <v>22</v>
      </c>
      <c r="G45" s="29">
        <v>14</v>
      </c>
      <c r="H45" s="30"/>
      <c r="I45" s="32">
        <v>0.67250802463780701</v>
      </c>
      <c r="J45" s="30"/>
      <c r="K45" s="33">
        <v>28.405222521037601</v>
      </c>
      <c r="L45" s="33">
        <v>57.997900000000001</v>
      </c>
      <c r="M45" s="34">
        <v>1.3421000000000001</v>
      </c>
      <c r="N45" s="32">
        <v>2.5433424271759202E-2</v>
      </c>
      <c r="O45" s="29">
        <v>144.5</v>
      </c>
      <c r="P45" s="33">
        <v>21.52</v>
      </c>
      <c r="Q45" s="33">
        <v>26</v>
      </c>
      <c r="R45" s="33">
        <v>33.340000000000003</v>
      </c>
      <c r="S45" s="33">
        <v>48.9</v>
      </c>
    </row>
    <row r="46" spans="1:19" ht="15" customHeight="1" x14ac:dyDescent="0.2">
      <c r="A46" s="17" t="s">
        <v>287</v>
      </c>
      <c r="B46" s="18" t="s">
        <v>148</v>
      </c>
      <c r="C46" s="19" t="s">
        <v>288</v>
      </c>
      <c r="D46" s="21"/>
      <c r="E46" s="20">
        <v>18720.5</v>
      </c>
      <c r="F46" s="20">
        <v>45</v>
      </c>
      <c r="G46" s="20">
        <v>31</v>
      </c>
      <c r="H46" s="21"/>
      <c r="I46" s="23">
        <v>0.35720497212133601</v>
      </c>
      <c r="J46" s="21"/>
      <c r="K46" s="24">
        <v>27.520423039541701</v>
      </c>
      <c r="L46" s="24">
        <v>55.299199999999999</v>
      </c>
      <c r="M46" s="25">
        <v>1.3353999999999999</v>
      </c>
      <c r="N46" s="23">
        <v>1.3220800726476301E-2</v>
      </c>
      <c r="O46" s="20">
        <v>247.5</v>
      </c>
      <c r="P46" s="24">
        <v>19.899999999999999</v>
      </c>
      <c r="Q46" s="24">
        <v>27</v>
      </c>
      <c r="R46" s="24">
        <v>35.15</v>
      </c>
      <c r="S46" s="24">
        <v>49.1</v>
      </c>
    </row>
    <row r="47" spans="1:19" ht="15" customHeight="1" x14ac:dyDescent="0.2">
      <c r="A47" s="26" t="s">
        <v>289</v>
      </c>
      <c r="B47" s="27" t="s">
        <v>148</v>
      </c>
      <c r="C47" s="28" t="s">
        <v>290</v>
      </c>
      <c r="D47" s="30"/>
      <c r="E47" s="29">
        <v>15292.5</v>
      </c>
      <c r="F47" s="29">
        <v>39</v>
      </c>
      <c r="G47" s="29">
        <v>25</v>
      </c>
      <c r="H47" s="30"/>
      <c r="I47" s="32">
        <v>0.43262019933123402</v>
      </c>
      <c r="J47" s="30"/>
      <c r="K47" s="33">
        <v>28.7791611206701</v>
      </c>
      <c r="L47" s="33">
        <v>58.709600000000002</v>
      </c>
      <c r="M47" s="34">
        <v>1.3421000000000001</v>
      </c>
      <c r="N47" s="32">
        <v>2.54046101029917E-2</v>
      </c>
      <c r="O47" s="29">
        <v>388.5</v>
      </c>
      <c r="P47" s="33">
        <v>18.25</v>
      </c>
      <c r="Q47" s="33">
        <v>26</v>
      </c>
      <c r="R47" s="33">
        <v>32.799999999999997</v>
      </c>
      <c r="S47" s="33">
        <v>47.94</v>
      </c>
    </row>
    <row r="48" spans="1:19" ht="15" customHeight="1" x14ac:dyDescent="0.2">
      <c r="A48" s="17" t="s">
        <v>292</v>
      </c>
      <c r="B48" s="18" t="s">
        <v>148</v>
      </c>
      <c r="C48" s="19" t="s">
        <v>293</v>
      </c>
      <c r="D48" s="21"/>
      <c r="E48" s="20">
        <v>19334</v>
      </c>
      <c r="F48" s="20">
        <v>39</v>
      </c>
      <c r="G48" s="20">
        <v>23</v>
      </c>
      <c r="H48" s="21"/>
      <c r="I48" s="23">
        <v>0.47977922211905499</v>
      </c>
      <c r="J48" s="21"/>
      <c r="K48" s="24">
        <v>28.753301351490801</v>
      </c>
      <c r="L48" s="24">
        <v>56.3566</v>
      </c>
      <c r="M48" s="25">
        <v>1.3243</v>
      </c>
      <c r="N48" s="23">
        <v>2.1128581773042301E-2</v>
      </c>
      <c r="O48" s="20">
        <v>408.5</v>
      </c>
      <c r="P48" s="24">
        <v>19.3</v>
      </c>
      <c r="Q48" s="24">
        <v>25</v>
      </c>
      <c r="R48" s="24">
        <v>31.8</v>
      </c>
      <c r="S48" s="24">
        <v>47.83</v>
      </c>
    </row>
    <row r="49" spans="1:19" ht="15" customHeight="1" x14ac:dyDescent="0.2">
      <c r="A49" s="26" t="s">
        <v>295</v>
      </c>
      <c r="B49" s="27" t="s">
        <v>148</v>
      </c>
      <c r="C49" s="28" t="s">
        <v>296</v>
      </c>
      <c r="D49" s="30"/>
      <c r="E49" s="29">
        <v>8861.5</v>
      </c>
      <c r="F49" s="29">
        <v>36</v>
      </c>
      <c r="G49" s="29">
        <v>18</v>
      </c>
      <c r="H49" s="30"/>
      <c r="I49" s="32">
        <v>0.62106076210092698</v>
      </c>
      <c r="J49" s="30"/>
      <c r="K49" s="33">
        <v>29.134552008238899</v>
      </c>
      <c r="L49" s="33">
        <v>58.477699999999999</v>
      </c>
      <c r="M49" s="34">
        <v>1.3349</v>
      </c>
      <c r="N49" s="32">
        <v>2.9453252835298802E-2</v>
      </c>
      <c r="O49" s="29">
        <v>261</v>
      </c>
      <c r="P49" s="33">
        <v>20.25</v>
      </c>
      <c r="Q49" s="33">
        <v>27.76</v>
      </c>
      <c r="R49" s="33">
        <v>34.78</v>
      </c>
      <c r="S49" s="33">
        <v>51.25</v>
      </c>
    </row>
    <row r="50" spans="1:19" ht="15" customHeight="1" x14ac:dyDescent="0.2">
      <c r="A50" s="17" t="s">
        <v>298</v>
      </c>
      <c r="B50" s="18" t="s">
        <v>148</v>
      </c>
      <c r="C50" s="19" t="s">
        <v>299</v>
      </c>
      <c r="D50" s="21"/>
      <c r="E50" s="20">
        <v>9850.5</v>
      </c>
      <c r="F50" s="20">
        <v>38</v>
      </c>
      <c r="G50" s="20">
        <v>25</v>
      </c>
      <c r="H50" s="21"/>
      <c r="I50" s="23">
        <v>0.51356422088129405</v>
      </c>
      <c r="J50" s="21"/>
      <c r="K50" s="24">
        <v>33.914659500025401</v>
      </c>
      <c r="L50" s="24">
        <v>67.357399999999998</v>
      </c>
      <c r="M50" s="25">
        <v>1.3302</v>
      </c>
      <c r="N50" s="23">
        <v>1.38571646109335E-2</v>
      </c>
      <c r="O50" s="20">
        <v>136.5</v>
      </c>
      <c r="P50" s="24">
        <v>25.99</v>
      </c>
      <c r="Q50" s="24">
        <v>35.409999999999997</v>
      </c>
      <c r="R50" s="24">
        <v>43.85</v>
      </c>
      <c r="S50" s="24">
        <v>55.8</v>
      </c>
    </row>
    <row r="51" spans="1:19" ht="15" customHeight="1" x14ac:dyDescent="0.2">
      <c r="A51" s="26" t="s">
        <v>300</v>
      </c>
      <c r="B51" s="27" t="s">
        <v>148</v>
      </c>
      <c r="C51" s="28" t="s">
        <v>301</v>
      </c>
      <c r="D51" s="30"/>
      <c r="E51" s="29">
        <v>16334</v>
      </c>
      <c r="F51" s="29">
        <v>66</v>
      </c>
      <c r="G51" s="29">
        <v>53</v>
      </c>
      <c r="H51" s="30"/>
      <c r="I51" s="32">
        <v>0.27366915467733999</v>
      </c>
      <c r="J51" s="30"/>
      <c r="K51" s="33">
        <v>32.758596858135299</v>
      </c>
      <c r="L51" s="33">
        <v>62.298400000000001</v>
      </c>
      <c r="M51" s="34">
        <v>1.3108</v>
      </c>
      <c r="N51" s="32">
        <v>8.11191379943676E-3</v>
      </c>
      <c r="O51" s="29">
        <v>132.5</v>
      </c>
      <c r="P51" s="33">
        <v>23.65</v>
      </c>
      <c r="Q51" s="33">
        <v>33</v>
      </c>
      <c r="R51" s="33">
        <v>38</v>
      </c>
      <c r="S51" s="33">
        <v>46.64</v>
      </c>
    </row>
    <row r="52" spans="1:19" ht="15" customHeight="1" x14ac:dyDescent="0.2">
      <c r="A52" s="17" t="s">
        <v>302</v>
      </c>
      <c r="B52" s="18" t="s">
        <v>148</v>
      </c>
      <c r="C52" s="19" t="s">
        <v>303</v>
      </c>
      <c r="D52" s="21"/>
      <c r="E52" s="20">
        <v>7091</v>
      </c>
      <c r="F52" s="20">
        <v>23</v>
      </c>
      <c r="G52" s="20">
        <v>14</v>
      </c>
      <c r="H52" s="21"/>
      <c r="I52" s="23">
        <v>0.70865642182433397</v>
      </c>
      <c r="J52" s="21"/>
      <c r="K52" s="24">
        <v>31.213943324404301</v>
      </c>
      <c r="L52" s="24">
        <v>63.676600000000001</v>
      </c>
      <c r="M52" s="25">
        <v>1.3421000000000001</v>
      </c>
      <c r="N52" s="23">
        <v>1.77690029615005E-2</v>
      </c>
      <c r="O52" s="20">
        <v>126</v>
      </c>
      <c r="P52" s="24">
        <v>21.42</v>
      </c>
      <c r="Q52" s="24">
        <v>27.39</v>
      </c>
      <c r="R52" s="24">
        <v>35.090000000000003</v>
      </c>
      <c r="S52" s="24">
        <v>50</v>
      </c>
    </row>
    <row r="53" spans="1:19" ht="15" customHeight="1" x14ac:dyDescent="0.2">
      <c r="A53" s="26" t="s">
        <v>304</v>
      </c>
      <c r="B53" s="27" t="s">
        <v>148</v>
      </c>
      <c r="C53" s="28" t="s">
        <v>305</v>
      </c>
      <c r="D53" s="30"/>
      <c r="E53" s="29">
        <v>8884.5</v>
      </c>
      <c r="F53" s="29">
        <v>24</v>
      </c>
      <c r="G53" s="29">
        <v>15</v>
      </c>
      <c r="H53" s="30"/>
      <c r="I53" s="32">
        <v>0.60487365636783197</v>
      </c>
      <c r="J53" s="30"/>
      <c r="K53" s="33">
        <v>31.246271596600799</v>
      </c>
      <c r="L53" s="33">
        <v>62.525300000000001</v>
      </c>
      <c r="M53" s="34">
        <v>1.3335999999999999</v>
      </c>
      <c r="N53" s="32">
        <v>1.12555574314818E-3</v>
      </c>
      <c r="O53" s="29">
        <v>10</v>
      </c>
      <c r="P53" s="33">
        <v>18</v>
      </c>
      <c r="Q53" s="33">
        <v>29.49</v>
      </c>
      <c r="R53" s="33">
        <v>40.75</v>
      </c>
      <c r="S53" s="33">
        <v>53.74</v>
      </c>
    </row>
    <row r="54" spans="1:19" ht="15" customHeight="1" x14ac:dyDescent="0.2">
      <c r="A54" s="17" t="s">
        <v>306</v>
      </c>
      <c r="B54" s="18" t="s">
        <v>148</v>
      </c>
      <c r="C54" s="19" t="s">
        <v>307</v>
      </c>
      <c r="D54" s="21"/>
      <c r="E54" s="20">
        <v>37109.75</v>
      </c>
      <c r="F54" s="20">
        <v>48</v>
      </c>
      <c r="G54" s="20">
        <v>40</v>
      </c>
      <c r="H54" s="21"/>
      <c r="I54" s="23">
        <v>0.279298407569813</v>
      </c>
      <c r="J54" s="21"/>
      <c r="K54" s="24">
        <v>32.819142131812299</v>
      </c>
      <c r="L54" s="24">
        <v>65.678100000000001</v>
      </c>
      <c r="M54" s="25">
        <v>1.3335999999999999</v>
      </c>
      <c r="N54" s="23">
        <v>4.4597444067933601E-3</v>
      </c>
      <c r="O54" s="20">
        <v>165.5</v>
      </c>
      <c r="P54" s="24">
        <v>22.61</v>
      </c>
      <c r="Q54" s="24">
        <v>30.5</v>
      </c>
      <c r="R54" s="24">
        <v>36.130000000000003</v>
      </c>
      <c r="S54" s="24">
        <v>49.65</v>
      </c>
    </row>
    <row r="55" spans="1:19" ht="15" customHeight="1" x14ac:dyDescent="0.2">
      <c r="A55" s="26" t="s">
        <v>309</v>
      </c>
      <c r="B55" s="27" t="s">
        <v>148</v>
      </c>
      <c r="C55" s="28" t="s">
        <v>310</v>
      </c>
      <c r="D55" s="30"/>
      <c r="E55" s="29">
        <v>27144</v>
      </c>
      <c r="F55" s="29">
        <v>46</v>
      </c>
      <c r="G55" s="29">
        <v>28</v>
      </c>
      <c r="H55" s="30"/>
      <c r="I55" s="32">
        <v>0.48476561066040202</v>
      </c>
      <c r="J55" s="30"/>
      <c r="K55" s="33">
        <v>33.904886017400202</v>
      </c>
      <c r="L55" s="33">
        <v>67.403499999999994</v>
      </c>
      <c r="M55" s="34">
        <v>1.3307</v>
      </c>
      <c r="N55" s="32">
        <v>3.3524904214559399E-2</v>
      </c>
      <c r="O55" s="29">
        <v>910</v>
      </c>
      <c r="P55" s="33">
        <v>27.27</v>
      </c>
      <c r="Q55" s="33">
        <v>34.54</v>
      </c>
      <c r="R55" s="33">
        <v>43.5</v>
      </c>
      <c r="S55" s="33">
        <v>53.92</v>
      </c>
    </row>
    <row r="56" spans="1:19" ht="15" customHeight="1" x14ac:dyDescent="0.2">
      <c r="A56" s="35" t="s">
        <v>312</v>
      </c>
      <c r="B56" s="36" t="s">
        <v>313</v>
      </c>
      <c r="C56" s="37" t="s">
        <v>314</v>
      </c>
      <c r="D56" s="39"/>
      <c r="E56" s="38">
        <v>38113.75</v>
      </c>
      <c r="F56" s="38">
        <v>79</v>
      </c>
      <c r="G56" s="38">
        <v>56</v>
      </c>
      <c r="H56" s="39"/>
      <c r="I56" s="41">
        <v>0.27539653489507099</v>
      </c>
      <c r="J56" s="39"/>
      <c r="K56" s="42">
        <v>37.905158125915101</v>
      </c>
      <c r="L56" s="42">
        <v>76.023600000000002</v>
      </c>
      <c r="M56" s="43">
        <v>1.3346</v>
      </c>
      <c r="N56" s="41">
        <v>4.3685021809714304E-3</v>
      </c>
      <c r="O56" s="38">
        <v>166.5</v>
      </c>
      <c r="P56" s="42">
        <v>22.81</v>
      </c>
      <c r="Q56" s="42">
        <v>33</v>
      </c>
      <c r="R56" s="42">
        <v>46</v>
      </c>
      <c r="S56" s="42">
        <v>58.2</v>
      </c>
    </row>
    <row r="57" spans="1:19" ht="15" customHeight="1" x14ac:dyDescent="0.2">
      <c r="A57" s="35" t="s">
        <v>316</v>
      </c>
      <c r="B57" s="36" t="s">
        <v>313</v>
      </c>
      <c r="C57" s="37" t="s">
        <v>317</v>
      </c>
      <c r="D57" s="39"/>
      <c r="E57" s="38">
        <v>41202.25</v>
      </c>
      <c r="F57" s="38">
        <v>59</v>
      </c>
      <c r="G57" s="38">
        <v>45</v>
      </c>
      <c r="H57" s="39"/>
      <c r="I57" s="41">
        <v>0.27780809758847602</v>
      </c>
      <c r="J57" s="39"/>
      <c r="K57" s="42">
        <v>43.608008828062701</v>
      </c>
      <c r="L57" s="42">
        <v>89.128699999999995</v>
      </c>
      <c r="M57" s="43">
        <v>1.3429</v>
      </c>
      <c r="N57" s="41">
        <v>3.2340466843437002E-3</v>
      </c>
      <c r="O57" s="38">
        <v>133.25</v>
      </c>
      <c r="P57" s="42">
        <v>29</v>
      </c>
      <c r="Q57" s="42">
        <v>41</v>
      </c>
      <c r="R57" s="42">
        <v>52.5</v>
      </c>
      <c r="S57" s="42">
        <v>61.27</v>
      </c>
    </row>
    <row r="58" spans="1:19" ht="15" customHeight="1" x14ac:dyDescent="0.2">
      <c r="A58" s="35" t="s">
        <v>319</v>
      </c>
      <c r="B58" s="36" t="s">
        <v>313</v>
      </c>
      <c r="C58" s="37" t="s">
        <v>320</v>
      </c>
      <c r="D58" s="39"/>
      <c r="E58" s="38">
        <v>4603.25</v>
      </c>
      <c r="F58" s="38">
        <v>22</v>
      </c>
      <c r="G58" s="38">
        <v>7</v>
      </c>
      <c r="H58" s="39"/>
      <c r="I58" s="41">
        <v>0.87649769585253501</v>
      </c>
      <c r="J58" s="39"/>
      <c r="K58" s="42">
        <v>43.823475196530197</v>
      </c>
      <c r="L58" s="42">
        <v>91.0608</v>
      </c>
      <c r="M58" s="43">
        <v>1.3502000000000001</v>
      </c>
      <c r="N58" s="41">
        <v>1.08618910552327E-4</v>
      </c>
      <c r="O58" s="38">
        <v>0.5</v>
      </c>
      <c r="P58" s="42">
        <v>24.74</v>
      </c>
      <c r="Q58" s="42">
        <v>36.5</v>
      </c>
      <c r="R58" s="42">
        <v>52.75</v>
      </c>
      <c r="S58" s="42">
        <v>64.52</v>
      </c>
    </row>
    <row r="59" spans="1:19" ht="15" customHeight="1" x14ac:dyDescent="0.2">
      <c r="A59" s="35" t="s">
        <v>322</v>
      </c>
      <c r="B59" s="36" t="s">
        <v>313</v>
      </c>
      <c r="C59" s="37" t="s">
        <v>323</v>
      </c>
      <c r="D59" s="39"/>
      <c r="E59" s="38">
        <v>49.5</v>
      </c>
      <c r="F59" s="38">
        <v>2</v>
      </c>
      <c r="G59" s="38">
        <v>0</v>
      </c>
      <c r="H59" s="39"/>
      <c r="I59" s="41">
        <v>1</v>
      </c>
      <c r="J59" s="39"/>
      <c r="K59" s="42">
        <v>69.131313131313107</v>
      </c>
      <c r="L59" s="42">
        <v>147.0198</v>
      </c>
      <c r="M59" s="43">
        <v>1.3603000000000001</v>
      </c>
      <c r="N59" s="41">
        <v>2.02020202020202E-2</v>
      </c>
      <c r="O59" s="38">
        <v>1</v>
      </c>
      <c r="P59" s="42">
        <v>68.25</v>
      </c>
      <c r="Q59" s="42">
        <v>68.5</v>
      </c>
      <c r="R59" s="42">
        <v>68.75</v>
      </c>
      <c r="S59" s="42">
        <v>68.900000000000006</v>
      </c>
    </row>
    <row r="60" spans="1:19" ht="15" customHeight="1" x14ac:dyDescent="0.2">
      <c r="A60" s="35" t="s">
        <v>325</v>
      </c>
      <c r="B60" s="36" t="s">
        <v>313</v>
      </c>
      <c r="C60" s="37" t="s">
        <v>326</v>
      </c>
      <c r="D60" s="39"/>
      <c r="E60" s="38">
        <v>152</v>
      </c>
      <c r="F60" s="38">
        <v>3</v>
      </c>
      <c r="G60" s="38">
        <v>1</v>
      </c>
      <c r="H60" s="39"/>
      <c r="I60" s="41">
        <v>1</v>
      </c>
      <c r="J60" s="39"/>
      <c r="K60" s="42">
        <v>65.672697368421098</v>
      </c>
      <c r="L60" s="42">
        <v>138.6268</v>
      </c>
      <c r="M60" s="43">
        <v>1.3571</v>
      </c>
      <c r="N60" s="41">
        <v>0</v>
      </c>
      <c r="O60" s="38">
        <v>0</v>
      </c>
      <c r="P60" s="42">
        <v>63.81</v>
      </c>
      <c r="Q60" s="42">
        <v>68</v>
      </c>
      <c r="R60" s="42">
        <v>68.5</v>
      </c>
      <c r="S60" s="42">
        <v>68.8</v>
      </c>
    </row>
    <row r="61" spans="1:19" ht="15" customHeight="1" x14ac:dyDescent="0.2">
      <c r="A61" s="35" t="s">
        <v>327</v>
      </c>
      <c r="B61" s="36" t="s">
        <v>313</v>
      </c>
      <c r="C61" s="37" t="s">
        <v>328</v>
      </c>
      <c r="D61" s="39"/>
      <c r="E61" s="38">
        <v>24977.25</v>
      </c>
      <c r="F61" s="38">
        <v>33</v>
      </c>
      <c r="G61" s="38">
        <v>31</v>
      </c>
      <c r="H61" s="39"/>
      <c r="I61" s="41">
        <v>0.32543337079433898</v>
      </c>
      <c r="J61" s="39"/>
      <c r="K61" s="42">
        <v>43.791365801748398</v>
      </c>
      <c r="L61" s="42">
        <v>92.882999999999996</v>
      </c>
      <c r="M61" s="43">
        <v>1.3592</v>
      </c>
      <c r="N61" s="41">
        <v>1.0009108288542599E-4</v>
      </c>
      <c r="O61" s="38">
        <v>2.5</v>
      </c>
      <c r="P61" s="42">
        <v>33</v>
      </c>
      <c r="Q61" s="42">
        <v>44</v>
      </c>
      <c r="R61" s="42">
        <v>54</v>
      </c>
      <c r="S61" s="42">
        <v>61.63</v>
      </c>
    </row>
    <row r="62" spans="1:19" ht="15" customHeight="1" x14ac:dyDescent="0.2">
      <c r="A62" s="35" t="s">
        <v>329</v>
      </c>
      <c r="B62" s="36" t="s">
        <v>313</v>
      </c>
      <c r="C62" s="37" t="s">
        <v>331</v>
      </c>
      <c r="D62" s="39">
        <v>10.8</v>
      </c>
      <c r="E62" s="38">
        <v>8736.5</v>
      </c>
      <c r="F62" s="38">
        <v>33</v>
      </c>
      <c r="G62" s="38">
        <v>27</v>
      </c>
      <c r="H62" s="39">
        <v>4.6670235111359002</v>
      </c>
      <c r="I62" s="41">
        <v>0.47799462027127598</v>
      </c>
      <c r="J62" s="39">
        <v>11.363636363636401</v>
      </c>
      <c r="K62" s="42">
        <v>65.864211068505696</v>
      </c>
      <c r="L62" s="42">
        <v>65.768749499227397</v>
      </c>
      <c r="M62" s="43">
        <v>0.99855063064250504</v>
      </c>
      <c r="N62" s="41">
        <v>8.2985177130429804E-4</v>
      </c>
      <c r="O62" s="38">
        <v>7.25</v>
      </c>
      <c r="P62" s="42"/>
      <c r="Q62" s="42"/>
      <c r="R62" s="42"/>
      <c r="S62" s="42"/>
    </row>
    <row r="63" spans="1:19" ht="15" customHeight="1" x14ac:dyDescent="0.2">
      <c r="A63" s="35" t="s">
        <v>334</v>
      </c>
      <c r="B63" s="36" t="s">
        <v>313</v>
      </c>
      <c r="C63" s="37" t="s">
        <v>335</v>
      </c>
      <c r="D63" s="39">
        <v>11</v>
      </c>
      <c r="E63" s="38">
        <v>2352</v>
      </c>
      <c r="F63" s="38">
        <v>18</v>
      </c>
      <c r="G63" s="38">
        <v>8</v>
      </c>
      <c r="H63" s="39">
        <v>1.2335901564540599</v>
      </c>
      <c r="I63" s="41">
        <v>0.81441326530612301</v>
      </c>
      <c r="J63" s="39">
        <v>9.6111111111111107</v>
      </c>
      <c r="K63" s="42">
        <v>68.624221938775506</v>
      </c>
      <c r="L63" s="42">
        <v>68.624221938775506</v>
      </c>
      <c r="M63" s="43">
        <v>1</v>
      </c>
      <c r="N63" s="41">
        <v>9.5663265306122501E-4</v>
      </c>
      <c r="O63" s="38">
        <v>2.25</v>
      </c>
      <c r="P63" s="42"/>
      <c r="Q63" s="42"/>
      <c r="R63" s="42"/>
      <c r="S63" s="42"/>
    </row>
    <row r="64" spans="1:19" ht="15" customHeight="1" x14ac:dyDescent="0.2">
      <c r="A64" s="35" t="s">
        <v>338</v>
      </c>
      <c r="B64" s="36" t="s">
        <v>313</v>
      </c>
      <c r="C64" s="37" t="s">
        <v>339</v>
      </c>
      <c r="D64" s="39"/>
      <c r="E64" s="38">
        <v>114.25</v>
      </c>
      <c r="F64" s="38">
        <v>2</v>
      </c>
      <c r="G64" s="38">
        <v>0</v>
      </c>
      <c r="H64" s="39"/>
      <c r="I64" s="41">
        <v>1</v>
      </c>
      <c r="J64" s="39"/>
      <c r="K64" s="42">
        <v>64.527352297592998</v>
      </c>
      <c r="L64" s="42">
        <v>134.25739999999999</v>
      </c>
      <c r="M64" s="43">
        <v>1.3508</v>
      </c>
      <c r="N64" s="41">
        <v>0</v>
      </c>
      <c r="O64" s="38">
        <v>0</v>
      </c>
      <c r="P64" s="42">
        <v>61.67</v>
      </c>
      <c r="Q64" s="42">
        <v>64.11</v>
      </c>
      <c r="R64" s="42">
        <v>66.56</v>
      </c>
      <c r="S64" s="42">
        <v>68.02</v>
      </c>
    </row>
    <row r="65" spans="1:19" ht="15" customHeight="1" x14ac:dyDescent="0.2">
      <c r="A65" s="35" t="s">
        <v>341</v>
      </c>
      <c r="B65" s="36" t="s">
        <v>313</v>
      </c>
      <c r="C65" s="37" t="s">
        <v>342</v>
      </c>
      <c r="D65" s="39"/>
      <c r="E65" s="38">
        <v>26.25</v>
      </c>
      <c r="F65" s="38">
        <v>2</v>
      </c>
      <c r="G65" s="38">
        <v>0</v>
      </c>
      <c r="H65" s="39"/>
      <c r="I65" s="41">
        <v>1</v>
      </c>
      <c r="J65" s="39"/>
      <c r="K65" s="42">
        <v>63</v>
      </c>
      <c r="L65" s="42">
        <v>132.7653</v>
      </c>
      <c r="M65" s="43">
        <v>1.3564000000000001</v>
      </c>
      <c r="N65" s="41">
        <v>0</v>
      </c>
      <c r="O65" s="38">
        <v>0</v>
      </c>
      <c r="P65" s="42">
        <v>61.5</v>
      </c>
      <c r="Q65" s="42">
        <v>64</v>
      </c>
      <c r="R65" s="42">
        <v>66.5</v>
      </c>
      <c r="S65" s="42">
        <v>68</v>
      </c>
    </row>
    <row r="66" spans="1:19" ht="15" customHeight="1" x14ac:dyDescent="0.2">
      <c r="A66" s="35" t="s">
        <v>343</v>
      </c>
      <c r="B66" s="36" t="s">
        <v>313</v>
      </c>
      <c r="C66" s="37" t="s">
        <v>344</v>
      </c>
      <c r="D66" s="39"/>
      <c r="E66" s="38">
        <v>101</v>
      </c>
      <c r="F66" s="38">
        <v>2</v>
      </c>
      <c r="G66" s="38">
        <v>0</v>
      </c>
      <c r="H66" s="39"/>
      <c r="I66" s="41">
        <v>1</v>
      </c>
      <c r="J66" s="39"/>
      <c r="K66" s="42">
        <v>64.247524752475201</v>
      </c>
      <c r="L66" s="42">
        <v>135.59450000000001</v>
      </c>
      <c r="M66" s="43">
        <v>1.357</v>
      </c>
      <c r="N66" s="41">
        <v>0</v>
      </c>
      <c r="O66" s="38">
        <v>0</v>
      </c>
      <c r="P66" s="42">
        <v>61.5</v>
      </c>
      <c r="Q66" s="42">
        <v>64</v>
      </c>
      <c r="R66" s="42">
        <v>66.5</v>
      </c>
      <c r="S66" s="42">
        <v>68</v>
      </c>
    </row>
    <row r="67" spans="1:19" ht="15" customHeight="1" x14ac:dyDescent="0.2">
      <c r="A67" s="35" t="s">
        <v>346</v>
      </c>
      <c r="B67" s="36" t="s">
        <v>313</v>
      </c>
      <c r="C67" s="37" t="s">
        <v>347</v>
      </c>
      <c r="D67" s="39"/>
      <c r="E67" s="38">
        <v>3</v>
      </c>
      <c r="F67" s="38">
        <v>2</v>
      </c>
      <c r="G67" s="38">
        <v>0</v>
      </c>
      <c r="H67" s="39"/>
      <c r="I67" s="41">
        <v>1</v>
      </c>
      <c r="J67" s="39"/>
      <c r="K67" s="42">
        <v>65.6666666666667</v>
      </c>
      <c r="L67" s="42">
        <v>138.33330000000001</v>
      </c>
      <c r="M67" s="43">
        <v>1.3562000000000001</v>
      </c>
      <c r="N67" s="41">
        <v>0</v>
      </c>
      <c r="O67" s="38">
        <v>0</v>
      </c>
      <c r="P67" s="42">
        <v>61.5</v>
      </c>
      <c r="Q67" s="42">
        <v>64</v>
      </c>
      <c r="R67" s="42">
        <v>66.5</v>
      </c>
      <c r="S67" s="42">
        <v>68</v>
      </c>
    </row>
    <row r="68" spans="1:19" ht="15" customHeight="1" x14ac:dyDescent="0.2">
      <c r="A68" s="35" t="s">
        <v>349</v>
      </c>
      <c r="B68" s="36" t="s">
        <v>313</v>
      </c>
      <c r="C68" s="37" t="s">
        <v>350</v>
      </c>
      <c r="D68" s="39"/>
      <c r="E68" s="38">
        <v>0</v>
      </c>
      <c r="F68" s="38">
        <v>0</v>
      </c>
      <c r="G68" s="38">
        <v>0</v>
      </c>
      <c r="H68" s="39"/>
      <c r="I68" s="41"/>
      <c r="J68" s="39"/>
      <c r="K68" s="42"/>
      <c r="L68" s="42"/>
      <c r="M68" s="43"/>
      <c r="N68" s="41"/>
      <c r="O68" s="38">
        <v>0</v>
      </c>
      <c r="P68" s="42"/>
      <c r="Q68" s="42"/>
      <c r="R68" s="42"/>
      <c r="S68" s="42"/>
    </row>
    <row r="69" spans="1:19" ht="15" customHeight="1" x14ac:dyDescent="0.2">
      <c r="A69" s="35" t="s">
        <v>352</v>
      </c>
      <c r="B69" s="36" t="s">
        <v>313</v>
      </c>
      <c r="C69" s="37" t="s">
        <v>353</v>
      </c>
      <c r="D69" s="39"/>
      <c r="E69" s="38">
        <v>0</v>
      </c>
      <c r="F69" s="38">
        <v>0</v>
      </c>
      <c r="G69" s="38">
        <v>0</v>
      </c>
      <c r="H69" s="39"/>
      <c r="I69" s="41"/>
      <c r="J69" s="39"/>
      <c r="K69" s="42"/>
      <c r="L69" s="42"/>
      <c r="M69" s="43"/>
      <c r="N69" s="41"/>
      <c r="O69" s="38">
        <v>0</v>
      </c>
      <c r="P69" s="42"/>
      <c r="Q69" s="42"/>
      <c r="R69" s="42"/>
      <c r="S69" s="42"/>
    </row>
    <row r="71" spans="1:19" ht="15" customHeight="1" x14ac:dyDescent="0.2">
      <c r="A71" s="5" t="s">
        <v>355</v>
      </c>
      <c r="B71" s="5"/>
      <c r="C71" s="5"/>
      <c r="D71" s="46">
        <f t="shared" ref="D71:S71" si="0">IFERROR(MEDIAN(D5:D69),"")</f>
        <v>17</v>
      </c>
      <c r="E71" s="45">
        <f t="shared" si="0"/>
        <v>12479.5</v>
      </c>
      <c r="F71" s="45">
        <f t="shared" si="0"/>
        <v>35</v>
      </c>
      <c r="G71" s="45">
        <f t="shared" si="0"/>
        <v>23</v>
      </c>
      <c r="H71" s="46">
        <f t="shared" si="0"/>
        <v>4.6670235111359002</v>
      </c>
      <c r="I71" s="48">
        <f t="shared" si="0"/>
        <v>0.594386694386694</v>
      </c>
      <c r="J71" s="46">
        <f t="shared" si="0"/>
        <v>16.239999999999998</v>
      </c>
      <c r="K71" s="49">
        <f t="shared" si="0"/>
        <v>27.34228515625</v>
      </c>
      <c r="L71" s="49">
        <f t="shared" si="0"/>
        <v>51.294800000000002</v>
      </c>
      <c r="M71" s="50">
        <f t="shared" si="0"/>
        <v>1.3421000000000001</v>
      </c>
      <c r="N71" s="48">
        <f t="shared" si="0"/>
        <v>3.2340466843437002E-3</v>
      </c>
      <c r="O71" s="45">
        <f t="shared" si="0"/>
        <v>18</v>
      </c>
      <c r="P71" s="49">
        <f t="shared" si="0"/>
        <v>22.064999999999998</v>
      </c>
      <c r="Q71" s="49">
        <f t="shared" si="0"/>
        <v>29.244999999999997</v>
      </c>
      <c r="R71" s="49">
        <f t="shared" si="0"/>
        <v>37.489999999999995</v>
      </c>
      <c r="S71" s="49">
        <f t="shared" si="0"/>
        <v>49.825000000000003</v>
      </c>
    </row>
  </sheetData>
  <mergeCells count="1">
    <mergeCell ref="A71:C7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73"/>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640625" defaultRowHeight="15" x14ac:dyDescent="0.2"/>
  <cols>
    <col min="1" max="1" width="8" customWidth="1"/>
    <col min="2" max="2" width="10" customWidth="1"/>
    <col min="3" max="3" width="32" customWidth="1"/>
    <col min="4" max="4" width="8" customWidth="1"/>
    <col min="5" max="8" width="13" customWidth="1"/>
    <col min="9" max="10" width="16" customWidth="1"/>
    <col min="11" max="11" width="22" customWidth="1"/>
    <col min="12" max="12" width="13" customWidth="1"/>
    <col min="13" max="14" width="11" customWidth="1"/>
  </cols>
  <sheetData>
    <row r="1" spans="1:14" ht="21.75" customHeight="1" x14ac:dyDescent="0.25">
      <c r="A1" s="13" t="s">
        <v>426</v>
      </c>
    </row>
    <row r="2" spans="1:14" ht="15" customHeight="1" x14ac:dyDescent="0.2">
      <c r="A2" s="8" t="s">
        <v>427</v>
      </c>
    </row>
    <row r="4" spans="1:14" ht="27.75" customHeight="1" x14ac:dyDescent="0.2">
      <c r="A4" s="16" t="s">
        <v>102</v>
      </c>
      <c r="B4" s="16" t="s">
        <v>103</v>
      </c>
      <c r="C4" s="16" t="s">
        <v>358</v>
      </c>
      <c r="D4" s="16" t="s">
        <v>107</v>
      </c>
      <c r="E4" s="16" t="s">
        <v>428</v>
      </c>
      <c r="F4" s="16" t="s">
        <v>143</v>
      </c>
      <c r="G4" s="16" t="s">
        <v>144</v>
      </c>
      <c r="H4" s="16" t="s">
        <v>145</v>
      </c>
      <c r="I4" s="16" t="s">
        <v>429</v>
      </c>
      <c r="J4" s="16" t="s">
        <v>430</v>
      </c>
      <c r="K4" s="16" t="s">
        <v>129</v>
      </c>
      <c r="L4" s="16" t="s">
        <v>431</v>
      </c>
      <c r="M4" s="16" t="s">
        <v>130</v>
      </c>
      <c r="N4" s="16" t="s">
        <v>432</v>
      </c>
    </row>
    <row r="5" spans="1:14" ht="15" customHeight="1" x14ac:dyDescent="0.2">
      <c r="A5" s="26" t="s">
        <v>147</v>
      </c>
      <c r="B5" s="27" t="s">
        <v>148</v>
      </c>
      <c r="C5" s="28" t="s">
        <v>150</v>
      </c>
      <c r="D5" s="29">
        <v>234</v>
      </c>
      <c r="E5" s="31">
        <v>637990.88</v>
      </c>
      <c r="F5" s="31">
        <v>717142</v>
      </c>
      <c r="G5" s="31">
        <v>717142</v>
      </c>
      <c r="H5" s="31">
        <v>637990.88</v>
      </c>
      <c r="I5" s="32">
        <v>-0.110370219566</v>
      </c>
      <c r="J5" s="32">
        <v>-0.110370219566</v>
      </c>
      <c r="K5" s="28"/>
      <c r="L5" s="31"/>
      <c r="M5" s="32"/>
      <c r="N5" s="29">
        <v>0</v>
      </c>
    </row>
    <row r="6" spans="1:14" ht="15" customHeight="1" x14ac:dyDescent="0.2">
      <c r="A6" s="17" t="s">
        <v>152</v>
      </c>
      <c r="B6" s="18" t="s">
        <v>148</v>
      </c>
      <c r="C6" s="19" t="s">
        <v>153</v>
      </c>
      <c r="D6" s="20">
        <v>258</v>
      </c>
      <c r="E6" s="22">
        <v>816046.33</v>
      </c>
      <c r="F6" s="22">
        <v>1016555</v>
      </c>
      <c r="G6" s="22">
        <v>1043740</v>
      </c>
      <c r="H6" s="22">
        <v>816046.33</v>
      </c>
      <c r="I6" s="23">
        <v>-0.19724330705175799</v>
      </c>
      <c r="J6" s="23">
        <v>-0.218151714028398</v>
      </c>
      <c r="K6" s="19"/>
      <c r="L6" s="22"/>
      <c r="M6" s="23"/>
      <c r="N6" s="20">
        <v>0</v>
      </c>
    </row>
    <row r="7" spans="1:14" ht="15" customHeight="1" x14ac:dyDescent="0.2">
      <c r="A7" s="26" t="s">
        <v>154</v>
      </c>
      <c r="B7" s="27" t="s">
        <v>148</v>
      </c>
      <c r="C7" s="28" t="s">
        <v>155</v>
      </c>
      <c r="D7" s="29">
        <v>56</v>
      </c>
      <c r="E7" s="31">
        <v>151064.39000000001</v>
      </c>
      <c r="F7" s="31">
        <v>196250</v>
      </c>
      <c r="G7" s="31">
        <v>195311</v>
      </c>
      <c r="H7" s="31">
        <v>151064.39000000001</v>
      </c>
      <c r="I7" s="32">
        <v>-0.23024514649681499</v>
      </c>
      <c r="J7" s="32">
        <v>-0.226544383060862</v>
      </c>
      <c r="K7" s="28"/>
      <c r="L7" s="31"/>
      <c r="M7" s="32"/>
      <c r="N7" s="29">
        <v>0</v>
      </c>
    </row>
    <row r="8" spans="1:14" ht="15" customHeight="1" x14ac:dyDescent="0.2">
      <c r="A8" s="17" t="s">
        <v>157</v>
      </c>
      <c r="B8" s="18" t="s">
        <v>148</v>
      </c>
      <c r="C8" s="19" t="s">
        <v>158</v>
      </c>
      <c r="D8" s="20">
        <v>149</v>
      </c>
      <c r="E8" s="22">
        <v>282662.77</v>
      </c>
      <c r="F8" s="22">
        <v>570975</v>
      </c>
      <c r="G8" s="22">
        <v>504680</v>
      </c>
      <c r="H8" s="22">
        <v>282662.77</v>
      </c>
      <c r="I8" s="23">
        <v>-0.50494720434344798</v>
      </c>
      <c r="J8" s="23">
        <v>-0.439916838392645</v>
      </c>
      <c r="K8" s="19"/>
      <c r="L8" s="22"/>
      <c r="M8" s="23"/>
      <c r="N8" s="20">
        <v>0</v>
      </c>
    </row>
    <row r="9" spans="1:14" ht="15" customHeight="1" x14ac:dyDescent="0.2">
      <c r="A9" s="26" t="s">
        <v>159</v>
      </c>
      <c r="B9" s="27" t="s">
        <v>148</v>
      </c>
      <c r="C9" s="28" t="s">
        <v>160</v>
      </c>
      <c r="D9" s="29">
        <v>117</v>
      </c>
      <c r="E9" s="31">
        <v>295005.88</v>
      </c>
      <c r="F9" s="31">
        <v>358945</v>
      </c>
      <c r="G9" s="31">
        <v>393359</v>
      </c>
      <c r="H9" s="31">
        <v>295005.88</v>
      </c>
      <c r="I9" s="32">
        <v>-0.17813068854559899</v>
      </c>
      <c r="J9" s="32">
        <v>-0.250033989307477</v>
      </c>
      <c r="K9" s="28"/>
      <c r="L9" s="31"/>
      <c r="M9" s="32"/>
      <c r="N9" s="29">
        <v>0</v>
      </c>
    </row>
    <row r="10" spans="1:14" ht="15" customHeight="1" x14ac:dyDescent="0.2">
      <c r="A10" s="17" t="s">
        <v>161</v>
      </c>
      <c r="B10" s="18" t="s">
        <v>148</v>
      </c>
      <c r="C10" s="19" t="s">
        <v>162</v>
      </c>
      <c r="D10" s="20">
        <v>162</v>
      </c>
      <c r="E10" s="22">
        <v>390750.86</v>
      </c>
      <c r="F10" s="22">
        <v>553400</v>
      </c>
      <c r="G10" s="22">
        <v>561666</v>
      </c>
      <c r="H10" s="22">
        <v>390750.86</v>
      </c>
      <c r="I10" s="23">
        <v>-0.29390881821467302</v>
      </c>
      <c r="J10" s="23">
        <v>-0.304300313709571</v>
      </c>
      <c r="K10" s="19" t="s">
        <v>164</v>
      </c>
      <c r="L10" s="22">
        <v>150007.88</v>
      </c>
      <c r="M10" s="23">
        <v>0.38389648073967098</v>
      </c>
      <c r="N10" s="20">
        <v>17</v>
      </c>
    </row>
    <row r="11" spans="1:14" ht="15" customHeight="1" x14ac:dyDescent="0.2">
      <c r="A11" s="26" t="s">
        <v>165</v>
      </c>
      <c r="B11" s="27" t="s">
        <v>148</v>
      </c>
      <c r="C11" s="28" t="s">
        <v>166</v>
      </c>
      <c r="D11" s="29">
        <v>197</v>
      </c>
      <c r="E11" s="31">
        <v>661468.32999999996</v>
      </c>
      <c r="F11" s="31">
        <v>841015</v>
      </c>
      <c r="G11" s="31">
        <v>866894</v>
      </c>
      <c r="H11" s="31">
        <v>661468.32999999996</v>
      </c>
      <c r="I11" s="32">
        <v>-0.213488070961874</v>
      </c>
      <c r="J11" s="32">
        <v>-0.236967460842964</v>
      </c>
      <c r="K11" s="28"/>
      <c r="L11" s="31"/>
      <c r="M11" s="32"/>
      <c r="N11" s="29">
        <v>0</v>
      </c>
    </row>
    <row r="12" spans="1:14" ht="15" customHeight="1" x14ac:dyDescent="0.2">
      <c r="A12" s="17" t="s">
        <v>167</v>
      </c>
      <c r="B12" s="18" t="s">
        <v>148</v>
      </c>
      <c r="C12" s="19" t="s">
        <v>168</v>
      </c>
      <c r="D12" s="20">
        <v>119</v>
      </c>
      <c r="E12" s="22">
        <v>378313.74</v>
      </c>
      <c r="F12" s="22">
        <v>534360</v>
      </c>
      <c r="G12" s="22">
        <v>502391</v>
      </c>
      <c r="H12" s="22">
        <v>378313.74</v>
      </c>
      <c r="I12" s="23">
        <v>-0.29202459016393401</v>
      </c>
      <c r="J12" s="23">
        <v>-0.246973492757633</v>
      </c>
      <c r="K12" s="19"/>
      <c r="L12" s="22"/>
      <c r="M12" s="23"/>
      <c r="N12" s="20">
        <v>0</v>
      </c>
    </row>
    <row r="13" spans="1:14" ht="15" customHeight="1" x14ac:dyDescent="0.2">
      <c r="A13" s="26" t="s">
        <v>169</v>
      </c>
      <c r="B13" s="27" t="s">
        <v>148</v>
      </c>
      <c r="C13" s="28" t="s">
        <v>170</v>
      </c>
      <c r="D13" s="29">
        <v>211</v>
      </c>
      <c r="E13" s="31">
        <v>556906.77</v>
      </c>
      <c r="F13" s="31">
        <v>776247</v>
      </c>
      <c r="G13" s="31">
        <v>722677</v>
      </c>
      <c r="H13" s="31">
        <v>556906.77</v>
      </c>
      <c r="I13" s="32">
        <v>-0.28256499542027202</v>
      </c>
      <c r="J13" s="32">
        <v>-0.22938356969988</v>
      </c>
      <c r="K13" s="28"/>
      <c r="L13" s="31"/>
      <c r="M13" s="32"/>
      <c r="N13" s="29">
        <v>0</v>
      </c>
    </row>
    <row r="14" spans="1:14" ht="15" customHeight="1" x14ac:dyDescent="0.2">
      <c r="A14" s="17" t="s">
        <v>171</v>
      </c>
      <c r="B14" s="18" t="s">
        <v>148</v>
      </c>
      <c r="C14" s="19" t="s">
        <v>172</v>
      </c>
      <c r="D14" s="20">
        <v>211</v>
      </c>
      <c r="E14" s="22">
        <v>660548.93000000005</v>
      </c>
      <c r="F14" s="22">
        <v>941700</v>
      </c>
      <c r="G14" s="22">
        <v>974017</v>
      </c>
      <c r="H14" s="22">
        <v>660548.93000000005</v>
      </c>
      <c r="I14" s="23">
        <v>-0.29855693957736001</v>
      </c>
      <c r="J14" s="23">
        <v>-0.32183018366209198</v>
      </c>
      <c r="K14" s="19"/>
      <c r="L14" s="22"/>
      <c r="M14" s="23"/>
      <c r="N14" s="20">
        <v>0</v>
      </c>
    </row>
    <row r="15" spans="1:14" ht="15" customHeight="1" x14ac:dyDescent="0.2">
      <c r="A15" s="26" t="s">
        <v>173</v>
      </c>
      <c r="B15" s="27" t="s">
        <v>148</v>
      </c>
      <c r="C15" s="28" t="s">
        <v>174</v>
      </c>
      <c r="D15" s="29">
        <v>256</v>
      </c>
      <c r="E15" s="31">
        <v>735694.62</v>
      </c>
      <c r="F15" s="31">
        <v>1099380</v>
      </c>
      <c r="G15" s="31">
        <v>997196</v>
      </c>
      <c r="H15" s="31">
        <v>735694.62</v>
      </c>
      <c r="I15" s="32">
        <v>-0.33080952900725902</v>
      </c>
      <c r="J15" s="32">
        <v>-0.26223669168348102</v>
      </c>
      <c r="K15" s="28"/>
      <c r="L15" s="31"/>
      <c r="M15" s="32"/>
      <c r="N15" s="29">
        <v>0</v>
      </c>
    </row>
    <row r="16" spans="1:14" ht="15" customHeight="1" x14ac:dyDescent="0.2">
      <c r="A16" s="17" t="s">
        <v>175</v>
      </c>
      <c r="B16" s="18" t="s">
        <v>148</v>
      </c>
      <c r="C16" s="19" t="s">
        <v>176</v>
      </c>
      <c r="D16" s="20">
        <v>136</v>
      </c>
      <c r="E16" s="22">
        <v>423924.46</v>
      </c>
      <c r="F16" s="22">
        <v>512085</v>
      </c>
      <c r="G16" s="22">
        <v>494749</v>
      </c>
      <c r="H16" s="22">
        <v>423924.46</v>
      </c>
      <c r="I16" s="23">
        <v>-0.172159973441909</v>
      </c>
      <c r="J16" s="23">
        <v>-0.14315246721064601</v>
      </c>
      <c r="K16" s="19"/>
      <c r="L16" s="22"/>
      <c r="M16" s="23"/>
      <c r="N16" s="20">
        <v>0</v>
      </c>
    </row>
    <row r="17" spans="1:14" ht="15" customHeight="1" x14ac:dyDescent="0.2">
      <c r="A17" s="26" t="s">
        <v>177</v>
      </c>
      <c r="B17" s="27" t="s">
        <v>148</v>
      </c>
      <c r="C17" s="28" t="s">
        <v>178</v>
      </c>
      <c r="D17" s="29">
        <v>18</v>
      </c>
      <c r="E17" s="31">
        <v>60804.36</v>
      </c>
      <c r="F17" s="31">
        <v>82480</v>
      </c>
      <c r="G17" s="31">
        <v>89109</v>
      </c>
      <c r="H17" s="31">
        <v>60804.36</v>
      </c>
      <c r="I17" s="32">
        <v>-0.26279873908826401</v>
      </c>
      <c r="J17" s="32">
        <v>-0.31764064235935802</v>
      </c>
      <c r="K17" s="28"/>
      <c r="L17" s="31"/>
      <c r="M17" s="32"/>
      <c r="N17" s="29">
        <v>0</v>
      </c>
    </row>
    <row r="18" spans="1:14" ht="15" customHeight="1" x14ac:dyDescent="0.2">
      <c r="A18" s="17" t="s">
        <v>179</v>
      </c>
      <c r="B18" s="18" t="s">
        <v>148</v>
      </c>
      <c r="C18" s="19" t="s">
        <v>181</v>
      </c>
      <c r="D18" s="20">
        <v>209</v>
      </c>
      <c r="E18" s="22">
        <v>725504.82</v>
      </c>
      <c r="F18" s="22">
        <v>900375</v>
      </c>
      <c r="G18" s="22">
        <v>982300</v>
      </c>
      <c r="H18" s="22">
        <v>725504.82</v>
      </c>
      <c r="I18" s="23">
        <v>-0.19421927530195801</v>
      </c>
      <c r="J18" s="23">
        <v>-0.26142235569581601</v>
      </c>
      <c r="K18" s="19" t="s">
        <v>184</v>
      </c>
      <c r="L18" s="22">
        <v>190637.35</v>
      </c>
      <c r="M18" s="23">
        <v>0.26276510471701597</v>
      </c>
      <c r="N18" s="20">
        <v>31</v>
      </c>
    </row>
    <row r="19" spans="1:14" ht="15" customHeight="1" x14ac:dyDescent="0.2">
      <c r="A19" s="26" t="s">
        <v>185</v>
      </c>
      <c r="B19" s="27" t="s">
        <v>148</v>
      </c>
      <c r="C19" s="28" t="s">
        <v>186</v>
      </c>
      <c r="D19" s="29">
        <v>117</v>
      </c>
      <c r="E19" s="31">
        <v>336538.34</v>
      </c>
      <c r="F19" s="31">
        <v>574700</v>
      </c>
      <c r="G19" s="31">
        <v>587857</v>
      </c>
      <c r="H19" s="31">
        <v>336538.34</v>
      </c>
      <c r="I19" s="32">
        <v>-0.41441040542891899</v>
      </c>
      <c r="J19" s="32">
        <v>-0.42751665796273602</v>
      </c>
      <c r="K19" s="28" t="s">
        <v>189</v>
      </c>
      <c r="L19" s="31">
        <v>102072.49</v>
      </c>
      <c r="M19" s="32">
        <v>0.30330122267792697</v>
      </c>
      <c r="N19" s="29">
        <v>23</v>
      </c>
    </row>
    <row r="20" spans="1:14" ht="15" customHeight="1" x14ac:dyDescent="0.2">
      <c r="A20" s="17" t="s">
        <v>190</v>
      </c>
      <c r="B20" s="18" t="s">
        <v>148</v>
      </c>
      <c r="C20" s="19" t="s">
        <v>191</v>
      </c>
      <c r="D20" s="20">
        <v>75</v>
      </c>
      <c r="E20" s="22">
        <v>263607.67</v>
      </c>
      <c r="F20" s="22">
        <v>369935</v>
      </c>
      <c r="G20" s="22">
        <v>376656.5</v>
      </c>
      <c r="H20" s="22">
        <v>263607.67</v>
      </c>
      <c r="I20" s="23">
        <v>-0.287421655155636</v>
      </c>
      <c r="J20" s="23">
        <v>-0.30013773823098799</v>
      </c>
      <c r="K20" s="19" t="s">
        <v>194</v>
      </c>
      <c r="L20" s="22">
        <v>78491.13</v>
      </c>
      <c r="M20" s="23">
        <v>0.29775738315960198</v>
      </c>
      <c r="N20" s="20">
        <v>23</v>
      </c>
    </row>
    <row r="21" spans="1:14" ht="15" customHeight="1" x14ac:dyDescent="0.2">
      <c r="A21" s="26" t="s">
        <v>195</v>
      </c>
      <c r="B21" s="27" t="s">
        <v>148</v>
      </c>
      <c r="C21" s="28" t="s">
        <v>196</v>
      </c>
      <c r="D21" s="29">
        <v>49</v>
      </c>
      <c r="E21" s="31">
        <v>194870.36</v>
      </c>
      <c r="F21" s="31">
        <v>261100</v>
      </c>
      <c r="G21" s="31">
        <v>265270</v>
      </c>
      <c r="H21" s="31">
        <v>194870.36</v>
      </c>
      <c r="I21" s="32">
        <v>-0.25365622366909302</v>
      </c>
      <c r="J21" s="32">
        <v>-0.26538862291250398</v>
      </c>
      <c r="K21" s="28" t="s">
        <v>200</v>
      </c>
      <c r="L21" s="31">
        <v>49659.22</v>
      </c>
      <c r="M21" s="32">
        <v>0.25483208426360998</v>
      </c>
      <c r="N21" s="29">
        <v>13</v>
      </c>
    </row>
    <row r="22" spans="1:14" ht="15" customHeight="1" x14ac:dyDescent="0.2">
      <c r="A22" s="17" t="s">
        <v>201</v>
      </c>
      <c r="B22" s="18" t="s">
        <v>148</v>
      </c>
      <c r="C22" s="19" t="s">
        <v>202</v>
      </c>
      <c r="D22" s="20">
        <v>170</v>
      </c>
      <c r="E22" s="22">
        <v>548337.59</v>
      </c>
      <c r="F22" s="22">
        <v>686465</v>
      </c>
      <c r="G22" s="22">
        <v>696496</v>
      </c>
      <c r="H22" s="22">
        <v>548337.59</v>
      </c>
      <c r="I22" s="23">
        <v>-0.20121551717858899</v>
      </c>
      <c r="J22" s="23">
        <v>-0.21271968539661401</v>
      </c>
      <c r="K22" s="19" t="s">
        <v>204</v>
      </c>
      <c r="L22" s="22">
        <v>130186.55</v>
      </c>
      <c r="M22" s="23">
        <v>0.237420436559894</v>
      </c>
      <c r="N22" s="20">
        <v>26</v>
      </c>
    </row>
    <row r="23" spans="1:14" ht="15" customHeight="1" x14ac:dyDescent="0.2">
      <c r="A23" s="26" t="s">
        <v>205</v>
      </c>
      <c r="B23" s="27" t="s">
        <v>148</v>
      </c>
      <c r="C23" s="28" t="s">
        <v>206</v>
      </c>
      <c r="D23" s="29">
        <v>296</v>
      </c>
      <c r="E23" s="31">
        <v>458753.13</v>
      </c>
      <c r="F23" s="31">
        <v>826455</v>
      </c>
      <c r="G23" s="31">
        <v>694434</v>
      </c>
      <c r="H23" s="31">
        <v>458753.13</v>
      </c>
      <c r="I23" s="32">
        <v>-0.44491456885129899</v>
      </c>
      <c r="J23" s="32">
        <v>-0.33938555715877999</v>
      </c>
      <c r="K23" s="28" t="s">
        <v>209</v>
      </c>
      <c r="L23" s="31">
        <v>133734.62</v>
      </c>
      <c r="M23" s="32">
        <v>0.29151761863728298</v>
      </c>
      <c r="N23" s="29">
        <v>21</v>
      </c>
    </row>
    <row r="24" spans="1:14" ht="15" customHeight="1" x14ac:dyDescent="0.2">
      <c r="A24" s="17" t="s">
        <v>210</v>
      </c>
      <c r="B24" s="18" t="s">
        <v>148</v>
      </c>
      <c r="C24" s="19" t="s">
        <v>211</v>
      </c>
      <c r="D24" s="20">
        <v>83</v>
      </c>
      <c r="E24" s="22">
        <v>242874.9</v>
      </c>
      <c r="F24" s="22">
        <v>306800</v>
      </c>
      <c r="G24" s="22">
        <v>310049.5</v>
      </c>
      <c r="H24" s="22">
        <v>242874.9</v>
      </c>
      <c r="I24" s="23">
        <v>-0.20836082138200801</v>
      </c>
      <c r="J24" s="23">
        <v>-0.21665766272804801</v>
      </c>
      <c r="K24" s="19" t="s">
        <v>213</v>
      </c>
      <c r="L24" s="22">
        <v>96387.89</v>
      </c>
      <c r="M24" s="23">
        <v>0.39686229412755297</v>
      </c>
      <c r="N24" s="20">
        <v>13</v>
      </c>
    </row>
    <row r="25" spans="1:14" ht="15" customHeight="1" x14ac:dyDescent="0.2">
      <c r="A25" s="26" t="s">
        <v>214</v>
      </c>
      <c r="B25" s="27" t="s">
        <v>148</v>
      </c>
      <c r="C25" s="28" t="s">
        <v>215</v>
      </c>
      <c r="D25" s="29">
        <v>144</v>
      </c>
      <c r="E25" s="31">
        <v>569904.99</v>
      </c>
      <c r="F25" s="31">
        <v>713730</v>
      </c>
      <c r="G25" s="31">
        <v>771610</v>
      </c>
      <c r="H25" s="31">
        <v>569904.99</v>
      </c>
      <c r="I25" s="32">
        <v>-0.201511790172754</v>
      </c>
      <c r="J25" s="32">
        <v>-0.26140797812366401</v>
      </c>
      <c r="K25" s="28" t="s">
        <v>218</v>
      </c>
      <c r="L25" s="31">
        <v>137047.71</v>
      </c>
      <c r="M25" s="32">
        <v>0.240474662276602</v>
      </c>
      <c r="N25" s="29">
        <v>26</v>
      </c>
    </row>
    <row r="26" spans="1:14" ht="15" customHeight="1" x14ac:dyDescent="0.2">
      <c r="A26" s="17" t="s">
        <v>219</v>
      </c>
      <c r="B26" s="18" t="s">
        <v>148</v>
      </c>
      <c r="C26" s="19" t="s">
        <v>220</v>
      </c>
      <c r="D26" s="20">
        <v>398</v>
      </c>
      <c r="E26" s="22">
        <v>485439.43</v>
      </c>
      <c r="F26" s="22">
        <v>657109</v>
      </c>
      <c r="G26" s="22">
        <v>642830</v>
      </c>
      <c r="H26" s="22">
        <v>485439.43</v>
      </c>
      <c r="I26" s="23">
        <v>-0.26124976221600998</v>
      </c>
      <c r="J26" s="23">
        <v>-0.244840113249226</v>
      </c>
      <c r="K26" s="19" t="s">
        <v>223</v>
      </c>
      <c r="L26" s="22">
        <v>447211.94</v>
      </c>
      <c r="M26" s="23">
        <v>0.92125178212243697</v>
      </c>
      <c r="N26" s="20">
        <v>28</v>
      </c>
    </row>
    <row r="27" spans="1:14" ht="15" customHeight="1" x14ac:dyDescent="0.2">
      <c r="A27" s="26" t="s">
        <v>224</v>
      </c>
      <c r="B27" s="27" t="s">
        <v>148</v>
      </c>
      <c r="C27" s="28" t="s">
        <v>225</v>
      </c>
      <c r="D27" s="29">
        <v>71</v>
      </c>
      <c r="E27" s="31">
        <v>167700.53</v>
      </c>
      <c r="F27" s="31">
        <v>204375</v>
      </c>
      <c r="G27" s="31">
        <v>230569</v>
      </c>
      <c r="H27" s="31">
        <v>167700.53</v>
      </c>
      <c r="I27" s="32">
        <v>-0.17944694801223199</v>
      </c>
      <c r="J27" s="32">
        <v>-0.27266662040430401</v>
      </c>
      <c r="K27" s="28" t="s">
        <v>229</v>
      </c>
      <c r="L27" s="31">
        <v>47765.16</v>
      </c>
      <c r="M27" s="32">
        <v>0.28482414456292998</v>
      </c>
      <c r="N27" s="29">
        <v>16</v>
      </c>
    </row>
    <row r="28" spans="1:14" ht="15" customHeight="1" x14ac:dyDescent="0.2">
      <c r="A28" s="17" t="s">
        <v>230</v>
      </c>
      <c r="B28" s="18" t="s">
        <v>148</v>
      </c>
      <c r="C28" s="19" t="s">
        <v>231</v>
      </c>
      <c r="D28" s="20">
        <v>139</v>
      </c>
      <c r="E28" s="22">
        <v>460263.33</v>
      </c>
      <c r="F28" s="22">
        <v>850125</v>
      </c>
      <c r="G28" s="22">
        <v>691518</v>
      </c>
      <c r="H28" s="22">
        <v>460263.33</v>
      </c>
      <c r="I28" s="23">
        <v>-0.45859334803705298</v>
      </c>
      <c r="J28" s="23">
        <v>-0.33441598049508497</v>
      </c>
      <c r="K28" s="19" t="s">
        <v>235</v>
      </c>
      <c r="L28" s="22">
        <v>169567.03</v>
      </c>
      <c r="M28" s="23">
        <v>0.368413077791794</v>
      </c>
      <c r="N28" s="20">
        <v>25</v>
      </c>
    </row>
    <row r="29" spans="1:14" ht="15" customHeight="1" x14ac:dyDescent="0.2">
      <c r="A29" s="26" t="s">
        <v>236</v>
      </c>
      <c r="B29" s="27" t="s">
        <v>148</v>
      </c>
      <c r="C29" s="28" t="s">
        <v>237</v>
      </c>
      <c r="D29" s="29">
        <v>128</v>
      </c>
      <c r="E29" s="31">
        <v>419880.12</v>
      </c>
      <c r="F29" s="31">
        <v>614030</v>
      </c>
      <c r="G29" s="31">
        <v>602753</v>
      </c>
      <c r="H29" s="31">
        <v>419880.12</v>
      </c>
      <c r="I29" s="32">
        <v>-0.31618956728498598</v>
      </c>
      <c r="J29" s="32">
        <v>-0.30339605111878298</v>
      </c>
      <c r="K29" s="28" t="s">
        <v>238</v>
      </c>
      <c r="L29" s="31">
        <v>179409.27</v>
      </c>
      <c r="M29" s="32">
        <v>0.427286888457591</v>
      </c>
      <c r="N29" s="29">
        <v>23</v>
      </c>
    </row>
    <row r="30" spans="1:14" ht="15" customHeight="1" x14ac:dyDescent="0.2">
      <c r="A30" s="17" t="s">
        <v>239</v>
      </c>
      <c r="B30" s="18" t="s">
        <v>148</v>
      </c>
      <c r="C30" s="19" t="s">
        <v>240</v>
      </c>
      <c r="D30" s="20">
        <v>92</v>
      </c>
      <c r="E30" s="22">
        <v>159409.60999999999</v>
      </c>
      <c r="F30" s="22">
        <v>211875</v>
      </c>
      <c r="G30" s="22">
        <v>210340</v>
      </c>
      <c r="H30" s="22">
        <v>159409.60999999999</v>
      </c>
      <c r="I30" s="23">
        <v>-0.247624259587021</v>
      </c>
      <c r="J30" s="23">
        <v>-0.24213364077208399</v>
      </c>
      <c r="K30" s="19" t="s">
        <v>244</v>
      </c>
      <c r="L30" s="22">
        <v>63855.41</v>
      </c>
      <c r="M30" s="23">
        <v>0.40057440702602598</v>
      </c>
      <c r="N30" s="20">
        <v>15</v>
      </c>
    </row>
    <row r="31" spans="1:14" ht="15" customHeight="1" x14ac:dyDescent="0.2">
      <c r="A31" s="26" t="s">
        <v>245</v>
      </c>
      <c r="B31" s="27" t="s">
        <v>148</v>
      </c>
      <c r="C31" s="28" t="s">
        <v>246</v>
      </c>
      <c r="D31" s="29">
        <v>31</v>
      </c>
      <c r="E31" s="31">
        <v>104252.85</v>
      </c>
      <c r="F31" s="31">
        <v>102770</v>
      </c>
      <c r="G31" s="31">
        <v>115827</v>
      </c>
      <c r="H31" s="31">
        <v>104252.85</v>
      </c>
      <c r="I31" s="32">
        <v>1.44288216405566E-2</v>
      </c>
      <c r="J31" s="32">
        <v>-9.9926183014323003E-2</v>
      </c>
      <c r="K31" s="28" t="s">
        <v>248</v>
      </c>
      <c r="L31" s="31">
        <v>34359.22</v>
      </c>
      <c r="M31" s="32">
        <v>0.32957583413786801</v>
      </c>
      <c r="N31" s="29">
        <v>12</v>
      </c>
    </row>
    <row r="32" spans="1:14" ht="15" customHeight="1" x14ac:dyDescent="0.2">
      <c r="A32" s="17" t="s">
        <v>249</v>
      </c>
      <c r="B32" s="18" t="s">
        <v>148</v>
      </c>
      <c r="C32" s="19" t="s">
        <v>250</v>
      </c>
      <c r="D32" s="20">
        <v>122</v>
      </c>
      <c r="E32" s="22">
        <v>487276.21</v>
      </c>
      <c r="F32" s="22">
        <v>576480</v>
      </c>
      <c r="G32" s="22">
        <v>643201</v>
      </c>
      <c r="H32" s="22">
        <v>487276.21</v>
      </c>
      <c r="I32" s="23">
        <v>-0.154738742020539</v>
      </c>
      <c r="J32" s="23">
        <v>-0.24242000556591201</v>
      </c>
      <c r="K32" s="19" t="s">
        <v>253</v>
      </c>
      <c r="L32" s="22">
        <v>93793.49</v>
      </c>
      <c r="M32" s="23">
        <v>0.19248526415849501</v>
      </c>
      <c r="N32" s="20">
        <v>26</v>
      </c>
    </row>
    <row r="33" spans="1:14" ht="15" customHeight="1" x14ac:dyDescent="0.2">
      <c r="A33" s="26" t="s">
        <v>254</v>
      </c>
      <c r="B33" s="27" t="s">
        <v>148</v>
      </c>
      <c r="C33" s="28" t="s">
        <v>255</v>
      </c>
      <c r="D33" s="29">
        <v>80</v>
      </c>
      <c r="E33" s="31">
        <v>268693.53999999998</v>
      </c>
      <c r="F33" s="31">
        <v>391395</v>
      </c>
      <c r="G33" s="31">
        <v>372182</v>
      </c>
      <c r="H33" s="31">
        <v>268693.53999999998</v>
      </c>
      <c r="I33" s="32">
        <v>-0.31349777079420998</v>
      </c>
      <c r="J33" s="32">
        <v>-0.27805874545249398</v>
      </c>
      <c r="K33" s="28" t="s">
        <v>258</v>
      </c>
      <c r="L33" s="31">
        <v>119372.62</v>
      </c>
      <c r="M33" s="32">
        <v>0.44427052470260397</v>
      </c>
      <c r="N33" s="29">
        <v>20</v>
      </c>
    </row>
    <row r="34" spans="1:14" ht="15" customHeight="1" x14ac:dyDescent="0.2">
      <c r="A34" s="17" t="s">
        <v>259</v>
      </c>
      <c r="B34" s="18" t="s">
        <v>148</v>
      </c>
      <c r="C34" s="19" t="s">
        <v>260</v>
      </c>
      <c r="D34" s="20"/>
      <c r="E34" s="22">
        <v>2697.34</v>
      </c>
      <c r="F34" s="22">
        <v>10650</v>
      </c>
      <c r="G34" s="22">
        <v>10650</v>
      </c>
      <c r="H34" s="22">
        <v>2697.34</v>
      </c>
      <c r="I34" s="23">
        <v>-0.74672863849765303</v>
      </c>
      <c r="J34" s="23">
        <v>-0.74672863849765303</v>
      </c>
      <c r="K34" s="19" t="s">
        <v>262</v>
      </c>
      <c r="L34" s="22">
        <v>3337.5</v>
      </c>
      <c r="M34" s="23">
        <v>1.23733011040507</v>
      </c>
      <c r="N34" s="20">
        <v>4</v>
      </c>
    </row>
    <row r="35" spans="1:14" ht="15" customHeight="1" x14ac:dyDescent="0.2">
      <c r="A35" s="26" t="s">
        <v>263</v>
      </c>
      <c r="B35" s="27" t="s">
        <v>148</v>
      </c>
      <c r="C35" s="28" t="s">
        <v>264</v>
      </c>
      <c r="D35" s="29">
        <v>55</v>
      </c>
      <c r="E35" s="31">
        <v>154104.17000000001</v>
      </c>
      <c r="F35" s="31">
        <v>173720</v>
      </c>
      <c r="G35" s="31">
        <v>185986</v>
      </c>
      <c r="H35" s="31">
        <v>154104.17000000001</v>
      </c>
      <c r="I35" s="32">
        <v>-0.112916359659222</v>
      </c>
      <c r="J35" s="32">
        <v>-0.17142059079715699</v>
      </c>
      <c r="K35" s="28" t="s">
        <v>164</v>
      </c>
      <c r="L35" s="31">
        <v>37520.04</v>
      </c>
      <c r="M35" s="32">
        <v>0.24347193200547401</v>
      </c>
      <c r="N35" s="29">
        <v>20</v>
      </c>
    </row>
    <row r="36" spans="1:14" ht="15" customHeight="1" x14ac:dyDescent="0.2">
      <c r="A36" s="17" t="s">
        <v>266</v>
      </c>
      <c r="B36" s="18" t="s">
        <v>148</v>
      </c>
      <c r="C36" s="19" t="s">
        <v>268</v>
      </c>
      <c r="D36" s="20">
        <v>108</v>
      </c>
      <c r="E36" s="22">
        <v>502616.05</v>
      </c>
      <c r="F36" s="22">
        <v>598130</v>
      </c>
      <c r="G36" s="22">
        <v>639725</v>
      </c>
      <c r="H36" s="22">
        <v>502616.05</v>
      </c>
      <c r="I36" s="23">
        <v>-0.15968760971695101</v>
      </c>
      <c r="J36" s="23">
        <v>-0.214324827074133</v>
      </c>
      <c r="K36" s="19"/>
      <c r="L36" s="22"/>
      <c r="M36" s="23"/>
      <c r="N36" s="20">
        <v>0</v>
      </c>
    </row>
    <row r="37" spans="1:14" ht="15" customHeight="1" x14ac:dyDescent="0.2">
      <c r="A37" s="26" t="s">
        <v>270</v>
      </c>
      <c r="B37" s="27" t="s">
        <v>148</v>
      </c>
      <c r="C37" s="28" t="s">
        <v>271</v>
      </c>
      <c r="D37" s="29">
        <v>75</v>
      </c>
      <c r="E37" s="31">
        <v>250243.51</v>
      </c>
      <c r="F37" s="31">
        <v>310497</v>
      </c>
      <c r="G37" s="31">
        <v>316790</v>
      </c>
      <c r="H37" s="31">
        <v>250243.51</v>
      </c>
      <c r="I37" s="32">
        <v>-0.19405498281787001</v>
      </c>
      <c r="J37" s="32">
        <v>-0.21006499573850199</v>
      </c>
      <c r="K37" s="28"/>
      <c r="L37" s="31"/>
      <c r="M37" s="32"/>
      <c r="N37" s="29">
        <v>0</v>
      </c>
    </row>
    <row r="38" spans="1:14" ht="15" customHeight="1" x14ac:dyDescent="0.2">
      <c r="A38" s="17" t="s">
        <v>272</v>
      </c>
      <c r="B38" s="18" t="s">
        <v>148</v>
      </c>
      <c r="C38" s="19" t="s">
        <v>273</v>
      </c>
      <c r="D38" s="20">
        <v>89</v>
      </c>
      <c r="E38" s="22">
        <v>320019.62</v>
      </c>
      <c r="F38" s="22">
        <v>548895</v>
      </c>
      <c r="G38" s="22">
        <v>551921</v>
      </c>
      <c r="H38" s="22">
        <v>320019.62</v>
      </c>
      <c r="I38" s="23">
        <v>-0.41697479481503802</v>
      </c>
      <c r="J38" s="23">
        <v>-0.42017132886771802</v>
      </c>
      <c r="K38" s="19"/>
      <c r="L38" s="22"/>
      <c r="M38" s="23"/>
      <c r="N38" s="20">
        <v>0</v>
      </c>
    </row>
    <row r="39" spans="1:14" ht="15" customHeight="1" x14ac:dyDescent="0.2">
      <c r="A39" s="26" t="s">
        <v>275</v>
      </c>
      <c r="B39" s="27" t="s">
        <v>148</v>
      </c>
      <c r="C39" s="28" t="s">
        <v>276</v>
      </c>
      <c r="D39" s="29">
        <v>78</v>
      </c>
      <c r="E39" s="31">
        <v>216377.88</v>
      </c>
      <c r="F39" s="31">
        <v>262392</v>
      </c>
      <c r="G39" s="31">
        <v>279401</v>
      </c>
      <c r="H39" s="31">
        <v>216377.88</v>
      </c>
      <c r="I39" s="32">
        <v>-0.17536403548888699</v>
      </c>
      <c r="J39" s="32">
        <v>-0.225565119666716</v>
      </c>
      <c r="K39" s="28"/>
      <c r="L39" s="31"/>
      <c r="M39" s="32"/>
      <c r="N39" s="29">
        <v>0</v>
      </c>
    </row>
    <row r="40" spans="1:14" ht="15" customHeight="1" x14ac:dyDescent="0.2">
      <c r="A40" s="17" t="s">
        <v>277</v>
      </c>
      <c r="B40" s="18" t="s">
        <v>148</v>
      </c>
      <c r="C40" s="19" t="s">
        <v>278</v>
      </c>
      <c r="D40" s="20">
        <v>158</v>
      </c>
      <c r="E40" s="22">
        <v>497590.37</v>
      </c>
      <c r="F40" s="22">
        <v>520410</v>
      </c>
      <c r="G40" s="22">
        <v>608708</v>
      </c>
      <c r="H40" s="22">
        <v>497590.37</v>
      </c>
      <c r="I40" s="23">
        <v>-4.3849330335696997E-2</v>
      </c>
      <c r="J40" s="23">
        <v>-0.18254668905287899</v>
      </c>
      <c r="K40" s="19"/>
      <c r="L40" s="22"/>
      <c r="M40" s="23"/>
      <c r="N40" s="20">
        <v>0</v>
      </c>
    </row>
    <row r="41" spans="1:14" ht="15" customHeight="1" x14ac:dyDescent="0.2">
      <c r="A41" s="26" t="s">
        <v>280</v>
      </c>
      <c r="B41" s="27" t="s">
        <v>148</v>
      </c>
      <c r="C41" s="28" t="s">
        <v>281</v>
      </c>
      <c r="D41" s="29">
        <v>110</v>
      </c>
      <c r="E41" s="31">
        <v>378784.06</v>
      </c>
      <c r="F41" s="31">
        <v>459229</v>
      </c>
      <c r="G41" s="31">
        <v>493642</v>
      </c>
      <c r="H41" s="31">
        <v>378784.06</v>
      </c>
      <c r="I41" s="32">
        <v>-0.175173911055269</v>
      </c>
      <c r="J41" s="32">
        <v>-0.23267456982995799</v>
      </c>
      <c r="K41" s="28"/>
      <c r="L41" s="31"/>
      <c r="M41" s="32"/>
      <c r="N41" s="29">
        <v>0</v>
      </c>
    </row>
    <row r="42" spans="1:14" ht="15" customHeight="1" x14ac:dyDescent="0.2">
      <c r="A42" s="17" t="s">
        <v>282</v>
      </c>
      <c r="B42" s="18" t="s">
        <v>148</v>
      </c>
      <c r="C42" s="19" t="s">
        <v>283</v>
      </c>
      <c r="D42" s="20">
        <v>70</v>
      </c>
      <c r="E42" s="22">
        <v>133195.01999999999</v>
      </c>
      <c r="F42" s="22">
        <v>149685</v>
      </c>
      <c r="G42" s="22">
        <v>172896</v>
      </c>
      <c r="H42" s="22">
        <v>133195.01999999999</v>
      </c>
      <c r="I42" s="23">
        <v>-0.110164545545646</v>
      </c>
      <c r="J42" s="23">
        <v>-0.229623473070516</v>
      </c>
      <c r="K42" s="19"/>
      <c r="L42" s="22"/>
      <c r="M42" s="23"/>
      <c r="N42" s="20">
        <v>0</v>
      </c>
    </row>
    <row r="43" spans="1:14" ht="15" customHeight="1" x14ac:dyDescent="0.2">
      <c r="A43" s="26" t="s">
        <v>284</v>
      </c>
      <c r="B43" s="27" t="s">
        <v>148</v>
      </c>
      <c r="C43" s="28" t="s">
        <v>283</v>
      </c>
      <c r="D43" s="29">
        <v>72</v>
      </c>
      <c r="E43" s="31">
        <v>115436.54</v>
      </c>
      <c r="F43" s="31">
        <v>143792</v>
      </c>
      <c r="G43" s="31">
        <v>151898</v>
      </c>
      <c r="H43" s="31">
        <v>115436.54</v>
      </c>
      <c r="I43" s="32">
        <v>-0.197197757872482</v>
      </c>
      <c r="J43" s="32">
        <v>-0.24003910518900801</v>
      </c>
      <c r="K43" s="28"/>
      <c r="L43" s="31"/>
      <c r="M43" s="32"/>
      <c r="N43" s="29">
        <v>0</v>
      </c>
    </row>
    <row r="44" spans="1:14" ht="15" customHeight="1" x14ac:dyDescent="0.2">
      <c r="A44" s="17" t="s">
        <v>285</v>
      </c>
      <c r="B44" s="18" t="s">
        <v>148</v>
      </c>
      <c r="C44" s="19" t="s">
        <v>283</v>
      </c>
      <c r="D44" s="20">
        <v>296</v>
      </c>
      <c r="E44" s="22">
        <v>618442.18000000005</v>
      </c>
      <c r="F44" s="22">
        <v>669800</v>
      </c>
      <c r="G44" s="22">
        <v>691822</v>
      </c>
      <c r="H44" s="22">
        <v>618442.18000000005</v>
      </c>
      <c r="I44" s="23">
        <v>-7.6676351149596797E-2</v>
      </c>
      <c r="J44" s="23">
        <v>-0.106067485567097</v>
      </c>
      <c r="K44" s="19"/>
      <c r="L44" s="22"/>
      <c r="M44" s="23"/>
      <c r="N44" s="20">
        <v>0</v>
      </c>
    </row>
    <row r="45" spans="1:14" ht="15" customHeight="1" x14ac:dyDescent="0.2">
      <c r="A45" s="26" t="s">
        <v>286</v>
      </c>
      <c r="B45" s="27" t="s">
        <v>148</v>
      </c>
      <c r="C45" s="28" t="s">
        <v>283</v>
      </c>
      <c r="D45" s="29">
        <v>50</v>
      </c>
      <c r="E45" s="31">
        <v>204958.79</v>
      </c>
      <c r="F45" s="31">
        <v>305655</v>
      </c>
      <c r="G45" s="31">
        <v>311905</v>
      </c>
      <c r="H45" s="31">
        <v>204958.79</v>
      </c>
      <c r="I45" s="32">
        <v>-0.32944401367554899</v>
      </c>
      <c r="J45" s="32">
        <v>-0.34288071688494898</v>
      </c>
      <c r="K45" s="28"/>
      <c r="L45" s="31"/>
      <c r="M45" s="32"/>
      <c r="N45" s="29">
        <v>0</v>
      </c>
    </row>
    <row r="46" spans="1:14" ht="15" customHeight="1" x14ac:dyDescent="0.2">
      <c r="A46" s="17" t="s">
        <v>287</v>
      </c>
      <c r="B46" s="18" t="s">
        <v>148</v>
      </c>
      <c r="C46" s="19" t="s">
        <v>288</v>
      </c>
      <c r="D46" s="20">
        <v>163</v>
      </c>
      <c r="E46" s="22">
        <v>431531</v>
      </c>
      <c r="F46" s="22">
        <v>755185</v>
      </c>
      <c r="G46" s="22">
        <v>673732</v>
      </c>
      <c r="H46" s="22">
        <v>431531</v>
      </c>
      <c r="I46" s="23">
        <v>-0.42857577944477199</v>
      </c>
      <c r="J46" s="23">
        <v>-0.35949160793906199</v>
      </c>
      <c r="K46" s="19"/>
      <c r="L46" s="22"/>
      <c r="M46" s="23"/>
      <c r="N46" s="20">
        <v>0</v>
      </c>
    </row>
    <row r="47" spans="1:14" ht="15" customHeight="1" x14ac:dyDescent="0.2">
      <c r="A47" s="26" t="s">
        <v>289</v>
      </c>
      <c r="B47" s="27" t="s">
        <v>148</v>
      </c>
      <c r="C47" s="28" t="s">
        <v>290</v>
      </c>
      <c r="D47" s="29">
        <v>107</v>
      </c>
      <c r="E47" s="31">
        <v>479362.75</v>
      </c>
      <c r="F47" s="31">
        <v>725720</v>
      </c>
      <c r="G47" s="31">
        <v>754934</v>
      </c>
      <c r="H47" s="31">
        <v>479362.75</v>
      </c>
      <c r="I47" s="32">
        <v>-0.33946597861434202</v>
      </c>
      <c r="J47" s="32">
        <v>-0.36502694275261099</v>
      </c>
      <c r="K47" s="28"/>
      <c r="L47" s="31"/>
      <c r="M47" s="32"/>
      <c r="N47" s="29">
        <v>0</v>
      </c>
    </row>
    <row r="48" spans="1:14" ht="15" customHeight="1" x14ac:dyDescent="0.2">
      <c r="A48" s="17" t="s">
        <v>292</v>
      </c>
      <c r="B48" s="18" t="s">
        <v>148</v>
      </c>
      <c r="C48" s="19" t="s">
        <v>293</v>
      </c>
      <c r="D48" s="20">
        <v>136</v>
      </c>
      <c r="E48" s="22">
        <v>478591.1</v>
      </c>
      <c r="F48" s="22">
        <v>785523</v>
      </c>
      <c r="G48" s="22">
        <v>787591</v>
      </c>
      <c r="H48" s="22">
        <v>478591.1</v>
      </c>
      <c r="I48" s="23">
        <v>-0.390735726388661</v>
      </c>
      <c r="J48" s="23">
        <v>-0.39233548885144698</v>
      </c>
      <c r="K48" s="19"/>
      <c r="L48" s="22"/>
      <c r="M48" s="23"/>
      <c r="N48" s="20">
        <v>0</v>
      </c>
    </row>
    <row r="49" spans="1:14" ht="15" customHeight="1" x14ac:dyDescent="0.2">
      <c r="A49" s="26" t="s">
        <v>295</v>
      </c>
      <c r="B49" s="27" t="s">
        <v>148</v>
      </c>
      <c r="C49" s="28" t="s">
        <v>296</v>
      </c>
      <c r="D49" s="29">
        <v>68</v>
      </c>
      <c r="E49" s="31">
        <v>264321</v>
      </c>
      <c r="F49" s="31">
        <v>247326</v>
      </c>
      <c r="G49" s="31">
        <v>290842</v>
      </c>
      <c r="H49" s="31">
        <v>264321</v>
      </c>
      <c r="I49" s="32">
        <v>6.8714975376628198E-2</v>
      </c>
      <c r="J49" s="32">
        <v>-9.1186967494378601E-2</v>
      </c>
      <c r="K49" s="28"/>
      <c r="L49" s="31"/>
      <c r="M49" s="32"/>
      <c r="N49" s="29">
        <v>0</v>
      </c>
    </row>
    <row r="50" spans="1:14" ht="15" customHeight="1" x14ac:dyDescent="0.2">
      <c r="A50" s="17" t="s">
        <v>298</v>
      </c>
      <c r="B50" s="18" t="s">
        <v>148</v>
      </c>
      <c r="C50" s="19" t="s">
        <v>299</v>
      </c>
      <c r="D50" s="20">
        <v>98</v>
      </c>
      <c r="E50" s="22">
        <v>406456.61</v>
      </c>
      <c r="F50" s="22">
        <v>377441</v>
      </c>
      <c r="G50" s="22">
        <v>405741</v>
      </c>
      <c r="H50" s="22">
        <v>406456.61</v>
      </c>
      <c r="I50" s="23">
        <v>7.6874557877920094E-2</v>
      </c>
      <c r="J50" s="23">
        <v>1.76371133309191E-3</v>
      </c>
      <c r="K50" s="19"/>
      <c r="L50" s="22"/>
      <c r="M50" s="23"/>
      <c r="N50" s="20">
        <v>0</v>
      </c>
    </row>
    <row r="51" spans="1:14" ht="15" customHeight="1" x14ac:dyDescent="0.2">
      <c r="A51" s="26" t="s">
        <v>300</v>
      </c>
      <c r="B51" s="27" t="s">
        <v>148</v>
      </c>
      <c r="C51" s="28" t="s">
        <v>301</v>
      </c>
      <c r="D51" s="29">
        <v>321</v>
      </c>
      <c r="E51" s="31">
        <v>1238306.1399999999</v>
      </c>
      <c r="F51" s="31">
        <v>1922880</v>
      </c>
      <c r="G51" s="31">
        <v>1931720</v>
      </c>
      <c r="H51" s="31">
        <v>1238306.1399999999</v>
      </c>
      <c r="I51" s="32">
        <v>-0.35601486312198399</v>
      </c>
      <c r="J51" s="32">
        <v>-0.35896188888658798</v>
      </c>
      <c r="K51" s="28"/>
      <c r="L51" s="31"/>
      <c r="M51" s="32"/>
      <c r="N51" s="29">
        <v>0</v>
      </c>
    </row>
    <row r="52" spans="1:14" ht="15" customHeight="1" x14ac:dyDescent="0.2">
      <c r="A52" s="17" t="s">
        <v>302</v>
      </c>
      <c r="B52" s="18" t="s">
        <v>148</v>
      </c>
      <c r="C52" s="19" t="s">
        <v>303</v>
      </c>
      <c r="D52" s="20">
        <v>111</v>
      </c>
      <c r="E52" s="22">
        <v>232848.36</v>
      </c>
      <c r="F52" s="22">
        <v>419205</v>
      </c>
      <c r="G52" s="22">
        <v>431063</v>
      </c>
      <c r="H52" s="22">
        <v>232848.36</v>
      </c>
      <c r="I52" s="23">
        <v>-0.44454775110029698</v>
      </c>
      <c r="J52" s="23">
        <v>-0.45982754260978098</v>
      </c>
      <c r="K52" s="19"/>
      <c r="L52" s="22"/>
      <c r="M52" s="23"/>
      <c r="N52" s="20">
        <v>0</v>
      </c>
    </row>
    <row r="53" spans="1:14" ht="15" customHeight="1" x14ac:dyDescent="0.2">
      <c r="A53" s="26" t="s">
        <v>304</v>
      </c>
      <c r="B53" s="27" t="s">
        <v>148</v>
      </c>
      <c r="C53" s="28" t="s">
        <v>305</v>
      </c>
      <c r="D53" s="29">
        <v>77</v>
      </c>
      <c r="E53" s="31">
        <v>244128.93</v>
      </c>
      <c r="F53" s="31">
        <v>287240</v>
      </c>
      <c r="G53" s="31">
        <v>299744</v>
      </c>
      <c r="H53" s="31">
        <v>244128.93</v>
      </c>
      <c r="I53" s="32">
        <v>-0.15008727893051099</v>
      </c>
      <c r="J53" s="32">
        <v>-0.18554189575104099</v>
      </c>
      <c r="K53" s="28"/>
      <c r="L53" s="31"/>
      <c r="M53" s="32"/>
      <c r="N53" s="29">
        <v>0</v>
      </c>
    </row>
    <row r="54" spans="1:14" ht="15" customHeight="1" x14ac:dyDescent="0.2">
      <c r="A54" s="17" t="s">
        <v>306</v>
      </c>
      <c r="B54" s="18" t="s">
        <v>148</v>
      </c>
      <c r="C54" s="19" t="s">
        <v>307</v>
      </c>
      <c r="D54" s="20">
        <v>365</v>
      </c>
      <c r="E54" s="22">
        <v>1034930.53</v>
      </c>
      <c r="F54" s="22">
        <v>1478085</v>
      </c>
      <c r="G54" s="22">
        <v>1516510</v>
      </c>
      <c r="H54" s="22">
        <v>1034930.53</v>
      </c>
      <c r="I54" s="23">
        <v>-0.29981663436135297</v>
      </c>
      <c r="J54" s="23">
        <v>-0.31755772794112802</v>
      </c>
      <c r="K54" s="19"/>
      <c r="L54" s="22"/>
      <c r="M54" s="23"/>
      <c r="N54" s="20">
        <v>0</v>
      </c>
    </row>
    <row r="55" spans="1:14" ht="15" customHeight="1" x14ac:dyDescent="0.2">
      <c r="A55" s="26" t="s">
        <v>309</v>
      </c>
      <c r="B55" s="27" t="s">
        <v>148</v>
      </c>
      <c r="C55" s="28" t="s">
        <v>310</v>
      </c>
      <c r="D55" s="29">
        <v>270</v>
      </c>
      <c r="E55" s="31">
        <v>1009043.67</v>
      </c>
      <c r="F55" s="31">
        <v>1739148</v>
      </c>
      <c r="G55" s="31">
        <v>2038248</v>
      </c>
      <c r="H55" s="31">
        <v>1009043.67</v>
      </c>
      <c r="I55" s="32">
        <v>-0.41980574971192802</v>
      </c>
      <c r="J55" s="32">
        <v>-0.504945585620592</v>
      </c>
      <c r="K55" s="28"/>
      <c r="L55" s="31"/>
      <c r="M55" s="32"/>
      <c r="N55" s="29">
        <v>0</v>
      </c>
    </row>
    <row r="56" spans="1:14" ht="15" customHeight="1" x14ac:dyDescent="0.2">
      <c r="A56" s="35" t="s">
        <v>312</v>
      </c>
      <c r="B56" s="36" t="s">
        <v>313</v>
      </c>
      <c r="C56" s="37" t="s">
        <v>314</v>
      </c>
      <c r="D56" s="38">
        <v>170</v>
      </c>
      <c r="E56" s="40">
        <v>1518915.7</v>
      </c>
      <c r="F56" s="40">
        <v>2199597</v>
      </c>
      <c r="G56" s="40">
        <v>2209412</v>
      </c>
      <c r="H56" s="40">
        <v>1518915.7</v>
      </c>
      <c r="I56" s="41">
        <v>-0.30945727785589799</v>
      </c>
      <c r="J56" s="41">
        <v>-0.31252491613153199</v>
      </c>
      <c r="K56" s="37"/>
      <c r="L56" s="40"/>
      <c r="M56" s="41"/>
      <c r="N56" s="38">
        <v>0</v>
      </c>
    </row>
    <row r="57" spans="1:14" ht="15" customHeight="1" x14ac:dyDescent="0.2">
      <c r="A57" s="35" t="s">
        <v>316</v>
      </c>
      <c r="B57" s="36" t="s">
        <v>313</v>
      </c>
      <c r="C57" s="37" t="s">
        <v>317</v>
      </c>
      <c r="D57" s="38">
        <v>234</v>
      </c>
      <c r="E57" s="40">
        <v>1854483.43</v>
      </c>
      <c r="F57" s="40">
        <v>2172207</v>
      </c>
      <c r="G57" s="40">
        <v>2387628</v>
      </c>
      <c r="H57" s="40">
        <v>1854483.43</v>
      </c>
      <c r="I57" s="41">
        <v>-0.146267630110758</v>
      </c>
      <c r="J57" s="41">
        <v>-0.22329465477871799</v>
      </c>
      <c r="K57" s="37"/>
      <c r="L57" s="40"/>
      <c r="M57" s="41"/>
      <c r="N57" s="38">
        <v>0</v>
      </c>
    </row>
    <row r="58" spans="1:14" ht="15" customHeight="1" x14ac:dyDescent="0.2">
      <c r="A58" s="35" t="s">
        <v>319</v>
      </c>
      <c r="B58" s="36" t="s">
        <v>313</v>
      </c>
      <c r="C58" s="37" t="s">
        <v>320</v>
      </c>
      <c r="D58" s="38">
        <v>24</v>
      </c>
      <c r="E58" s="40">
        <v>432579.38</v>
      </c>
      <c r="F58" s="40">
        <v>530143</v>
      </c>
      <c r="G58" s="40">
        <v>558927</v>
      </c>
      <c r="H58" s="40">
        <v>432579.38</v>
      </c>
      <c r="I58" s="41">
        <v>-0.18403264779502901</v>
      </c>
      <c r="J58" s="41">
        <v>-0.22605388539111601</v>
      </c>
      <c r="K58" s="37"/>
      <c r="L58" s="40"/>
      <c r="M58" s="41"/>
      <c r="N58" s="38">
        <v>0</v>
      </c>
    </row>
    <row r="59" spans="1:14" ht="15" customHeight="1" x14ac:dyDescent="0.2">
      <c r="A59" s="35" t="s">
        <v>322</v>
      </c>
      <c r="B59" s="36" t="s">
        <v>313</v>
      </c>
      <c r="C59" s="37" t="s">
        <v>323</v>
      </c>
      <c r="D59" s="38">
        <v>219</v>
      </c>
      <c r="E59" s="40">
        <v>0</v>
      </c>
      <c r="F59" s="40">
        <v>0</v>
      </c>
      <c r="G59" s="40">
        <v>0</v>
      </c>
      <c r="H59" s="40">
        <v>0</v>
      </c>
      <c r="I59" s="41"/>
      <c r="J59" s="41"/>
      <c r="K59" s="37"/>
      <c r="L59" s="40"/>
      <c r="M59" s="41"/>
      <c r="N59" s="38">
        <v>0</v>
      </c>
    </row>
    <row r="60" spans="1:14" ht="15" customHeight="1" x14ac:dyDescent="0.2">
      <c r="A60" s="35" t="s">
        <v>325</v>
      </c>
      <c r="B60" s="36" t="s">
        <v>313</v>
      </c>
      <c r="C60" s="37" t="s">
        <v>326</v>
      </c>
      <c r="D60" s="38">
        <v>146</v>
      </c>
      <c r="E60" s="40">
        <v>0</v>
      </c>
      <c r="F60" s="40">
        <v>0</v>
      </c>
      <c r="G60" s="40">
        <v>0</v>
      </c>
      <c r="H60" s="40">
        <v>0</v>
      </c>
      <c r="I60" s="41"/>
      <c r="J60" s="41"/>
      <c r="K60" s="37"/>
      <c r="L60" s="40"/>
      <c r="M60" s="41"/>
      <c r="N60" s="38">
        <v>0</v>
      </c>
    </row>
    <row r="61" spans="1:14" ht="15" customHeight="1" x14ac:dyDescent="0.2">
      <c r="A61" s="35" t="s">
        <v>327</v>
      </c>
      <c r="B61" s="36" t="s">
        <v>313</v>
      </c>
      <c r="C61" s="37" t="s">
        <v>328</v>
      </c>
      <c r="D61" s="38">
        <v>244</v>
      </c>
      <c r="E61" s="40">
        <v>1100377.27</v>
      </c>
      <c r="F61" s="40">
        <v>1911015</v>
      </c>
      <c r="G61" s="40">
        <v>1930422</v>
      </c>
      <c r="H61" s="40">
        <v>1100377.27</v>
      </c>
      <c r="I61" s="41">
        <v>-0.42419223815616303</v>
      </c>
      <c r="J61" s="41">
        <v>-0.42998097307220901</v>
      </c>
      <c r="K61" s="37"/>
      <c r="L61" s="40"/>
      <c r="M61" s="41"/>
      <c r="N61" s="38">
        <v>0</v>
      </c>
    </row>
    <row r="62" spans="1:14" ht="15" customHeight="1" x14ac:dyDescent="0.2">
      <c r="A62" s="35" t="s">
        <v>329</v>
      </c>
      <c r="B62" s="36" t="s">
        <v>313</v>
      </c>
      <c r="C62" s="37" t="s">
        <v>331</v>
      </c>
      <c r="D62" s="38">
        <v>186</v>
      </c>
      <c r="E62" s="40">
        <v>344768.24</v>
      </c>
      <c r="F62" s="40">
        <v>1590100</v>
      </c>
      <c r="G62" s="40">
        <v>1618150</v>
      </c>
      <c r="H62" s="40">
        <v>344768.24</v>
      </c>
      <c r="I62" s="41">
        <v>-0.78317826551789205</v>
      </c>
      <c r="J62" s="41">
        <v>-0.78693678583567706</v>
      </c>
      <c r="K62" s="37"/>
      <c r="L62" s="40"/>
      <c r="M62" s="41"/>
      <c r="N62" s="38">
        <v>0</v>
      </c>
    </row>
    <row r="63" spans="1:14" ht="15" customHeight="1" x14ac:dyDescent="0.2">
      <c r="A63" s="35" t="s">
        <v>334</v>
      </c>
      <c r="B63" s="36" t="s">
        <v>313</v>
      </c>
      <c r="C63" s="37" t="s">
        <v>335</v>
      </c>
      <c r="D63" s="38">
        <v>20</v>
      </c>
      <c r="E63" s="40">
        <v>91340.7</v>
      </c>
      <c r="F63" s="40">
        <v>256952</v>
      </c>
      <c r="G63" s="40">
        <v>272837</v>
      </c>
      <c r="H63" s="40">
        <v>91340.7</v>
      </c>
      <c r="I63" s="41">
        <v>-0.64452232323546799</v>
      </c>
      <c r="J63" s="41">
        <v>-0.66521879363869296</v>
      </c>
      <c r="K63" s="37"/>
      <c r="L63" s="40"/>
      <c r="M63" s="41"/>
      <c r="N63" s="38">
        <v>0</v>
      </c>
    </row>
    <row r="64" spans="1:14" ht="15" customHeight="1" x14ac:dyDescent="0.2">
      <c r="A64" s="35" t="s">
        <v>338</v>
      </c>
      <c r="B64" s="36" t="s">
        <v>313</v>
      </c>
      <c r="C64" s="37" t="s">
        <v>339</v>
      </c>
      <c r="D64" s="38">
        <v>239</v>
      </c>
      <c r="E64" s="40">
        <v>0</v>
      </c>
      <c r="F64" s="40">
        <v>0</v>
      </c>
      <c r="G64" s="40">
        <v>0</v>
      </c>
      <c r="H64" s="40">
        <v>0</v>
      </c>
      <c r="I64" s="41"/>
      <c r="J64" s="41"/>
      <c r="K64" s="37"/>
      <c r="L64" s="40"/>
      <c r="M64" s="41"/>
      <c r="N64" s="38">
        <v>0</v>
      </c>
    </row>
    <row r="65" spans="1:14" ht="15" customHeight="1" x14ac:dyDescent="0.2">
      <c r="A65" s="35" t="s">
        <v>341</v>
      </c>
      <c r="B65" s="36" t="s">
        <v>313</v>
      </c>
      <c r="C65" s="37" t="s">
        <v>342</v>
      </c>
      <c r="D65" s="38">
        <v>201</v>
      </c>
      <c r="E65" s="40">
        <v>0</v>
      </c>
      <c r="F65" s="40">
        <v>0</v>
      </c>
      <c r="G65" s="40">
        <v>0</v>
      </c>
      <c r="H65" s="40">
        <v>0</v>
      </c>
      <c r="I65" s="41"/>
      <c r="J65" s="41"/>
      <c r="K65" s="37"/>
      <c r="L65" s="40"/>
      <c r="M65" s="41"/>
      <c r="N65" s="38">
        <v>0</v>
      </c>
    </row>
    <row r="66" spans="1:14" ht="15" customHeight="1" x14ac:dyDescent="0.2">
      <c r="A66" s="35" t="s">
        <v>343</v>
      </c>
      <c r="B66" s="36" t="s">
        <v>313</v>
      </c>
      <c r="C66" s="37" t="s">
        <v>344</v>
      </c>
      <c r="D66" s="38">
        <v>166</v>
      </c>
      <c r="E66" s="40">
        <v>0</v>
      </c>
      <c r="F66" s="40">
        <v>0</v>
      </c>
      <c r="G66" s="40">
        <v>0</v>
      </c>
      <c r="H66" s="40">
        <v>0</v>
      </c>
      <c r="I66" s="41"/>
      <c r="J66" s="41"/>
      <c r="K66" s="37"/>
      <c r="L66" s="40"/>
      <c r="M66" s="41"/>
      <c r="N66" s="38">
        <v>0</v>
      </c>
    </row>
    <row r="67" spans="1:14" ht="15" customHeight="1" x14ac:dyDescent="0.2">
      <c r="A67" s="35" t="s">
        <v>346</v>
      </c>
      <c r="B67" s="36" t="s">
        <v>313</v>
      </c>
      <c r="C67" s="37" t="s">
        <v>347</v>
      </c>
      <c r="D67" s="38">
        <v>104</v>
      </c>
      <c r="E67" s="40">
        <v>0</v>
      </c>
      <c r="F67" s="40">
        <v>0</v>
      </c>
      <c r="G67" s="40">
        <v>0</v>
      </c>
      <c r="H67" s="40">
        <v>0</v>
      </c>
      <c r="I67" s="41"/>
      <c r="J67" s="41"/>
      <c r="K67" s="37"/>
      <c r="L67" s="40"/>
      <c r="M67" s="41"/>
      <c r="N67" s="38">
        <v>0</v>
      </c>
    </row>
    <row r="68" spans="1:14" ht="15" customHeight="1" x14ac:dyDescent="0.2">
      <c r="A68" s="35" t="s">
        <v>349</v>
      </c>
      <c r="B68" s="36" t="s">
        <v>313</v>
      </c>
      <c r="C68" s="37" t="s">
        <v>350</v>
      </c>
      <c r="D68" s="38">
        <v>406</v>
      </c>
      <c r="E68" s="40">
        <v>0</v>
      </c>
      <c r="F68" s="40">
        <v>0</v>
      </c>
      <c r="G68" s="40">
        <v>0</v>
      </c>
      <c r="H68" s="40">
        <v>0</v>
      </c>
      <c r="I68" s="41"/>
      <c r="J68" s="41"/>
      <c r="K68" s="37"/>
      <c r="L68" s="40"/>
      <c r="M68" s="41"/>
      <c r="N68" s="38">
        <v>0</v>
      </c>
    </row>
    <row r="69" spans="1:14" ht="15" customHeight="1" x14ac:dyDescent="0.2">
      <c r="A69" s="35" t="s">
        <v>352</v>
      </c>
      <c r="B69" s="36" t="s">
        <v>313</v>
      </c>
      <c r="C69" s="37" t="s">
        <v>353</v>
      </c>
      <c r="D69" s="38"/>
      <c r="E69" s="40">
        <v>0</v>
      </c>
      <c r="F69" s="40">
        <v>0</v>
      </c>
      <c r="G69" s="40">
        <v>0</v>
      </c>
      <c r="H69" s="40">
        <v>0</v>
      </c>
      <c r="I69" s="41"/>
      <c r="J69" s="41"/>
      <c r="K69" s="37"/>
      <c r="L69" s="40"/>
      <c r="M69" s="41"/>
      <c r="N69" s="38">
        <v>0</v>
      </c>
    </row>
    <row r="71" spans="1:14" ht="15" customHeight="1" x14ac:dyDescent="0.2">
      <c r="A71" s="5" t="s">
        <v>355</v>
      </c>
      <c r="B71" s="5"/>
      <c r="C71" s="5"/>
      <c r="D71" s="45">
        <f t="shared" ref="D71:J71" si="0">IFERROR(MEDIAN(D5:D69),"")</f>
        <v>136</v>
      </c>
      <c r="E71" s="47">
        <f t="shared" si="0"/>
        <v>344768.24</v>
      </c>
      <c r="F71" s="47">
        <f t="shared" si="0"/>
        <v>520410</v>
      </c>
      <c r="G71" s="47">
        <f t="shared" si="0"/>
        <v>502391</v>
      </c>
      <c r="H71" s="47">
        <f t="shared" si="0"/>
        <v>344768.24</v>
      </c>
      <c r="I71" s="48">
        <f t="shared" si="0"/>
        <v>-0.25365622366909302</v>
      </c>
      <c r="J71" s="48">
        <f t="shared" si="0"/>
        <v>-0.26140797812366401</v>
      </c>
      <c r="L71" s="47">
        <f>IFERROR(MEDIAN(L5:L69),"")</f>
        <v>102072.49</v>
      </c>
      <c r="M71" s="48">
        <f>IFERROR(MEDIAN(M5:M69),"")</f>
        <v>0.30330122267792697</v>
      </c>
      <c r="N71" s="45">
        <f>IFERROR(MEDIAN(N5:N69),"")</f>
        <v>0</v>
      </c>
    </row>
    <row r="72" spans="1:14" ht="15" customHeight="1" x14ac:dyDescent="0.2">
      <c r="A72" s="5" t="s">
        <v>433</v>
      </c>
      <c r="B72" s="5"/>
      <c r="C72" s="5"/>
      <c r="I72" s="48">
        <f>IFERROR(PERCENTILE(I5:I69,0.25),"")</f>
        <v>-0.33946597861434202</v>
      </c>
      <c r="J72" s="48">
        <f>IFERROR(PERCENTILE(J5:J69,0.25),"")</f>
        <v>-0.33938555715877999</v>
      </c>
    </row>
    <row r="73" spans="1:14" ht="15" customHeight="1" x14ac:dyDescent="0.2">
      <c r="A73" s="5" t="s">
        <v>434</v>
      </c>
      <c r="B73" s="5"/>
      <c r="C73" s="5"/>
      <c r="I73" s="48">
        <f>IFERROR(PERCENTILE(I5:I69,0.75),"")</f>
        <v>-0.17536403548888699</v>
      </c>
      <c r="J73" s="48">
        <f>IFERROR(PERCENTILE(J5:J69,0.75),"")</f>
        <v>-0.22329465477871799</v>
      </c>
    </row>
  </sheetData>
  <mergeCells count="3">
    <mergeCell ref="A71:C71"/>
    <mergeCell ref="A72:C72"/>
    <mergeCell ref="A73:C73"/>
  </mergeCells>
  <conditionalFormatting sqref="I5:I69">
    <cfRule type="colorScale" priority="2">
      <colorScale>
        <cfvo type="num" val="-0.5"/>
        <cfvo type="num" val="0"/>
        <cfvo type="num" val="0.5"/>
        <color rgb="FF2E7D5B"/>
        <color rgb="FFFFFFFF"/>
        <color rgb="FFC0392B"/>
      </colorScale>
    </cfRule>
  </conditionalFormatting>
  <conditionalFormatting sqref="J5:J69">
    <cfRule type="colorScale" priority="3">
      <colorScale>
        <cfvo type="num" val="-0.5"/>
        <cfvo type="num" val="0"/>
        <cfvo type="num" val="0.5"/>
        <color rgb="FF2E7D5B"/>
        <color rgb="FFFFFFFF"/>
        <color rgb="FFC0392B"/>
      </colorScale>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8"/>
  <sheetViews>
    <sheetView showGridLines="0" zoomScaleNormal="100" workbookViewId="0"/>
  </sheetViews>
  <sheetFormatPr baseColWidth="10" defaultColWidth="8.6640625" defaultRowHeight="15" x14ac:dyDescent="0.2"/>
  <cols>
    <col min="1" max="1" width="34" customWidth="1"/>
    <col min="2" max="2" width="6" customWidth="1"/>
    <col min="3" max="8" width="13" customWidth="1"/>
    <col min="9" max="9" width="60" customWidth="1"/>
  </cols>
  <sheetData>
    <row r="1" spans="1:9" ht="21.75" customHeight="1" x14ac:dyDescent="0.25">
      <c r="A1" s="13" t="s">
        <v>435</v>
      </c>
    </row>
    <row r="2" spans="1:9" ht="15" customHeight="1" x14ac:dyDescent="0.2">
      <c r="A2" s="8" t="s">
        <v>436</v>
      </c>
    </row>
    <row r="4" spans="1:9" ht="15" customHeight="1" x14ac:dyDescent="0.2">
      <c r="A4" s="4" t="s">
        <v>437</v>
      </c>
      <c r="B4" s="4"/>
      <c r="C4" s="4"/>
      <c r="D4" s="4"/>
      <c r="E4" s="4"/>
      <c r="F4" s="4"/>
      <c r="G4" s="4"/>
      <c r="H4" s="4"/>
      <c r="I4" s="4"/>
    </row>
    <row r="5" spans="1:9" ht="27.75" customHeight="1" x14ac:dyDescent="0.2">
      <c r="A5" s="16" t="s">
        <v>438</v>
      </c>
      <c r="B5" s="16" t="s">
        <v>439</v>
      </c>
      <c r="C5" s="16" t="s">
        <v>440</v>
      </c>
      <c r="D5" s="16" t="s">
        <v>441</v>
      </c>
      <c r="E5" s="16" t="s">
        <v>442</v>
      </c>
      <c r="F5" s="16" t="s">
        <v>443</v>
      </c>
      <c r="G5" s="16" t="s">
        <v>444</v>
      </c>
      <c r="H5" s="16" t="s">
        <v>445</v>
      </c>
      <c r="I5" s="16" t="s">
        <v>446</v>
      </c>
    </row>
    <row r="6" spans="1:9" ht="15" customHeight="1" x14ac:dyDescent="0.2">
      <c r="A6" s="19" t="s">
        <v>447</v>
      </c>
      <c r="B6" s="17">
        <v>50</v>
      </c>
      <c r="C6" s="21">
        <v>93.937911392405098</v>
      </c>
      <c r="D6" s="21">
        <v>123.429477858559</v>
      </c>
      <c r="E6" s="21">
        <v>154.486674641148</v>
      </c>
      <c r="F6" s="21">
        <v>136.559823433785</v>
      </c>
      <c r="G6" s="21">
        <v>50.884735202492202</v>
      </c>
      <c r="H6" s="21">
        <v>305.55147058823502</v>
      </c>
      <c r="I6" s="19"/>
    </row>
    <row r="7" spans="1:9" ht="15" customHeight="1" x14ac:dyDescent="0.2">
      <c r="A7" s="28" t="s">
        <v>448</v>
      </c>
      <c r="B7" s="26">
        <v>50</v>
      </c>
      <c r="C7" s="31">
        <v>2064.0275235899398</v>
      </c>
      <c r="D7" s="31">
        <v>3076.6684432444899</v>
      </c>
      <c r="E7" s="31">
        <v>3613.76055988895</v>
      </c>
      <c r="F7" s="31">
        <v>2905.7194359748</v>
      </c>
      <c r="G7" s="31">
        <v>1221.22008547009</v>
      </c>
      <c r="H7" s="31">
        <v>4326.8287037036998</v>
      </c>
      <c r="I7" s="28"/>
    </row>
    <row r="8" spans="1:9" ht="15" customHeight="1" x14ac:dyDescent="0.2">
      <c r="A8" s="19" t="s">
        <v>449</v>
      </c>
      <c r="B8" s="17">
        <v>50</v>
      </c>
      <c r="C8" s="22">
        <v>2645.4142304393299</v>
      </c>
      <c r="D8" s="22">
        <v>3166.7379278667099</v>
      </c>
      <c r="E8" s="22">
        <v>3515.8397514705898</v>
      </c>
      <c r="F8" s="22">
        <v>3060.8530931405398</v>
      </c>
      <c r="G8" s="22">
        <v>1219.69706030151</v>
      </c>
      <c r="H8" s="22">
        <v>4653.8523148148197</v>
      </c>
      <c r="I8" s="19"/>
    </row>
    <row r="9" spans="1:9" ht="15" customHeight="1" x14ac:dyDescent="0.2">
      <c r="A9" s="28" t="s">
        <v>450</v>
      </c>
      <c r="B9" s="26">
        <v>50</v>
      </c>
      <c r="C9" s="31">
        <v>10227.2508564903</v>
      </c>
      <c r="D9" s="31">
        <v>13147.348272462799</v>
      </c>
      <c r="E9" s="31">
        <v>15937.054836400799</v>
      </c>
      <c r="F9" s="31">
        <v>13113.9469976934</v>
      </c>
      <c r="G9" s="31">
        <v>7039.4285714285697</v>
      </c>
      <c r="H9" s="31">
        <v>22802.137037036999</v>
      </c>
      <c r="I9" s="28"/>
    </row>
    <row r="11" spans="1:9" ht="15" customHeight="1" x14ac:dyDescent="0.2">
      <c r="A11" s="4" t="s">
        <v>451</v>
      </c>
      <c r="B11" s="4"/>
      <c r="C11" s="4"/>
      <c r="D11" s="4"/>
      <c r="E11" s="4"/>
      <c r="F11" s="4"/>
      <c r="G11" s="4"/>
      <c r="H11" s="4"/>
      <c r="I11" s="4"/>
    </row>
    <row r="12" spans="1:9" ht="27.75" customHeight="1" x14ac:dyDescent="0.2">
      <c r="A12" s="16" t="s">
        <v>438</v>
      </c>
      <c r="B12" s="16" t="s">
        <v>439</v>
      </c>
      <c r="C12" s="16" t="s">
        <v>440</v>
      </c>
      <c r="D12" s="16" t="s">
        <v>441</v>
      </c>
      <c r="E12" s="16" t="s">
        <v>442</v>
      </c>
      <c r="F12" s="16" t="s">
        <v>443</v>
      </c>
      <c r="G12" s="16" t="s">
        <v>444</v>
      </c>
      <c r="H12" s="16" t="s">
        <v>445</v>
      </c>
      <c r="I12" s="16" t="s">
        <v>446</v>
      </c>
    </row>
    <row r="13" spans="1:9" ht="15" customHeight="1" x14ac:dyDescent="0.2">
      <c r="A13" s="28" t="s">
        <v>452</v>
      </c>
      <c r="B13" s="26">
        <v>50</v>
      </c>
      <c r="C13" s="32">
        <v>0.19439197901163599</v>
      </c>
      <c r="D13" s="32">
        <v>0.216456198749018</v>
      </c>
      <c r="E13" s="32">
        <v>0.25380903938240801</v>
      </c>
      <c r="F13" s="32">
        <v>0.221938066553546</v>
      </c>
      <c r="G13" s="32">
        <v>0.108894982298698</v>
      </c>
      <c r="H13" s="32">
        <v>0.33554840722250501</v>
      </c>
      <c r="I13" s="28"/>
    </row>
    <row r="14" spans="1:9" ht="15" customHeight="1" x14ac:dyDescent="0.2">
      <c r="A14" s="19" t="s">
        <v>453</v>
      </c>
      <c r="B14" s="17">
        <v>50</v>
      </c>
      <c r="C14" s="23">
        <v>0.21268649189456401</v>
      </c>
      <c r="D14" s="23">
        <v>0.23461266914439</v>
      </c>
      <c r="E14" s="23">
        <v>0.26304308516618002</v>
      </c>
      <c r="F14" s="23">
        <v>0.239566132029674</v>
      </c>
      <c r="G14" s="23">
        <v>9.3574103552327301E-2</v>
      </c>
      <c r="H14" s="23">
        <v>0.383209853681305</v>
      </c>
      <c r="I14" s="19"/>
    </row>
    <row r="15" spans="1:9" ht="15" customHeight="1" x14ac:dyDescent="0.2">
      <c r="A15" s="28" t="s">
        <v>454</v>
      </c>
      <c r="B15" s="26">
        <v>37</v>
      </c>
      <c r="C15" s="32">
        <v>0.33908230813242901</v>
      </c>
      <c r="D15" s="32">
        <v>0.41388453680524201</v>
      </c>
      <c r="E15" s="32">
        <v>0.47693861375060798</v>
      </c>
      <c r="F15" s="32">
        <v>0.409767164720788</v>
      </c>
      <c r="G15" s="32">
        <v>0.14477217653694099</v>
      </c>
      <c r="H15" s="32">
        <v>0.78226328195207395</v>
      </c>
      <c r="I15" s="28"/>
    </row>
    <row r="17" spans="1:9" ht="15" customHeight="1" x14ac:dyDescent="0.2">
      <c r="A17" s="4" t="s">
        <v>455</v>
      </c>
      <c r="B17" s="4"/>
      <c r="C17" s="4"/>
      <c r="D17" s="4"/>
      <c r="E17" s="4"/>
      <c r="F17" s="4"/>
      <c r="G17" s="4"/>
      <c r="H17" s="4"/>
      <c r="I17" s="4"/>
    </row>
    <row r="18" spans="1:9" ht="27.75" customHeight="1" x14ac:dyDescent="0.2">
      <c r="A18" s="16" t="s">
        <v>438</v>
      </c>
      <c r="B18" s="16" t="s">
        <v>439</v>
      </c>
      <c r="C18" s="16" t="s">
        <v>440</v>
      </c>
      <c r="D18" s="16" t="s">
        <v>441</v>
      </c>
      <c r="E18" s="16" t="s">
        <v>442</v>
      </c>
      <c r="F18" s="16" t="s">
        <v>443</v>
      </c>
      <c r="G18" s="16" t="s">
        <v>444</v>
      </c>
      <c r="H18" s="16" t="s">
        <v>445</v>
      </c>
      <c r="I18" s="16" t="s">
        <v>446</v>
      </c>
    </row>
    <row r="19" spans="1:9" ht="15" customHeight="1" x14ac:dyDescent="0.2">
      <c r="A19" s="28" t="s">
        <v>456</v>
      </c>
      <c r="B19" s="26">
        <v>30</v>
      </c>
      <c r="C19" s="29">
        <v>528.008848195474</v>
      </c>
      <c r="D19" s="29">
        <v>868.72306910569102</v>
      </c>
      <c r="E19" s="29">
        <v>1976.58983870968</v>
      </c>
      <c r="F19" s="29">
        <v>1276.3979553358299</v>
      </c>
      <c r="G19" s="29">
        <v>228.938547486034</v>
      </c>
      <c r="H19" s="29">
        <v>3949.9</v>
      </c>
      <c r="I19" s="28"/>
    </row>
    <row r="20" spans="1:9" ht="15" customHeight="1" x14ac:dyDescent="0.2">
      <c r="A20" s="19" t="s">
        <v>457</v>
      </c>
      <c r="B20" s="17">
        <v>30</v>
      </c>
      <c r="C20" s="21">
        <v>4.4668323249783901</v>
      </c>
      <c r="D20" s="21">
        <v>7.0911424903722704</v>
      </c>
      <c r="E20" s="21">
        <v>9.7244318181818201</v>
      </c>
      <c r="F20" s="21">
        <v>7.84789124829235</v>
      </c>
      <c r="G20" s="21">
        <v>1.63636363636364</v>
      </c>
      <c r="H20" s="21">
        <v>23.870967741935502</v>
      </c>
      <c r="I20" s="19"/>
    </row>
    <row r="21" spans="1:9" ht="15" customHeight="1" x14ac:dyDescent="0.2">
      <c r="A21" s="28" t="s">
        <v>458</v>
      </c>
      <c r="B21" s="26">
        <v>30</v>
      </c>
      <c r="C21" s="30">
        <v>3.0462634754253402</v>
      </c>
      <c r="D21" s="30">
        <v>5.0119602440759898</v>
      </c>
      <c r="E21" s="30">
        <v>11.40362221606</v>
      </c>
      <c r="F21" s="30">
        <v>7.3639759726292802</v>
      </c>
      <c r="G21" s="30">
        <v>1.32082471289467</v>
      </c>
      <c r="H21" s="30">
        <v>22.788322852362501</v>
      </c>
      <c r="I21" s="28"/>
    </row>
    <row r="22" spans="1:9" ht="15" customHeight="1" x14ac:dyDescent="0.2">
      <c r="A22" s="19" t="s">
        <v>459</v>
      </c>
      <c r="B22" s="17">
        <v>30</v>
      </c>
      <c r="C22" s="21">
        <v>15.9</v>
      </c>
      <c r="D22" s="21">
        <v>17.45</v>
      </c>
      <c r="E22" s="21">
        <v>22.175000000000001</v>
      </c>
      <c r="F22" s="21">
        <v>18.75</v>
      </c>
      <c r="G22" s="21">
        <v>11</v>
      </c>
      <c r="H22" s="21">
        <v>31.1</v>
      </c>
      <c r="I22" s="19"/>
    </row>
    <row r="24" spans="1:9" ht="15" customHeight="1" x14ac:dyDescent="0.2">
      <c r="A24" s="4" t="s">
        <v>460</v>
      </c>
      <c r="B24" s="4"/>
      <c r="C24" s="4"/>
      <c r="D24" s="4"/>
      <c r="E24" s="4"/>
      <c r="F24" s="4"/>
      <c r="G24" s="4"/>
      <c r="H24" s="4"/>
      <c r="I24" s="4"/>
    </row>
    <row r="25" spans="1:9" ht="27.75" customHeight="1" x14ac:dyDescent="0.2">
      <c r="A25" s="16" t="s">
        <v>438</v>
      </c>
      <c r="B25" s="16" t="s">
        <v>439</v>
      </c>
      <c r="C25" s="16" t="s">
        <v>440</v>
      </c>
      <c r="D25" s="16" t="s">
        <v>441</v>
      </c>
      <c r="E25" s="16" t="s">
        <v>442</v>
      </c>
      <c r="F25" s="16" t="s">
        <v>443</v>
      </c>
      <c r="G25" s="16" t="s">
        <v>444</v>
      </c>
      <c r="H25" s="16" t="s">
        <v>445</v>
      </c>
      <c r="I25" s="16" t="s">
        <v>446</v>
      </c>
    </row>
    <row r="26" spans="1:9" ht="15" customHeight="1" x14ac:dyDescent="0.2">
      <c r="A26" s="19" t="s">
        <v>461</v>
      </c>
      <c r="B26" s="17">
        <v>50</v>
      </c>
      <c r="C26" s="24">
        <v>22.03961792046</v>
      </c>
      <c r="D26" s="24">
        <v>25.623424834893999</v>
      </c>
      <c r="E26" s="24">
        <v>28.759766293785599</v>
      </c>
      <c r="F26" s="24">
        <v>25.704777124460101</v>
      </c>
      <c r="G26" s="24">
        <v>19.043887380123898</v>
      </c>
      <c r="H26" s="24">
        <v>33.914659500025401</v>
      </c>
      <c r="I26" s="19"/>
    </row>
    <row r="27" spans="1:9" ht="15" customHeight="1" x14ac:dyDescent="0.2">
      <c r="A27" s="28" t="s">
        <v>462</v>
      </c>
      <c r="B27" s="26">
        <v>50</v>
      </c>
      <c r="C27" s="33">
        <v>24.766036302956</v>
      </c>
      <c r="D27" s="33">
        <v>40.230988103709699</v>
      </c>
      <c r="E27" s="33">
        <v>56.766925000000001</v>
      </c>
      <c r="F27" s="33">
        <v>40.8587702019639</v>
      </c>
      <c r="G27" s="33">
        <v>14.22</v>
      </c>
      <c r="H27" s="33">
        <v>67.403499999999994</v>
      </c>
      <c r="I27" s="28"/>
    </row>
    <row r="28" spans="1:9" ht="15" customHeight="1" x14ac:dyDescent="0.2">
      <c r="A28" s="19" t="s">
        <v>463</v>
      </c>
      <c r="B28" s="17">
        <v>50</v>
      </c>
      <c r="C28" s="25">
        <v>1.0075000000000001</v>
      </c>
      <c r="D28" s="25">
        <v>1.3421000000000001</v>
      </c>
      <c r="E28" s="25">
        <v>1.50614669389596</v>
      </c>
      <c r="F28" s="25">
        <v>1.25369341382329</v>
      </c>
      <c r="G28" s="25">
        <v>0.68</v>
      </c>
      <c r="H28" s="25">
        <v>1.5817412339657</v>
      </c>
      <c r="I28" s="19"/>
    </row>
    <row r="29" spans="1:9" ht="15" customHeight="1" x14ac:dyDescent="0.2">
      <c r="A29" s="28" t="s">
        <v>464</v>
      </c>
      <c r="B29" s="26">
        <v>50</v>
      </c>
      <c r="C29" s="32">
        <v>0</v>
      </c>
      <c r="D29" s="32">
        <v>4.9978254557417499E-3</v>
      </c>
      <c r="E29" s="32">
        <v>2.5599722629237199E-2</v>
      </c>
      <c r="F29" s="32">
        <v>1.4412841673812E-2</v>
      </c>
      <c r="G29" s="32">
        <v>0</v>
      </c>
      <c r="H29" s="32">
        <v>7.1696898143179102E-2</v>
      </c>
      <c r="I29" s="28"/>
    </row>
    <row r="30" spans="1:9" ht="15" customHeight="1" x14ac:dyDescent="0.2">
      <c r="A30" s="19" t="s">
        <v>465</v>
      </c>
      <c r="B30" s="17">
        <v>50</v>
      </c>
      <c r="C30" s="23">
        <v>0.41223744675598001</v>
      </c>
      <c r="D30" s="23">
        <v>0.55936020556517296</v>
      </c>
      <c r="E30" s="23">
        <v>0.64593593853229503</v>
      </c>
      <c r="F30" s="23">
        <v>0.53194738343895298</v>
      </c>
      <c r="G30" s="23">
        <v>0.24391641286976501</v>
      </c>
      <c r="H30" s="23">
        <v>0.79858416889202399</v>
      </c>
      <c r="I30" s="19"/>
    </row>
    <row r="32" spans="1:9" ht="15" customHeight="1" x14ac:dyDescent="0.2">
      <c r="A32" s="4" t="s">
        <v>466</v>
      </c>
      <c r="B32" s="4"/>
      <c r="C32" s="4"/>
      <c r="D32" s="4"/>
      <c r="E32" s="4"/>
      <c r="F32" s="4"/>
      <c r="G32" s="4"/>
      <c r="H32" s="4"/>
      <c r="I32" s="4"/>
    </row>
    <row r="33" spans="1:9" ht="27.75" customHeight="1" x14ac:dyDescent="0.2">
      <c r="A33" s="16" t="s">
        <v>438</v>
      </c>
      <c r="B33" s="16" t="s">
        <v>439</v>
      </c>
      <c r="C33" s="16" t="s">
        <v>440</v>
      </c>
      <c r="D33" s="16" t="s">
        <v>441</v>
      </c>
      <c r="E33" s="16" t="s">
        <v>442</v>
      </c>
      <c r="F33" s="16" t="s">
        <v>443</v>
      </c>
      <c r="G33" s="16" t="s">
        <v>444</v>
      </c>
      <c r="H33" s="16" t="s">
        <v>445</v>
      </c>
      <c r="I33" s="16" t="s">
        <v>446</v>
      </c>
    </row>
    <row r="34" spans="1:9" ht="15" customHeight="1" x14ac:dyDescent="0.2">
      <c r="A34" s="19" t="s">
        <v>467</v>
      </c>
      <c r="B34" s="17">
        <v>50</v>
      </c>
      <c r="C34" s="23">
        <v>-0.15025491893867901</v>
      </c>
      <c r="D34" s="23">
        <v>-4.9741306222448101E-2</v>
      </c>
      <c r="E34" s="23">
        <v>0.128718172811499</v>
      </c>
      <c r="F34" s="23">
        <v>-1.96017145316996E-2</v>
      </c>
      <c r="G34" s="23">
        <v>-0.40427320049170601</v>
      </c>
      <c r="H34" s="23">
        <v>0.42154759152990401</v>
      </c>
      <c r="I34" s="19"/>
    </row>
    <row r="35" spans="1:9" ht="15" customHeight="1" x14ac:dyDescent="0.2">
      <c r="A35" s="28" t="s">
        <v>468</v>
      </c>
      <c r="B35" s="26">
        <v>50</v>
      </c>
      <c r="C35" s="32">
        <v>-0.32978539250847699</v>
      </c>
      <c r="D35" s="32">
        <v>-0.238934703041918</v>
      </c>
      <c r="E35" s="32">
        <v>-0.174420426651929</v>
      </c>
      <c r="F35" s="32">
        <v>-0.243296679517648</v>
      </c>
      <c r="G35" s="32">
        <v>-0.50494720434344798</v>
      </c>
      <c r="H35" s="32">
        <v>7.6874557877920094E-2</v>
      </c>
      <c r="I35" s="28"/>
    </row>
    <row r="37" spans="1:9" ht="15" customHeight="1" x14ac:dyDescent="0.2">
      <c r="A37" s="4" t="s">
        <v>469</v>
      </c>
      <c r="B37" s="4"/>
      <c r="C37" s="4"/>
      <c r="D37" s="4"/>
      <c r="E37" s="4"/>
      <c r="F37" s="4"/>
      <c r="G37" s="4"/>
      <c r="H37" s="4"/>
      <c r="I37" s="4"/>
    </row>
    <row r="38" spans="1:9" ht="27.75" customHeight="1" x14ac:dyDescent="0.2">
      <c r="A38" s="16" t="s">
        <v>438</v>
      </c>
      <c r="B38" s="16" t="s">
        <v>439</v>
      </c>
      <c r="C38" s="16" t="s">
        <v>440</v>
      </c>
      <c r="D38" s="16" t="s">
        <v>441</v>
      </c>
      <c r="E38" s="16" t="s">
        <v>442</v>
      </c>
      <c r="F38" s="16" t="s">
        <v>443</v>
      </c>
      <c r="G38" s="16" t="s">
        <v>444</v>
      </c>
      <c r="H38" s="16" t="s">
        <v>445</v>
      </c>
      <c r="I38" s="16" t="s">
        <v>446</v>
      </c>
    </row>
    <row r="39" spans="1:9" ht="15" customHeight="1" x14ac:dyDescent="0.2">
      <c r="A39" s="28" t="s">
        <v>467</v>
      </c>
      <c r="B39" s="26">
        <v>50</v>
      </c>
      <c r="C39" s="32">
        <v>-0.18274897869023801</v>
      </c>
      <c r="D39" s="32">
        <v>-7.0451171060848999E-2</v>
      </c>
      <c r="E39" s="32">
        <v>7.7762997896578395E-2</v>
      </c>
      <c r="F39" s="32">
        <v>-5.1014596578098002E-2</v>
      </c>
      <c r="G39" s="32">
        <v>-0.401203221212942</v>
      </c>
      <c r="H39" s="32">
        <v>0.394224419189181</v>
      </c>
      <c r="I39" s="28"/>
    </row>
    <row r="40" spans="1:9" ht="15" customHeight="1" x14ac:dyDescent="0.2">
      <c r="A40" s="19" t="s">
        <v>468</v>
      </c>
      <c r="B40" s="17">
        <v>50</v>
      </c>
      <c r="C40" s="23">
        <v>-0.32497663287034001</v>
      </c>
      <c r="D40" s="23">
        <v>-0.24850374103255499</v>
      </c>
      <c r="E40" s="23">
        <v>-0.21607445381456999</v>
      </c>
      <c r="F40" s="23">
        <v>-0.264369728056291</v>
      </c>
      <c r="G40" s="23">
        <v>-0.504945585620592</v>
      </c>
      <c r="H40" s="23">
        <v>1.76371133309191E-3</v>
      </c>
      <c r="I40" s="19"/>
    </row>
    <row r="43" spans="1:9" ht="15" customHeight="1" x14ac:dyDescent="0.2">
      <c r="A43" s="51" t="s">
        <v>470</v>
      </c>
    </row>
    <row r="44" spans="1:9" ht="27.75" customHeight="1" x14ac:dyDescent="0.2">
      <c r="A44" s="3" t="s">
        <v>471</v>
      </c>
      <c r="B44" s="3"/>
      <c r="C44" s="3"/>
      <c r="D44" s="3"/>
      <c r="E44" s="3"/>
      <c r="F44" s="3"/>
      <c r="G44" s="3"/>
      <c r="H44" s="3"/>
      <c r="I44" s="3"/>
    </row>
    <row r="45" spans="1:9" ht="42" customHeight="1" x14ac:dyDescent="0.2">
      <c r="A45" s="3" t="s">
        <v>472</v>
      </c>
      <c r="B45" s="3"/>
      <c r="C45" s="3"/>
      <c r="D45" s="3"/>
      <c r="E45" s="3"/>
      <c r="F45" s="3"/>
      <c r="G45" s="3"/>
      <c r="H45" s="3"/>
      <c r="I45" s="3"/>
    </row>
    <row r="46" spans="1:9" ht="42" customHeight="1" x14ac:dyDescent="0.2">
      <c r="A46" s="3" t="s">
        <v>473</v>
      </c>
      <c r="B46" s="3"/>
      <c r="C46" s="3"/>
      <c r="D46" s="3"/>
      <c r="E46" s="3"/>
      <c r="F46" s="3"/>
      <c r="G46" s="3"/>
      <c r="H46" s="3"/>
      <c r="I46" s="3"/>
    </row>
    <row r="47" spans="1:9" ht="27.75" customHeight="1" x14ac:dyDescent="0.2">
      <c r="A47" s="3" t="s">
        <v>474</v>
      </c>
      <c r="B47" s="3"/>
      <c r="C47" s="3"/>
      <c r="D47" s="3"/>
      <c r="E47" s="3"/>
      <c r="F47" s="3"/>
      <c r="G47" s="3"/>
      <c r="H47" s="3"/>
      <c r="I47" s="3"/>
    </row>
    <row r="48" spans="1:9" ht="27.75" customHeight="1" x14ac:dyDescent="0.2">
      <c r="A48" s="3" t="s">
        <v>475</v>
      </c>
      <c r="B48" s="3"/>
      <c r="C48" s="3"/>
      <c r="D48" s="3"/>
      <c r="E48" s="3"/>
      <c r="F48" s="3"/>
      <c r="G48" s="3"/>
      <c r="H48" s="3"/>
      <c r="I48" s="3"/>
    </row>
  </sheetData>
  <mergeCells count="11">
    <mergeCell ref="A48:I48"/>
    <mergeCell ref="A37:I37"/>
    <mergeCell ref="A44:I44"/>
    <mergeCell ref="A45:I45"/>
    <mergeCell ref="A46:I46"/>
    <mergeCell ref="A47:I47"/>
    <mergeCell ref="A4:I4"/>
    <mergeCell ref="A11:I11"/>
    <mergeCell ref="A17:I17"/>
    <mergeCell ref="A24:I24"/>
    <mergeCell ref="A32:I3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59"/>
  <sheetViews>
    <sheetView showGridLines="0" tabSelected="1" zoomScaleNormal="100" workbookViewId="0">
      <pane xSplit="4" ySplit="4" topLeftCell="E5" activePane="bottomRight" state="frozen"/>
      <selection pane="topRight" activeCell="E1" sqref="E1"/>
      <selection pane="bottomLeft" activeCell="A5" sqref="A5"/>
      <selection pane="bottomRight"/>
    </sheetView>
  </sheetViews>
  <sheetFormatPr baseColWidth="10" defaultColWidth="8.6640625" defaultRowHeight="15" x14ac:dyDescent="0.2"/>
  <cols>
    <col min="1" max="1" width="7" customWidth="1"/>
    <col min="2" max="2" width="10" customWidth="1"/>
    <col min="3" max="3" width="14" customWidth="1"/>
    <col min="4" max="4" width="32" customWidth="1"/>
    <col min="5" max="5" width="7" customWidth="1"/>
    <col min="6" max="6" width="10" customWidth="1"/>
    <col min="7" max="7" width="11" customWidth="1"/>
    <col min="8" max="8" width="10" customWidth="1"/>
    <col min="9" max="9" width="12" customWidth="1"/>
    <col min="10" max="10" width="13" customWidth="1"/>
    <col min="11" max="12" width="12" customWidth="1"/>
    <col min="13" max="13" width="13" customWidth="1"/>
    <col min="14" max="18" width="12" customWidth="1"/>
    <col min="19" max="20" width="11" customWidth="1"/>
    <col min="21" max="21" width="13" customWidth="1"/>
    <col min="22" max="22" width="12" customWidth="1"/>
  </cols>
  <sheetData>
    <row r="1" spans="1:22" ht="21.75" customHeight="1" x14ac:dyDescent="0.25">
      <c r="A1" s="13" t="s">
        <v>476</v>
      </c>
    </row>
    <row r="2" spans="1:22" ht="15" customHeight="1" x14ac:dyDescent="0.2">
      <c r="A2" s="8" t="s">
        <v>477</v>
      </c>
    </row>
    <row r="4" spans="1:22" ht="27.75" customHeight="1" x14ac:dyDescent="0.2">
      <c r="A4" s="16" t="s">
        <v>478</v>
      </c>
      <c r="B4" s="16" t="s">
        <v>479</v>
      </c>
      <c r="C4" s="16" t="s">
        <v>480</v>
      </c>
      <c r="D4" s="16" t="s">
        <v>481</v>
      </c>
      <c r="E4" s="16" t="s">
        <v>482</v>
      </c>
      <c r="F4" s="16" t="s">
        <v>483</v>
      </c>
      <c r="G4" s="16" t="s">
        <v>484</v>
      </c>
      <c r="H4" s="16" t="s">
        <v>485</v>
      </c>
      <c r="I4" s="16" t="s">
        <v>486</v>
      </c>
      <c r="J4" s="16" t="s">
        <v>487</v>
      </c>
      <c r="K4" s="16" t="s">
        <v>488</v>
      </c>
      <c r="L4" s="16" t="s">
        <v>489</v>
      </c>
      <c r="M4" s="16" t="s">
        <v>490</v>
      </c>
      <c r="N4" s="16" t="s">
        <v>491</v>
      </c>
      <c r="O4" s="16" t="s">
        <v>492</v>
      </c>
      <c r="P4" s="16" t="s">
        <v>493</v>
      </c>
      <c r="Q4" s="16" t="s">
        <v>494</v>
      </c>
      <c r="R4" s="16" t="s">
        <v>495</v>
      </c>
      <c r="S4" s="16" t="s">
        <v>496</v>
      </c>
      <c r="T4" s="16" t="s">
        <v>497</v>
      </c>
      <c r="U4" s="16" t="s">
        <v>498</v>
      </c>
      <c r="V4" s="16" t="s">
        <v>499</v>
      </c>
    </row>
    <row r="5" spans="1:22" ht="15" customHeight="1" x14ac:dyDescent="0.2">
      <c r="A5" s="52" t="s">
        <v>500</v>
      </c>
      <c r="B5" s="53" t="s">
        <v>501</v>
      </c>
      <c r="C5" s="53" t="s">
        <v>502</v>
      </c>
      <c r="D5" s="53" t="s">
        <v>503</v>
      </c>
      <c r="E5" s="52">
        <v>7</v>
      </c>
      <c r="F5" s="54">
        <v>183</v>
      </c>
      <c r="G5" s="54">
        <v>183</v>
      </c>
      <c r="H5" s="54">
        <v>183</v>
      </c>
      <c r="I5" s="55">
        <v>1645</v>
      </c>
      <c r="J5" s="55">
        <v>3752.5</v>
      </c>
      <c r="K5" s="55">
        <v>11671.12</v>
      </c>
      <c r="L5" s="55">
        <v>3250</v>
      </c>
      <c r="M5" s="55">
        <v>12500</v>
      </c>
      <c r="N5" s="55">
        <v>33300</v>
      </c>
      <c r="O5" s="56">
        <v>-0.75019999999999998</v>
      </c>
      <c r="P5" s="56">
        <v>-0.69979999999999998</v>
      </c>
      <c r="Q5" s="56">
        <v>-0.34460000000000002</v>
      </c>
      <c r="R5" s="56">
        <v>-0.69979999999999998</v>
      </c>
      <c r="S5" s="54">
        <v>1.1295999999999999</v>
      </c>
      <c r="T5" s="55">
        <v>23.163599999999999</v>
      </c>
      <c r="U5" s="55">
        <v>46076.3</v>
      </c>
      <c r="V5" s="57">
        <v>183</v>
      </c>
    </row>
    <row r="6" spans="1:22" ht="15" customHeight="1" x14ac:dyDescent="0.2">
      <c r="A6" s="52" t="s">
        <v>504</v>
      </c>
      <c r="B6" s="53" t="s">
        <v>501</v>
      </c>
      <c r="C6" s="53" t="s">
        <v>505</v>
      </c>
      <c r="D6" s="53" t="s">
        <v>506</v>
      </c>
      <c r="E6" s="52">
        <v>50</v>
      </c>
      <c r="F6" s="54">
        <v>44.75</v>
      </c>
      <c r="G6" s="54">
        <v>71</v>
      </c>
      <c r="H6" s="54">
        <v>133.5</v>
      </c>
      <c r="I6" s="55">
        <v>2385.625</v>
      </c>
      <c r="J6" s="55">
        <v>4181.1499999999996</v>
      </c>
      <c r="K6" s="55">
        <v>7465</v>
      </c>
      <c r="L6" s="55">
        <v>6982.5</v>
      </c>
      <c r="M6" s="55">
        <v>10270</v>
      </c>
      <c r="N6" s="55">
        <v>13517.5</v>
      </c>
      <c r="O6" s="56">
        <v>-0.73080000000000001</v>
      </c>
      <c r="P6" s="56">
        <v>-0.53039999999999998</v>
      </c>
      <c r="Q6" s="56">
        <v>-0.31840000000000002</v>
      </c>
      <c r="R6" s="56">
        <v>-0.53839999999999999</v>
      </c>
      <c r="S6" s="54">
        <v>0.71179999999999999</v>
      </c>
      <c r="T6" s="55">
        <v>37.256999999999998</v>
      </c>
      <c r="U6" s="55">
        <v>314457.3</v>
      </c>
      <c r="V6" s="57">
        <v>4441</v>
      </c>
    </row>
    <row r="7" spans="1:22" ht="15" customHeight="1" x14ac:dyDescent="0.2">
      <c r="A7" s="52" t="s">
        <v>507</v>
      </c>
      <c r="B7" s="53" t="s">
        <v>501</v>
      </c>
      <c r="C7" s="53" t="s">
        <v>508</v>
      </c>
      <c r="D7" s="53" t="s">
        <v>509</v>
      </c>
      <c r="E7" s="52">
        <v>50</v>
      </c>
      <c r="F7" s="54">
        <v>142.75</v>
      </c>
      <c r="G7" s="54">
        <v>226.75</v>
      </c>
      <c r="H7" s="54">
        <v>306.5</v>
      </c>
      <c r="I7" s="55">
        <v>6143.25</v>
      </c>
      <c r="J7" s="55">
        <v>10791</v>
      </c>
      <c r="K7" s="55">
        <v>16969.5</v>
      </c>
      <c r="L7" s="55">
        <v>9695</v>
      </c>
      <c r="M7" s="55">
        <v>13450</v>
      </c>
      <c r="N7" s="55">
        <v>20216.25</v>
      </c>
      <c r="O7" s="56">
        <v>-0.4718</v>
      </c>
      <c r="P7" s="56">
        <v>-0.30549999999999999</v>
      </c>
      <c r="Q7" s="56">
        <v>-1.6000000000000001E-3</v>
      </c>
      <c r="R7" s="56">
        <v>-0.31580000000000003</v>
      </c>
      <c r="S7" s="54">
        <v>1.9565999999999999</v>
      </c>
      <c r="T7" s="55">
        <v>93.822699999999998</v>
      </c>
      <c r="U7" s="55">
        <v>835251.3</v>
      </c>
      <c r="V7" s="57">
        <v>12995.25</v>
      </c>
    </row>
    <row r="8" spans="1:22" ht="15" customHeight="1" x14ac:dyDescent="0.2">
      <c r="A8" s="52" t="s">
        <v>510</v>
      </c>
      <c r="B8" s="53" t="s">
        <v>501</v>
      </c>
      <c r="C8" s="53" t="s">
        <v>502</v>
      </c>
      <c r="D8" s="53" t="s">
        <v>511</v>
      </c>
      <c r="E8" s="52">
        <v>48</v>
      </c>
      <c r="F8" s="54">
        <v>149.5</v>
      </c>
      <c r="G8" s="54">
        <v>263.25</v>
      </c>
      <c r="H8" s="54">
        <v>507.625</v>
      </c>
      <c r="I8" s="55">
        <v>5174.8275000000003</v>
      </c>
      <c r="J8" s="55">
        <v>7744.25</v>
      </c>
      <c r="K8" s="55">
        <v>15372.625</v>
      </c>
      <c r="L8" s="55">
        <v>6740</v>
      </c>
      <c r="M8" s="55">
        <v>12657.5</v>
      </c>
      <c r="N8" s="55">
        <v>18545</v>
      </c>
      <c r="O8" s="56">
        <v>-0.5161</v>
      </c>
      <c r="P8" s="56">
        <v>-0.2122</v>
      </c>
      <c r="Q8" s="56">
        <v>6.7199999999999996E-2</v>
      </c>
      <c r="R8" s="56">
        <v>-0.33479999999999999</v>
      </c>
      <c r="S8" s="54">
        <v>2.7033</v>
      </c>
      <c r="T8" s="55">
        <v>70.796000000000006</v>
      </c>
      <c r="U8" s="55">
        <v>876271.93</v>
      </c>
      <c r="V8" s="57">
        <v>21480</v>
      </c>
    </row>
    <row r="9" spans="1:22" ht="15" customHeight="1" x14ac:dyDescent="0.2">
      <c r="A9" s="52" t="s">
        <v>512</v>
      </c>
      <c r="B9" s="53" t="s">
        <v>501</v>
      </c>
      <c r="C9" s="53" t="s">
        <v>502</v>
      </c>
      <c r="D9" s="53" t="s">
        <v>513</v>
      </c>
      <c r="E9" s="52">
        <v>44</v>
      </c>
      <c r="F9" s="54">
        <v>714</v>
      </c>
      <c r="G9" s="54">
        <v>1617</v>
      </c>
      <c r="H9" s="54">
        <v>2618</v>
      </c>
      <c r="I9" s="55">
        <v>21274.25</v>
      </c>
      <c r="J9" s="55">
        <v>39498.945</v>
      </c>
      <c r="K9" s="55">
        <v>64719</v>
      </c>
      <c r="L9" s="55">
        <v>30900</v>
      </c>
      <c r="M9" s="55">
        <v>51800</v>
      </c>
      <c r="N9" s="55">
        <v>93610</v>
      </c>
      <c r="O9" s="56">
        <v>-0.33439999999999998</v>
      </c>
      <c r="P9" s="56">
        <v>-0.14119999999999999</v>
      </c>
      <c r="Q9" s="56">
        <v>0.1356</v>
      </c>
      <c r="R9" s="56">
        <v>-0.1537</v>
      </c>
      <c r="S9" s="54">
        <v>10.9206</v>
      </c>
      <c r="T9" s="55">
        <v>274.6223</v>
      </c>
      <c r="U9" s="55">
        <v>2512229.34</v>
      </c>
      <c r="V9" s="57">
        <v>65852.25</v>
      </c>
    </row>
    <row r="10" spans="1:22" ht="15" customHeight="1" x14ac:dyDescent="0.2">
      <c r="A10" s="52" t="s">
        <v>514</v>
      </c>
      <c r="B10" s="53" t="s">
        <v>501</v>
      </c>
      <c r="C10" s="53" t="s">
        <v>502</v>
      </c>
      <c r="D10" s="53" t="s">
        <v>515</v>
      </c>
      <c r="E10" s="52">
        <v>44</v>
      </c>
      <c r="F10" s="54">
        <v>132.5</v>
      </c>
      <c r="G10" s="54">
        <v>283.75</v>
      </c>
      <c r="H10" s="54">
        <v>434.5</v>
      </c>
      <c r="I10" s="55">
        <v>4637</v>
      </c>
      <c r="J10" s="55">
        <v>9508.75</v>
      </c>
      <c r="K10" s="55">
        <v>13848.75</v>
      </c>
      <c r="L10" s="55">
        <v>5500</v>
      </c>
      <c r="M10" s="55">
        <v>9355</v>
      </c>
      <c r="N10" s="55">
        <v>15768.75</v>
      </c>
      <c r="O10" s="56">
        <v>-0.42330000000000001</v>
      </c>
      <c r="P10" s="56">
        <v>-0.2039</v>
      </c>
      <c r="Q10" s="56">
        <v>5.8400000000000001E-2</v>
      </c>
      <c r="R10" s="56">
        <v>-0.21129999999999999</v>
      </c>
      <c r="S10" s="54">
        <v>2.4468000000000001</v>
      </c>
      <c r="T10" s="55">
        <v>65.611000000000004</v>
      </c>
      <c r="U10" s="55">
        <v>677432.27</v>
      </c>
      <c r="V10" s="57">
        <v>14523.25</v>
      </c>
    </row>
    <row r="11" spans="1:22" ht="15" customHeight="1" x14ac:dyDescent="0.2">
      <c r="A11" s="52" t="s">
        <v>516</v>
      </c>
      <c r="B11" s="53" t="s">
        <v>501</v>
      </c>
      <c r="C11" s="53" t="s">
        <v>502</v>
      </c>
      <c r="D11" s="53" t="s">
        <v>517</v>
      </c>
      <c r="E11" s="52">
        <v>8</v>
      </c>
      <c r="F11" s="54">
        <v>50</v>
      </c>
      <c r="G11" s="54">
        <v>50</v>
      </c>
      <c r="H11" s="54">
        <v>50</v>
      </c>
      <c r="I11" s="55">
        <v>960</v>
      </c>
      <c r="J11" s="55">
        <v>2063.5</v>
      </c>
      <c r="K11" s="55">
        <v>2745.75</v>
      </c>
      <c r="L11" s="55">
        <v>2012</v>
      </c>
      <c r="M11" s="55">
        <v>2843</v>
      </c>
      <c r="N11" s="55">
        <v>6625</v>
      </c>
      <c r="O11" s="56">
        <v>-0.64549999999999996</v>
      </c>
      <c r="P11" s="56">
        <v>-0.2782</v>
      </c>
      <c r="Q11" s="56">
        <v>0</v>
      </c>
      <c r="R11" s="56">
        <v>-0.45190000000000002</v>
      </c>
      <c r="S11" s="54">
        <v>0.30859999999999999</v>
      </c>
      <c r="T11" s="55">
        <v>10.3085</v>
      </c>
      <c r="U11" s="55">
        <v>15070.66</v>
      </c>
      <c r="V11" s="57">
        <v>50</v>
      </c>
    </row>
    <row r="12" spans="1:22" ht="15" customHeight="1" x14ac:dyDescent="0.2">
      <c r="A12" s="52" t="s">
        <v>518</v>
      </c>
      <c r="B12" s="53" t="s">
        <v>501</v>
      </c>
      <c r="C12" s="53" t="s">
        <v>519</v>
      </c>
      <c r="D12" s="53" t="s">
        <v>520</v>
      </c>
      <c r="E12" s="52">
        <v>50</v>
      </c>
      <c r="F12" s="54">
        <v>4828.25</v>
      </c>
      <c r="G12" s="54">
        <v>7100</v>
      </c>
      <c r="H12" s="54">
        <v>10942.5</v>
      </c>
      <c r="I12" s="55">
        <v>116095.47</v>
      </c>
      <c r="J12" s="55">
        <v>191341.79500000001</v>
      </c>
      <c r="K12" s="55">
        <v>291795.5625</v>
      </c>
      <c r="L12" s="55">
        <v>97668.25</v>
      </c>
      <c r="M12" s="55">
        <v>184702.5</v>
      </c>
      <c r="N12" s="55">
        <v>261938.75</v>
      </c>
      <c r="O12" s="56">
        <v>-0.1057</v>
      </c>
      <c r="P12" s="56">
        <v>0.1016</v>
      </c>
      <c r="Q12" s="56">
        <v>0.24329999999999999</v>
      </c>
      <c r="R12" s="56">
        <v>7.7200000000000005E-2</v>
      </c>
      <c r="S12" s="54">
        <v>66.533299999999997</v>
      </c>
      <c r="T12" s="55">
        <v>1642.3086000000001</v>
      </c>
      <c r="U12" s="55">
        <v>13960956.289999999</v>
      </c>
      <c r="V12" s="57">
        <v>371795.75</v>
      </c>
    </row>
    <row r="13" spans="1:22" ht="15" customHeight="1" x14ac:dyDescent="0.2">
      <c r="A13" s="52" t="s">
        <v>521</v>
      </c>
      <c r="B13" s="53" t="s">
        <v>501</v>
      </c>
      <c r="C13" s="53" t="s">
        <v>522</v>
      </c>
      <c r="D13" s="53" t="s">
        <v>523</v>
      </c>
      <c r="E13" s="52">
        <v>50</v>
      </c>
      <c r="F13" s="54">
        <v>719.75</v>
      </c>
      <c r="G13" s="54">
        <v>1130</v>
      </c>
      <c r="H13" s="54">
        <v>2169</v>
      </c>
      <c r="I13" s="55">
        <v>20351.0625</v>
      </c>
      <c r="J13" s="55">
        <v>32915.25</v>
      </c>
      <c r="K13" s="55">
        <v>51210.14</v>
      </c>
      <c r="L13" s="55">
        <v>23186.25</v>
      </c>
      <c r="M13" s="55">
        <v>31760</v>
      </c>
      <c r="N13" s="55">
        <v>48870</v>
      </c>
      <c r="O13" s="56">
        <v>-0.1739</v>
      </c>
      <c r="P13" s="56">
        <v>-2.2800000000000001E-2</v>
      </c>
      <c r="Q13" s="56">
        <v>0.1181</v>
      </c>
      <c r="R13" s="56">
        <v>-3.4500000000000003E-2</v>
      </c>
      <c r="S13" s="54">
        <v>11.474600000000001</v>
      </c>
      <c r="T13" s="55">
        <v>289.81299999999999</v>
      </c>
      <c r="U13" s="55">
        <v>2395734.0499999998</v>
      </c>
      <c r="V13" s="57">
        <v>66278.75</v>
      </c>
    </row>
    <row r="14" spans="1:22" ht="15" customHeight="1" x14ac:dyDescent="0.2">
      <c r="A14" s="52" t="s">
        <v>524</v>
      </c>
      <c r="B14" s="53" t="s">
        <v>501</v>
      </c>
      <c r="C14" s="53" t="s">
        <v>525</v>
      </c>
      <c r="D14" s="53" t="s">
        <v>526</v>
      </c>
      <c r="E14" s="52">
        <v>42</v>
      </c>
      <c r="F14" s="54">
        <v>134</v>
      </c>
      <c r="G14" s="54">
        <v>210.25</v>
      </c>
      <c r="H14" s="54">
        <v>357.875</v>
      </c>
      <c r="I14" s="55">
        <v>5014.25</v>
      </c>
      <c r="J14" s="55">
        <v>7732.5</v>
      </c>
      <c r="K14" s="55">
        <v>10916.125</v>
      </c>
      <c r="L14" s="55">
        <v>5875</v>
      </c>
      <c r="M14" s="55">
        <v>7625</v>
      </c>
      <c r="N14" s="55">
        <v>9750</v>
      </c>
      <c r="O14" s="56">
        <v>-0.34410000000000002</v>
      </c>
      <c r="P14" s="56">
        <v>-0.1202</v>
      </c>
      <c r="Q14" s="56">
        <v>0.23930000000000001</v>
      </c>
      <c r="R14" s="56">
        <v>-0.1845</v>
      </c>
      <c r="S14" s="54">
        <v>1.8583000000000001</v>
      </c>
      <c r="T14" s="55">
        <v>61.660899999999998</v>
      </c>
      <c r="U14" s="55">
        <v>439878.88</v>
      </c>
      <c r="V14" s="57">
        <v>9771.75</v>
      </c>
    </row>
    <row r="15" spans="1:22" ht="15" customHeight="1" x14ac:dyDescent="0.2">
      <c r="A15" s="52" t="s">
        <v>527</v>
      </c>
      <c r="B15" s="53" t="s">
        <v>501</v>
      </c>
      <c r="C15" s="53" t="s">
        <v>528</v>
      </c>
      <c r="D15" s="53" t="s">
        <v>529</v>
      </c>
      <c r="E15" s="52">
        <v>47</v>
      </c>
      <c r="F15" s="54">
        <v>804.25</v>
      </c>
      <c r="G15" s="54">
        <v>1394.625</v>
      </c>
      <c r="H15" s="54">
        <v>2313</v>
      </c>
      <c r="I15" s="55">
        <v>19505.5</v>
      </c>
      <c r="J15" s="55">
        <v>36651.379999999997</v>
      </c>
      <c r="K15" s="55">
        <v>54625.61</v>
      </c>
      <c r="L15" s="55">
        <v>26867.5</v>
      </c>
      <c r="M15" s="55">
        <v>36300</v>
      </c>
      <c r="N15" s="55">
        <v>52285</v>
      </c>
      <c r="O15" s="56">
        <v>-0.43709999999999999</v>
      </c>
      <c r="P15" s="56">
        <v>-0.1636</v>
      </c>
      <c r="Q15" s="56">
        <v>0.24640000000000001</v>
      </c>
      <c r="R15" s="56">
        <v>-0.2127</v>
      </c>
      <c r="S15" s="54">
        <v>11.5426</v>
      </c>
      <c r="T15" s="55">
        <v>273.75450000000001</v>
      </c>
      <c r="U15" s="55">
        <v>2432183.4300000002</v>
      </c>
      <c r="V15" s="57">
        <v>73200.75</v>
      </c>
    </row>
    <row r="16" spans="1:22" ht="15" customHeight="1" x14ac:dyDescent="0.2">
      <c r="A16" s="52" t="s">
        <v>530</v>
      </c>
      <c r="B16" s="53" t="s">
        <v>501</v>
      </c>
      <c r="C16" s="53" t="s">
        <v>531</v>
      </c>
      <c r="D16" s="53" t="s">
        <v>532</v>
      </c>
      <c r="E16" s="52">
        <v>46</v>
      </c>
      <c r="F16" s="54">
        <v>268</v>
      </c>
      <c r="G16" s="54">
        <v>363.125</v>
      </c>
      <c r="H16" s="54">
        <v>502.625</v>
      </c>
      <c r="I16" s="55">
        <v>7519.375</v>
      </c>
      <c r="J16" s="55">
        <v>11881.6</v>
      </c>
      <c r="K16" s="55">
        <v>15819.875</v>
      </c>
      <c r="L16" s="55">
        <v>7000</v>
      </c>
      <c r="M16" s="55">
        <v>12030</v>
      </c>
      <c r="N16" s="55">
        <v>17125</v>
      </c>
      <c r="O16" s="56">
        <v>-0.28720000000000001</v>
      </c>
      <c r="P16" s="56">
        <v>-1.4999999999999999E-2</v>
      </c>
      <c r="Q16" s="56">
        <v>0.53200000000000003</v>
      </c>
      <c r="R16" s="56">
        <v>-4.9700000000000001E-2</v>
      </c>
      <c r="S16" s="54">
        <v>3.2141000000000002</v>
      </c>
      <c r="T16" s="55">
        <v>96.973299999999995</v>
      </c>
      <c r="U16" s="55">
        <v>761418.06</v>
      </c>
      <c r="V16" s="57">
        <v>15796.75</v>
      </c>
    </row>
    <row r="17" spans="1:22" ht="15" customHeight="1" x14ac:dyDescent="0.2">
      <c r="A17" s="52" t="s">
        <v>533</v>
      </c>
      <c r="B17" s="53" t="s">
        <v>501</v>
      </c>
      <c r="C17" s="53" t="s">
        <v>534</v>
      </c>
      <c r="D17" s="53" t="s">
        <v>535</v>
      </c>
      <c r="E17" s="52">
        <v>14</v>
      </c>
      <c r="F17" s="54">
        <v>14.75</v>
      </c>
      <c r="G17" s="54">
        <v>30.5</v>
      </c>
      <c r="H17" s="54">
        <v>580.375</v>
      </c>
      <c r="I17" s="55">
        <v>383</v>
      </c>
      <c r="J17" s="55">
        <v>813.75</v>
      </c>
      <c r="K17" s="55">
        <v>15117.125</v>
      </c>
      <c r="L17" s="55"/>
      <c r="M17" s="55"/>
      <c r="N17" s="55"/>
      <c r="O17" s="56"/>
      <c r="P17" s="56"/>
      <c r="Q17" s="56"/>
      <c r="R17" s="56">
        <v>9.4268000000000001</v>
      </c>
      <c r="S17" s="54">
        <v>0.15570000000000001</v>
      </c>
      <c r="T17" s="55">
        <v>3.5531999999999999</v>
      </c>
      <c r="U17" s="55">
        <v>94335.5</v>
      </c>
      <c r="V17" s="57">
        <v>3738.5</v>
      </c>
    </row>
    <row r="18" spans="1:22" ht="15" customHeight="1" x14ac:dyDescent="0.2">
      <c r="A18" s="52" t="s">
        <v>536</v>
      </c>
      <c r="B18" s="53" t="s">
        <v>501</v>
      </c>
      <c r="C18" s="53" t="s">
        <v>522</v>
      </c>
      <c r="D18" s="53" t="s">
        <v>537</v>
      </c>
      <c r="E18" s="52">
        <v>7</v>
      </c>
      <c r="F18" s="54">
        <v>338</v>
      </c>
      <c r="G18" s="54">
        <v>338</v>
      </c>
      <c r="H18" s="54">
        <v>338</v>
      </c>
      <c r="I18" s="55">
        <v>101.5</v>
      </c>
      <c r="J18" s="55">
        <v>373</v>
      </c>
      <c r="K18" s="55">
        <v>6781</v>
      </c>
      <c r="L18" s="55">
        <v>19800</v>
      </c>
      <c r="M18" s="55">
        <v>19800</v>
      </c>
      <c r="N18" s="55">
        <v>19800</v>
      </c>
      <c r="O18" s="56">
        <v>-0.65749999999999997</v>
      </c>
      <c r="P18" s="56">
        <v>-0.65749999999999997</v>
      </c>
      <c r="Q18" s="56">
        <v>-0.65749999999999997</v>
      </c>
      <c r="R18" s="56">
        <v>-0.65749999999999997</v>
      </c>
      <c r="S18" s="54">
        <v>2.0863999999999998</v>
      </c>
      <c r="T18" s="55">
        <v>2.5034000000000001</v>
      </c>
      <c r="U18" s="55">
        <v>17239.5</v>
      </c>
      <c r="V18" s="57">
        <v>338</v>
      </c>
    </row>
    <row r="19" spans="1:22" ht="15" customHeight="1" x14ac:dyDescent="0.2">
      <c r="A19" s="52" t="s">
        <v>538</v>
      </c>
      <c r="B19" s="53" t="s">
        <v>501</v>
      </c>
      <c r="C19" s="53" t="s">
        <v>539</v>
      </c>
      <c r="D19" s="53" t="s">
        <v>540</v>
      </c>
      <c r="E19" s="52">
        <v>13</v>
      </c>
      <c r="F19" s="54">
        <v>1.75</v>
      </c>
      <c r="G19" s="54">
        <v>3</v>
      </c>
      <c r="H19" s="54">
        <v>8.5</v>
      </c>
      <c r="I19" s="55">
        <v>76.75</v>
      </c>
      <c r="J19" s="55">
        <v>137.5</v>
      </c>
      <c r="K19" s="55">
        <v>331.5</v>
      </c>
      <c r="L19" s="55"/>
      <c r="M19" s="55"/>
      <c r="N19" s="55"/>
      <c r="O19" s="56"/>
      <c r="P19" s="56"/>
      <c r="Q19" s="56"/>
      <c r="R19" s="56">
        <v>0.15620000000000001</v>
      </c>
      <c r="S19" s="54">
        <v>2.6700000000000002E-2</v>
      </c>
      <c r="T19" s="55">
        <v>1.0667</v>
      </c>
      <c r="U19" s="55">
        <v>30043.63</v>
      </c>
      <c r="V19" s="57">
        <v>66.5</v>
      </c>
    </row>
    <row r="20" spans="1:22" ht="15" customHeight="1" x14ac:dyDescent="0.2">
      <c r="A20" s="52" t="s">
        <v>541</v>
      </c>
      <c r="B20" s="53" t="s">
        <v>501</v>
      </c>
      <c r="C20" s="53" t="s">
        <v>542</v>
      </c>
      <c r="D20" s="53" t="s">
        <v>543</v>
      </c>
      <c r="E20" s="52">
        <v>1</v>
      </c>
      <c r="F20" s="54">
        <v>3</v>
      </c>
      <c r="G20" s="54">
        <v>3</v>
      </c>
      <c r="H20" s="54">
        <v>3</v>
      </c>
      <c r="I20" s="55">
        <v>187.5</v>
      </c>
      <c r="J20" s="55">
        <v>187.5</v>
      </c>
      <c r="K20" s="55">
        <v>187.5</v>
      </c>
      <c r="L20" s="55"/>
      <c r="M20" s="55"/>
      <c r="N20" s="55"/>
      <c r="O20" s="56"/>
      <c r="P20" s="56"/>
      <c r="Q20" s="56"/>
      <c r="R20" s="56"/>
      <c r="S20" s="54">
        <v>0.06</v>
      </c>
      <c r="T20" s="55">
        <v>3.75</v>
      </c>
      <c r="U20" s="55">
        <v>1458.75</v>
      </c>
      <c r="V20" s="57">
        <v>30.75</v>
      </c>
    </row>
    <row r="21" spans="1:22" ht="15" customHeight="1" x14ac:dyDescent="0.2">
      <c r="A21" s="58" t="s">
        <v>544</v>
      </c>
      <c r="B21" s="59" t="s">
        <v>545</v>
      </c>
      <c r="C21" s="59" t="s">
        <v>502</v>
      </c>
      <c r="D21" s="59" t="s">
        <v>546</v>
      </c>
      <c r="E21" s="58">
        <v>7</v>
      </c>
      <c r="F21" s="60"/>
      <c r="G21" s="60"/>
      <c r="H21" s="60"/>
      <c r="I21" s="61">
        <v>1134.76</v>
      </c>
      <c r="J21" s="61">
        <v>2380.94</v>
      </c>
      <c r="K21" s="61">
        <v>10684.8</v>
      </c>
      <c r="L21" s="61">
        <v>3856.25</v>
      </c>
      <c r="M21" s="61">
        <v>14700</v>
      </c>
      <c r="N21" s="61">
        <v>40867.5</v>
      </c>
      <c r="O21" s="62">
        <v>-0.79400000000000004</v>
      </c>
      <c r="P21" s="62">
        <v>-0.71079999999999999</v>
      </c>
      <c r="Q21" s="62">
        <v>-0.65820000000000001</v>
      </c>
      <c r="R21" s="62">
        <v>-0.71079999999999999</v>
      </c>
      <c r="S21" s="60"/>
      <c r="T21" s="61">
        <v>20.007899999999999</v>
      </c>
      <c r="U21" s="61">
        <v>47045.49</v>
      </c>
      <c r="V21" s="63"/>
    </row>
    <row r="22" spans="1:22" ht="15" customHeight="1" x14ac:dyDescent="0.2">
      <c r="A22" s="58" t="s">
        <v>547</v>
      </c>
      <c r="B22" s="59" t="s">
        <v>545</v>
      </c>
      <c r="C22" s="59" t="s">
        <v>502</v>
      </c>
      <c r="D22" s="59" t="s">
        <v>548</v>
      </c>
      <c r="E22" s="58">
        <v>48</v>
      </c>
      <c r="F22" s="60"/>
      <c r="G22" s="60"/>
      <c r="H22" s="60"/>
      <c r="I22" s="61">
        <v>3690.3449999999998</v>
      </c>
      <c r="J22" s="61">
        <v>8302.9750000000004</v>
      </c>
      <c r="K22" s="61">
        <v>14401.4575</v>
      </c>
      <c r="L22" s="61">
        <v>7080</v>
      </c>
      <c r="M22" s="61">
        <v>12850</v>
      </c>
      <c r="N22" s="61">
        <v>22331.25</v>
      </c>
      <c r="O22" s="62">
        <v>-0.58940000000000003</v>
      </c>
      <c r="P22" s="62">
        <v>-0.33040000000000003</v>
      </c>
      <c r="Q22" s="62">
        <v>-8.4099999999999994E-2</v>
      </c>
      <c r="R22" s="62">
        <v>-0.4173</v>
      </c>
      <c r="S22" s="60"/>
      <c r="T22" s="61">
        <v>68.085899999999995</v>
      </c>
      <c r="U22" s="61">
        <v>727477.06</v>
      </c>
      <c r="V22" s="63">
        <v>462</v>
      </c>
    </row>
    <row r="23" spans="1:22" ht="15" customHeight="1" x14ac:dyDescent="0.2">
      <c r="A23" s="58" t="s">
        <v>549</v>
      </c>
      <c r="B23" s="59" t="s">
        <v>545</v>
      </c>
      <c r="C23" s="59" t="s">
        <v>502</v>
      </c>
      <c r="D23" s="59" t="s">
        <v>550</v>
      </c>
      <c r="E23" s="58">
        <v>48</v>
      </c>
      <c r="F23" s="60"/>
      <c r="G23" s="60"/>
      <c r="H23" s="60"/>
      <c r="I23" s="61">
        <v>6708.2950000000001</v>
      </c>
      <c r="J23" s="61">
        <v>18509.48</v>
      </c>
      <c r="K23" s="61">
        <v>33694.247499999998</v>
      </c>
      <c r="L23" s="61">
        <v>27110</v>
      </c>
      <c r="M23" s="61">
        <v>42025</v>
      </c>
      <c r="N23" s="61">
        <v>77592.5</v>
      </c>
      <c r="O23" s="62">
        <v>-0.66349999999999998</v>
      </c>
      <c r="P23" s="62">
        <v>-0.47120000000000001</v>
      </c>
      <c r="Q23" s="62">
        <v>-0.21479999999999999</v>
      </c>
      <c r="R23" s="62">
        <v>-0.48780000000000001</v>
      </c>
      <c r="S23" s="60"/>
      <c r="T23" s="61">
        <v>145.23869999999999</v>
      </c>
      <c r="U23" s="61">
        <v>1400242.86</v>
      </c>
      <c r="V23" s="63"/>
    </row>
    <row r="24" spans="1:22" ht="15" customHeight="1" x14ac:dyDescent="0.2">
      <c r="A24" s="58" t="s">
        <v>551</v>
      </c>
      <c r="B24" s="59" t="s">
        <v>545</v>
      </c>
      <c r="C24" s="59" t="s">
        <v>502</v>
      </c>
      <c r="D24" s="59" t="s">
        <v>552</v>
      </c>
      <c r="E24" s="58">
        <v>46</v>
      </c>
      <c r="F24" s="60"/>
      <c r="G24" s="60"/>
      <c r="H24" s="60"/>
      <c r="I24" s="61">
        <v>5038.4449999999997</v>
      </c>
      <c r="J24" s="61">
        <v>8039.0749999999998</v>
      </c>
      <c r="K24" s="61">
        <v>11751.2425</v>
      </c>
      <c r="L24" s="61">
        <v>6350</v>
      </c>
      <c r="M24" s="61">
        <v>9310</v>
      </c>
      <c r="N24" s="61">
        <v>18754</v>
      </c>
      <c r="O24" s="62">
        <v>-0.41039999999999999</v>
      </c>
      <c r="P24" s="62">
        <v>-0.28320000000000001</v>
      </c>
      <c r="Q24" s="62">
        <v>-7.6999999999999999E-2</v>
      </c>
      <c r="R24" s="62">
        <v>-0.29670000000000002</v>
      </c>
      <c r="S24" s="60"/>
      <c r="T24" s="61">
        <v>66.996600000000001</v>
      </c>
      <c r="U24" s="61">
        <v>603632.54</v>
      </c>
      <c r="V24" s="63"/>
    </row>
    <row r="25" spans="1:22" ht="15" customHeight="1" x14ac:dyDescent="0.2">
      <c r="A25" s="58" t="s">
        <v>553</v>
      </c>
      <c r="B25" s="59" t="s">
        <v>545</v>
      </c>
      <c r="C25" s="59" t="s">
        <v>502</v>
      </c>
      <c r="D25" s="59" t="s">
        <v>554</v>
      </c>
      <c r="E25" s="58">
        <v>9</v>
      </c>
      <c r="F25" s="60"/>
      <c r="G25" s="60"/>
      <c r="H25" s="60"/>
      <c r="I25" s="61">
        <v>1052.3</v>
      </c>
      <c r="J25" s="61">
        <v>2839.07</v>
      </c>
      <c r="K25" s="61">
        <v>4518.55</v>
      </c>
      <c r="L25" s="61">
        <v>2343.75</v>
      </c>
      <c r="M25" s="61">
        <v>10275</v>
      </c>
      <c r="N25" s="61">
        <v>11716.25</v>
      </c>
      <c r="O25" s="62">
        <v>-0.66539999999999999</v>
      </c>
      <c r="P25" s="62">
        <v>-0.4153</v>
      </c>
      <c r="Q25" s="62">
        <v>-8.4500000000000006E-2</v>
      </c>
      <c r="R25" s="62">
        <v>-0.38919999999999999</v>
      </c>
      <c r="S25" s="60"/>
      <c r="T25" s="61">
        <v>15.231400000000001</v>
      </c>
      <c r="U25" s="61">
        <v>32708.52</v>
      </c>
      <c r="V25" s="63"/>
    </row>
    <row r="26" spans="1:22" ht="15" customHeight="1" x14ac:dyDescent="0.2">
      <c r="A26" s="58" t="s">
        <v>555</v>
      </c>
      <c r="B26" s="59" t="s">
        <v>545</v>
      </c>
      <c r="C26" s="59" t="s">
        <v>519</v>
      </c>
      <c r="D26" s="59" t="s">
        <v>556</v>
      </c>
      <c r="E26" s="58">
        <v>50</v>
      </c>
      <c r="F26" s="60"/>
      <c r="G26" s="60"/>
      <c r="H26" s="60"/>
      <c r="I26" s="61">
        <v>42587.082499999997</v>
      </c>
      <c r="J26" s="61">
        <v>76245.675000000003</v>
      </c>
      <c r="K26" s="61">
        <v>101937.44749999999</v>
      </c>
      <c r="L26" s="61">
        <v>58165</v>
      </c>
      <c r="M26" s="61">
        <v>117385</v>
      </c>
      <c r="N26" s="61">
        <v>197602.5</v>
      </c>
      <c r="O26" s="62">
        <v>-0.41760000000000003</v>
      </c>
      <c r="P26" s="62">
        <v>-0.28299999999999997</v>
      </c>
      <c r="Q26" s="62">
        <v>-0.1754</v>
      </c>
      <c r="R26" s="62">
        <v>-0.29509999999999997</v>
      </c>
      <c r="S26" s="60"/>
      <c r="T26" s="61">
        <v>656.64160000000004</v>
      </c>
      <c r="U26" s="61">
        <v>5425782.5800000001</v>
      </c>
      <c r="V26" s="63"/>
    </row>
    <row r="27" spans="1:22" ht="15" customHeight="1" x14ac:dyDescent="0.2">
      <c r="A27" s="58" t="s">
        <v>557</v>
      </c>
      <c r="B27" s="59" t="s">
        <v>545</v>
      </c>
      <c r="C27" s="59" t="s">
        <v>522</v>
      </c>
      <c r="D27" s="59" t="s">
        <v>558</v>
      </c>
      <c r="E27" s="58">
        <v>50</v>
      </c>
      <c r="F27" s="60"/>
      <c r="G27" s="60"/>
      <c r="H27" s="60"/>
      <c r="I27" s="61">
        <v>111141.985</v>
      </c>
      <c r="J27" s="61">
        <v>201713.67</v>
      </c>
      <c r="K27" s="61">
        <v>287336.78499999997</v>
      </c>
      <c r="L27" s="61">
        <v>141795</v>
      </c>
      <c r="M27" s="61">
        <v>246220.5</v>
      </c>
      <c r="N27" s="61">
        <v>343859.25</v>
      </c>
      <c r="O27" s="62">
        <v>-0.2974</v>
      </c>
      <c r="P27" s="62">
        <v>-0.14030000000000001</v>
      </c>
      <c r="Q27" s="62">
        <v>-1.7000000000000001E-2</v>
      </c>
      <c r="R27" s="62">
        <v>-0.1958</v>
      </c>
      <c r="S27" s="60"/>
      <c r="T27" s="61">
        <v>1615.7483999999999</v>
      </c>
      <c r="U27" s="61">
        <v>13949815.52</v>
      </c>
      <c r="V27" s="63"/>
    </row>
    <row r="28" spans="1:22" ht="15" customHeight="1" x14ac:dyDescent="0.2">
      <c r="A28" s="58" t="s">
        <v>559</v>
      </c>
      <c r="B28" s="59" t="s">
        <v>545</v>
      </c>
      <c r="C28" s="59" t="s">
        <v>525</v>
      </c>
      <c r="D28" s="59" t="s">
        <v>560</v>
      </c>
      <c r="E28" s="58">
        <v>43</v>
      </c>
      <c r="F28" s="60"/>
      <c r="G28" s="60"/>
      <c r="H28" s="60"/>
      <c r="I28" s="61">
        <v>1504.45</v>
      </c>
      <c r="J28" s="61">
        <v>3604.09</v>
      </c>
      <c r="K28" s="61">
        <v>5822.71</v>
      </c>
      <c r="L28" s="61">
        <v>5500</v>
      </c>
      <c r="M28" s="61">
        <v>7350</v>
      </c>
      <c r="N28" s="61">
        <v>10500</v>
      </c>
      <c r="O28" s="62">
        <v>-0.71540000000000004</v>
      </c>
      <c r="P28" s="62">
        <v>-0.58499999999999996</v>
      </c>
      <c r="Q28" s="62">
        <v>-0.30690000000000001</v>
      </c>
      <c r="R28" s="62">
        <v>-0.62519999999999998</v>
      </c>
      <c r="S28" s="60"/>
      <c r="T28" s="61">
        <v>25.341899999999999</v>
      </c>
      <c r="U28" s="61">
        <v>222178.49</v>
      </c>
      <c r="V28" s="63"/>
    </row>
    <row r="29" spans="1:22" ht="15" customHeight="1" x14ac:dyDescent="0.2">
      <c r="A29" s="58" t="s">
        <v>561</v>
      </c>
      <c r="B29" s="59" t="s">
        <v>545</v>
      </c>
      <c r="C29" s="59" t="s">
        <v>528</v>
      </c>
      <c r="D29" s="59" t="s">
        <v>562</v>
      </c>
      <c r="E29" s="58">
        <v>46</v>
      </c>
      <c r="F29" s="60"/>
      <c r="G29" s="60"/>
      <c r="H29" s="60"/>
      <c r="I29" s="61">
        <v>20991.174999999999</v>
      </c>
      <c r="J29" s="61">
        <v>44409.18</v>
      </c>
      <c r="K29" s="61">
        <v>65798.824999999997</v>
      </c>
      <c r="L29" s="61">
        <v>32873.75</v>
      </c>
      <c r="M29" s="61">
        <v>51300</v>
      </c>
      <c r="N29" s="61">
        <v>71237.5</v>
      </c>
      <c r="O29" s="62">
        <v>-0.36509999999999998</v>
      </c>
      <c r="P29" s="62">
        <v>-0.19969999999999999</v>
      </c>
      <c r="Q29" s="62">
        <v>4.3099999999999999E-2</v>
      </c>
      <c r="R29" s="62">
        <v>-0.22550000000000001</v>
      </c>
      <c r="S29" s="60"/>
      <c r="T29" s="61">
        <v>323.09019999999998</v>
      </c>
      <c r="U29" s="61">
        <v>2634132.11</v>
      </c>
      <c r="V29" s="63"/>
    </row>
    <row r="30" spans="1:22" ht="15" customHeight="1" x14ac:dyDescent="0.2">
      <c r="A30" s="58" t="s">
        <v>563</v>
      </c>
      <c r="B30" s="59" t="s">
        <v>545</v>
      </c>
      <c r="C30" s="59" t="s">
        <v>531</v>
      </c>
      <c r="D30" s="59" t="s">
        <v>564</v>
      </c>
      <c r="E30" s="58">
        <v>47</v>
      </c>
      <c r="F30" s="60"/>
      <c r="G30" s="60"/>
      <c r="H30" s="60"/>
      <c r="I30" s="61">
        <v>7324.66</v>
      </c>
      <c r="J30" s="61">
        <v>19825.43</v>
      </c>
      <c r="K30" s="61">
        <v>29539.9</v>
      </c>
      <c r="L30" s="61">
        <v>12000</v>
      </c>
      <c r="M30" s="61">
        <v>22500</v>
      </c>
      <c r="N30" s="61">
        <v>57907.5</v>
      </c>
      <c r="O30" s="62">
        <v>-0.61050000000000004</v>
      </c>
      <c r="P30" s="62">
        <v>-0.246</v>
      </c>
      <c r="Q30" s="62">
        <v>0.14560000000000001</v>
      </c>
      <c r="R30" s="62">
        <v>-0.25359999999999999</v>
      </c>
      <c r="S30" s="60"/>
      <c r="T30" s="61">
        <v>159.03870000000001</v>
      </c>
      <c r="U30" s="61">
        <v>1441148.62</v>
      </c>
      <c r="V30" s="63"/>
    </row>
    <row r="31" spans="1:22" ht="15" customHeight="1" x14ac:dyDescent="0.2">
      <c r="A31" s="58" t="s">
        <v>565</v>
      </c>
      <c r="B31" s="59" t="s">
        <v>545</v>
      </c>
      <c r="C31" s="59" t="s">
        <v>534</v>
      </c>
      <c r="D31" s="59" t="s">
        <v>566</v>
      </c>
      <c r="E31" s="58">
        <v>17</v>
      </c>
      <c r="F31" s="60"/>
      <c r="G31" s="60"/>
      <c r="H31" s="60"/>
      <c r="I31" s="61">
        <v>14.52</v>
      </c>
      <c r="J31" s="61">
        <v>91.07</v>
      </c>
      <c r="K31" s="61">
        <v>766.75</v>
      </c>
      <c r="L31" s="61"/>
      <c r="M31" s="61"/>
      <c r="N31" s="61"/>
      <c r="O31" s="62"/>
      <c r="P31" s="62"/>
      <c r="Q31" s="62"/>
      <c r="R31" s="62">
        <v>0.34870000000000001</v>
      </c>
      <c r="S31" s="60"/>
      <c r="T31" s="61">
        <v>0.87329999999999997</v>
      </c>
      <c r="U31" s="61">
        <v>9246.0300000000007</v>
      </c>
      <c r="V31" s="63"/>
    </row>
    <row r="32" spans="1:22" ht="15" customHeight="1" x14ac:dyDescent="0.2">
      <c r="A32" s="58" t="s">
        <v>567</v>
      </c>
      <c r="B32" s="59" t="s">
        <v>545</v>
      </c>
      <c r="C32" s="59" t="s">
        <v>568</v>
      </c>
      <c r="D32" s="59" t="s">
        <v>569</v>
      </c>
      <c r="E32" s="58">
        <v>3</v>
      </c>
      <c r="F32" s="60"/>
      <c r="G32" s="60"/>
      <c r="H32" s="60"/>
      <c r="I32" s="61">
        <v>178.63</v>
      </c>
      <c r="J32" s="61">
        <v>178.63</v>
      </c>
      <c r="K32" s="61">
        <v>178.63</v>
      </c>
      <c r="L32" s="61"/>
      <c r="M32" s="61"/>
      <c r="N32" s="61"/>
      <c r="O32" s="62"/>
      <c r="P32" s="62"/>
      <c r="Q32" s="62"/>
      <c r="R32" s="62"/>
      <c r="S32" s="60"/>
      <c r="T32" s="61">
        <v>3.1311</v>
      </c>
      <c r="U32" s="61">
        <v>966.06</v>
      </c>
      <c r="V32" s="63"/>
    </row>
    <row r="33" spans="1:22" ht="15" customHeight="1" x14ac:dyDescent="0.2">
      <c r="A33" s="58" t="s">
        <v>570</v>
      </c>
      <c r="B33" s="59" t="s">
        <v>545</v>
      </c>
      <c r="C33" s="59" t="s">
        <v>522</v>
      </c>
      <c r="D33" s="59" t="s">
        <v>571</v>
      </c>
      <c r="E33" s="58">
        <v>5</v>
      </c>
      <c r="F33" s="60"/>
      <c r="G33" s="60"/>
      <c r="H33" s="60"/>
      <c r="I33" s="61">
        <v>592.03</v>
      </c>
      <c r="J33" s="61">
        <v>653.01</v>
      </c>
      <c r="K33" s="61">
        <v>1581.8050000000001</v>
      </c>
      <c r="L33" s="61">
        <v>2600</v>
      </c>
      <c r="M33" s="61">
        <v>2600</v>
      </c>
      <c r="N33" s="61">
        <v>2600</v>
      </c>
      <c r="O33" s="62">
        <v>-0.79359999999999997</v>
      </c>
      <c r="P33" s="62">
        <v>-0.79359999999999997</v>
      </c>
      <c r="Q33" s="62">
        <v>-0.79359999999999997</v>
      </c>
      <c r="R33" s="62">
        <v>-0.79359999999999997</v>
      </c>
      <c r="S33" s="60"/>
      <c r="T33" s="61">
        <v>4.3452999999999999</v>
      </c>
      <c r="U33" s="61">
        <v>5000.68</v>
      </c>
      <c r="V33" s="63"/>
    </row>
    <row r="34" spans="1:22" ht="15" customHeight="1" x14ac:dyDescent="0.2">
      <c r="A34" s="58" t="s">
        <v>572</v>
      </c>
      <c r="B34" s="59" t="s">
        <v>545</v>
      </c>
      <c r="C34" s="59" t="s">
        <v>573</v>
      </c>
      <c r="D34" s="59" t="s">
        <v>574</v>
      </c>
      <c r="E34" s="58">
        <v>1</v>
      </c>
      <c r="F34" s="60"/>
      <c r="G34" s="60"/>
      <c r="H34" s="60"/>
      <c r="I34" s="61">
        <v>81.680000000000007</v>
      </c>
      <c r="J34" s="61">
        <v>81.680000000000007</v>
      </c>
      <c r="K34" s="61">
        <v>81.680000000000007</v>
      </c>
      <c r="L34" s="61"/>
      <c r="M34" s="61"/>
      <c r="N34" s="61"/>
      <c r="O34" s="62"/>
      <c r="P34" s="62"/>
      <c r="Q34" s="62"/>
      <c r="R34" s="62"/>
      <c r="S34" s="60"/>
      <c r="T34" s="61">
        <v>0.76339999999999997</v>
      </c>
      <c r="U34" s="61">
        <v>169.51</v>
      </c>
      <c r="V34" s="63"/>
    </row>
    <row r="35" spans="1:22" ht="15" customHeight="1" x14ac:dyDescent="0.2">
      <c r="A35" s="64" t="s">
        <v>575</v>
      </c>
      <c r="B35" s="65" t="s">
        <v>576</v>
      </c>
      <c r="C35" s="65" t="s">
        <v>576</v>
      </c>
      <c r="D35" s="65" t="s">
        <v>577</v>
      </c>
      <c r="E35" s="64">
        <v>49</v>
      </c>
      <c r="F35" s="66"/>
      <c r="G35" s="66"/>
      <c r="H35" s="66"/>
      <c r="I35" s="67">
        <v>1638.5</v>
      </c>
      <c r="J35" s="67">
        <v>4653.75</v>
      </c>
      <c r="K35" s="67">
        <v>16267.82</v>
      </c>
      <c r="L35" s="67">
        <v>1000</v>
      </c>
      <c r="M35" s="67">
        <v>1000</v>
      </c>
      <c r="N35" s="67">
        <v>3850</v>
      </c>
      <c r="O35" s="68">
        <v>-0.49740000000000001</v>
      </c>
      <c r="P35" s="68">
        <v>1.0597000000000001</v>
      </c>
      <c r="Q35" s="68">
        <v>4.8803000000000001</v>
      </c>
      <c r="R35" s="68">
        <v>0.1234</v>
      </c>
      <c r="S35" s="66"/>
      <c r="T35" s="67">
        <v>50</v>
      </c>
      <c r="U35" s="67">
        <v>561066.13</v>
      </c>
      <c r="V35" s="69"/>
    </row>
    <row r="36" spans="1:22" ht="15" customHeight="1" x14ac:dyDescent="0.2">
      <c r="A36" s="64" t="s">
        <v>578</v>
      </c>
      <c r="B36" s="65" t="s">
        <v>576</v>
      </c>
      <c r="C36" s="65" t="s">
        <v>576</v>
      </c>
      <c r="D36" s="65" t="s">
        <v>579</v>
      </c>
      <c r="E36" s="64">
        <v>46</v>
      </c>
      <c r="F36" s="66"/>
      <c r="G36" s="66"/>
      <c r="H36" s="66"/>
      <c r="I36" s="67">
        <v>9429.0949999999993</v>
      </c>
      <c r="J36" s="67">
        <v>20176.78</v>
      </c>
      <c r="K36" s="67">
        <v>37617.9375</v>
      </c>
      <c r="L36" s="67">
        <v>17875</v>
      </c>
      <c r="M36" s="67">
        <v>28500</v>
      </c>
      <c r="N36" s="67">
        <v>46250</v>
      </c>
      <c r="O36" s="68">
        <v>-0.40610000000000002</v>
      </c>
      <c r="P36" s="68">
        <v>-0.18679999999999999</v>
      </c>
      <c r="Q36" s="68">
        <v>0.1118</v>
      </c>
      <c r="R36" s="68">
        <v>-0.19589999999999999</v>
      </c>
      <c r="S36" s="66"/>
      <c r="T36" s="67">
        <v>244.72139999999999</v>
      </c>
      <c r="U36" s="67">
        <v>1711208.26</v>
      </c>
      <c r="V36" s="69"/>
    </row>
    <row r="37" spans="1:22" ht="15" customHeight="1" x14ac:dyDescent="0.2">
      <c r="A37" s="64" t="s">
        <v>580</v>
      </c>
      <c r="B37" s="65" t="s">
        <v>576</v>
      </c>
      <c r="C37" s="65" t="s">
        <v>576</v>
      </c>
      <c r="D37" s="65" t="s">
        <v>581</v>
      </c>
      <c r="E37" s="64">
        <v>28</v>
      </c>
      <c r="F37" s="66"/>
      <c r="G37" s="66"/>
      <c r="H37" s="66"/>
      <c r="I37" s="67">
        <v>629.52499999999998</v>
      </c>
      <c r="J37" s="67">
        <v>2235</v>
      </c>
      <c r="K37" s="67">
        <v>5311.1774999999998</v>
      </c>
      <c r="L37" s="67">
        <v>3000</v>
      </c>
      <c r="M37" s="67">
        <v>5000</v>
      </c>
      <c r="N37" s="67">
        <v>8060</v>
      </c>
      <c r="O37" s="68">
        <v>-0.73950000000000005</v>
      </c>
      <c r="P37" s="68">
        <v>-0.3281</v>
      </c>
      <c r="Q37" s="68">
        <v>0.37419999999999998</v>
      </c>
      <c r="R37" s="68">
        <v>-0.18360000000000001</v>
      </c>
      <c r="S37" s="66"/>
      <c r="T37" s="67">
        <v>15.4861</v>
      </c>
      <c r="U37" s="67">
        <v>158508.9</v>
      </c>
      <c r="V37" s="69"/>
    </row>
    <row r="38" spans="1:22" ht="15" customHeight="1" x14ac:dyDescent="0.2">
      <c r="A38" s="64" t="s">
        <v>582</v>
      </c>
      <c r="B38" s="65" t="s">
        <v>576</v>
      </c>
      <c r="C38" s="65" t="s">
        <v>576</v>
      </c>
      <c r="D38" s="65" t="s">
        <v>583</v>
      </c>
      <c r="E38" s="64">
        <v>45</v>
      </c>
      <c r="F38" s="66"/>
      <c r="G38" s="66"/>
      <c r="H38" s="66"/>
      <c r="I38" s="67">
        <v>1979.13</v>
      </c>
      <c r="J38" s="67">
        <v>6197.36</v>
      </c>
      <c r="K38" s="67">
        <v>11027.865</v>
      </c>
      <c r="L38" s="67">
        <v>5382.5</v>
      </c>
      <c r="M38" s="67">
        <v>9110</v>
      </c>
      <c r="N38" s="67">
        <v>17695</v>
      </c>
      <c r="O38" s="68">
        <v>-0.37369999999999998</v>
      </c>
      <c r="P38" s="68">
        <v>-0.1903</v>
      </c>
      <c r="Q38" s="68">
        <v>-9.4100000000000003E-2</v>
      </c>
      <c r="R38" s="68">
        <v>-0.191</v>
      </c>
      <c r="S38" s="66"/>
      <c r="T38" s="67">
        <v>63.9636</v>
      </c>
      <c r="U38" s="67">
        <v>537380.77</v>
      </c>
      <c r="V38" s="69"/>
    </row>
    <row r="39" spans="1:22" ht="15" customHeight="1" x14ac:dyDescent="0.2">
      <c r="A39" s="64" t="s">
        <v>584</v>
      </c>
      <c r="B39" s="65" t="s">
        <v>576</v>
      </c>
      <c r="C39" s="65" t="s">
        <v>576</v>
      </c>
      <c r="D39" s="65" t="s">
        <v>585</v>
      </c>
      <c r="E39" s="64">
        <v>2</v>
      </c>
      <c r="F39" s="66"/>
      <c r="G39" s="66"/>
      <c r="H39" s="66"/>
      <c r="I39" s="67">
        <v>17940.355</v>
      </c>
      <c r="J39" s="67">
        <v>17940.355</v>
      </c>
      <c r="K39" s="67">
        <v>17940.355</v>
      </c>
      <c r="L39" s="67"/>
      <c r="M39" s="67"/>
      <c r="N39" s="67"/>
      <c r="O39" s="68"/>
      <c r="P39" s="68"/>
      <c r="Q39" s="68"/>
      <c r="R39" s="68"/>
      <c r="S39" s="66"/>
      <c r="T39" s="67">
        <v>123.87690000000001</v>
      </c>
      <c r="U39" s="67">
        <v>35880.71</v>
      </c>
      <c r="V39" s="69"/>
    </row>
    <row r="40" spans="1:22" ht="15" customHeight="1" x14ac:dyDescent="0.2">
      <c r="A40" s="64" t="s">
        <v>586</v>
      </c>
      <c r="B40" s="65" t="s">
        <v>576</v>
      </c>
      <c r="C40" s="65" t="s">
        <v>576</v>
      </c>
      <c r="D40" s="65" t="s">
        <v>587</v>
      </c>
      <c r="E40" s="64">
        <v>34</v>
      </c>
      <c r="F40" s="66"/>
      <c r="G40" s="66"/>
      <c r="H40" s="66"/>
      <c r="I40" s="67">
        <v>546.17499999999995</v>
      </c>
      <c r="J40" s="67">
        <v>5381.1</v>
      </c>
      <c r="K40" s="67">
        <v>8980.4074999999993</v>
      </c>
      <c r="L40" s="67">
        <v>7000</v>
      </c>
      <c r="M40" s="67">
        <v>10000</v>
      </c>
      <c r="N40" s="67">
        <v>11750</v>
      </c>
      <c r="O40" s="68">
        <v>-0.75209999999999999</v>
      </c>
      <c r="P40" s="68">
        <v>-0.3826</v>
      </c>
      <c r="Q40" s="68">
        <v>-0.14760000000000001</v>
      </c>
      <c r="R40" s="68">
        <v>-0.36420000000000002</v>
      </c>
      <c r="S40" s="66"/>
      <c r="T40" s="67">
        <v>59.665199999999999</v>
      </c>
      <c r="U40" s="67">
        <v>356490.86</v>
      </c>
      <c r="V40" s="69"/>
    </row>
    <row r="41" spans="1:22" ht="15" customHeight="1" x14ac:dyDescent="0.2">
      <c r="A41" s="64" t="s">
        <v>588</v>
      </c>
      <c r="B41" s="65" t="s">
        <v>589</v>
      </c>
      <c r="C41" s="65" t="s">
        <v>589</v>
      </c>
      <c r="D41" s="65" t="s">
        <v>590</v>
      </c>
      <c r="E41" s="64">
        <v>49</v>
      </c>
      <c r="F41" s="66"/>
      <c r="G41" s="66"/>
      <c r="H41" s="66"/>
      <c r="I41" s="67">
        <v>87036.794999999998</v>
      </c>
      <c r="J41" s="67">
        <v>155266.79</v>
      </c>
      <c r="K41" s="67">
        <v>220021.58</v>
      </c>
      <c r="L41" s="67">
        <v>90942.054999999993</v>
      </c>
      <c r="M41" s="67">
        <v>167567.60999999999</v>
      </c>
      <c r="N41" s="67">
        <v>228764.44500000001</v>
      </c>
      <c r="O41" s="68">
        <v>-0.17399999999999999</v>
      </c>
      <c r="P41" s="68">
        <v>-4.7100000000000003E-2</v>
      </c>
      <c r="Q41" s="68">
        <v>0.125</v>
      </c>
      <c r="R41" s="68">
        <v>-5.7000000000000002E-2</v>
      </c>
      <c r="S41" s="66"/>
      <c r="T41" s="67">
        <v>1322.8975</v>
      </c>
      <c r="U41" s="67">
        <v>10731471.060000001</v>
      </c>
      <c r="V41" s="69"/>
    </row>
    <row r="42" spans="1:22" ht="15" customHeight="1" x14ac:dyDescent="0.2">
      <c r="A42" s="64" t="s">
        <v>591</v>
      </c>
      <c r="B42" s="65" t="s">
        <v>592</v>
      </c>
      <c r="C42" s="65" t="s">
        <v>592</v>
      </c>
      <c r="D42" s="65" t="s">
        <v>593</v>
      </c>
      <c r="E42" s="64">
        <v>49</v>
      </c>
      <c r="F42" s="66"/>
      <c r="G42" s="66"/>
      <c r="H42" s="66"/>
      <c r="I42" s="67">
        <v>15198.92</v>
      </c>
      <c r="J42" s="67">
        <v>26782.71</v>
      </c>
      <c r="K42" s="67">
        <v>41213.334999999999</v>
      </c>
      <c r="L42" s="67">
        <v>15575.594999999999</v>
      </c>
      <c r="M42" s="67">
        <v>28904</v>
      </c>
      <c r="N42" s="67">
        <v>41125.635000000002</v>
      </c>
      <c r="O42" s="68">
        <v>-0.1512</v>
      </c>
      <c r="P42" s="68">
        <v>-4.6399999999999997E-2</v>
      </c>
      <c r="Q42" s="68">
        <v>0.1145</v>
      </c>
      <c r="R42" s="68">
        <v>-6.54E-2</v>
      </c>
      <c r="S42" s="66"/>
      <c r="T42" s="67">
        <v>243.47919999999999</v>
      </c>
      <c r="U42" s="67">
        <v>1917699.96</v>
      </c>
      <c r="V42" s="69"/>
    </row>
    <row r="43" spans="1:22" ht="15" customHeight="1" x14ac:dyDescent="0.2">
      <c r="A43" s="64" t="s">
        <v>594</v>
      </c>
      <c r="B43" s="65" t="s">
        <v>595</v>
      </c>
      <c r="C43" s="65" t="s">
        <v>595</v>
      </c>
      <c r="D43" s="65" t="s">
        <v>596</v>
      </c>
      <c r="E43" s="64">
        <v>37</v>
      </c>
      <c r="F43" s="66"/>
      <c r="G43" s="66"/>
      <c r="H43" s="66"/>
      <c r="I43" s="67">
        <v>-2337934</v>
      </c>
      <c r="J43" s="67">
        <v>-1721867</v>
      </c>
      <c r="K43" s="67">
        <v>-886915</v>
      </c>
      <c r="L43" s="67">
        <v>-2384904.5</v>
      </c>
      <c r="M43" s="67">
        <v>-1648500</v>
      </c>
      <c r="N43" s="67">
        <v>-865350</v>
      </c>
      <c r="O43" s="68">
        <v>1.6400000000000001E-2</v>
      </c>
      <c r="P43" s="68">
        <v>3.1899999999999998E-2</v>
      </c>
      <c r="Q43" s="68">
        <v>6.9900000000000004E-2</v>
      </c>
      <c r="R43" s="68">
        <v>0</v>
      </c>
      <c r="S43" s="66"/>
      <c r="T43" s="67">
        <v>-13505.709699999999</v>
      </c>
      <c r="U43" s="67">
        <v>-89131447.879999995</v>
      </c>
      <c r="V43" s="69"/>
    </row>
    <row r="44" spans="1:22" ht="15" customHeight="1" x14ac:dyDescent="0.2">
      <c r="A44" s="26" t="s">
        <v>597</v>
      </c>
      <c r="B44" s="28" t="s">
        <v>598</v>
      </c>
      <c r="C44" s="28" t="s">
        <v>598</v>
      </c>
      <c r="D44" s="28" t="s">
        <v>599</v>
      </c>
      <c r="E44" s="26">
        <v>2</v>
      </c>
      <c r="F44" s="30">
        <v>2118.75</v>
      </c>
      <c r="G44" s="30">
        <v>2118.75</v>
      </c>
      <c r="H44" s="30">
        <v>2118.75</v>
      </c>
      <c r="I44" s="31">
        <v>101967.5</v>
      </c>
      <c r="J44" s="31">
        <v>101967.5</v>
      </c>
      <c r="K44" s="31">
        <v>101967.5</v>
      </c>
      <c r="L44" s="31">
        <v>143266</v>
      </c>
      <c r="M44" s="31">
        <v>143266</v>
      </c>
      <c r="N44" s="31">
        <v>143266</v>
      </c>
      <c r="O44" s="32">
        <v>-0.2883</v>
      </c>
      <c r="P44" s="32">
        <v>-0.2883</v>
      </c>
      <c r="Q44" s="32">
        <v>-0.2883</v>
      </c>
      <c r="R44" s="32">
        <v>-0.26290000000000002</v>
      </c>
      <c r="S44" s="30">
        <v>5.3697999999999997</v>
      </c>
      <c r="T44" s="31">
        <v>256.19970000000001</v>
      </c>
      <c r="U44" s="31">
        <v>101967.5</v>
      </c>
      <c r="V44" s="29">
        <v>4237.5</v>
      </c>
    </row>
    <row r="45" spans="1:22" ht="15" customHeight="1" x14ac:dyDescent="0.2">
      <c r="A45" s="26" t="s">
        <v>600</v>
      </c>
      <c r="B45" s="28" t="s">
        <v>598</v>
      </c>
      <c r="C45" s="28" t="s">
        <v>598</v>
      </c>
      <c r="D45" s="28" t="s">
        <v>601</v>
      </c>
      <c r="E45" s="26">
        <v>1</v>
      </c>
      <c r="F45" s="30">
        <v>21198.75</v>
      </c>
      <c r="G45" s="30">
        <v>21198.75</v>
      </c>
      <c r="H45" s="30">
        <v>21198.75</v>
      </c>
      <c r="I45" s="31">
        <v>452849.38</v>
      </c>
      <c r="J45" s="31">
        <v>452849.38</v>
      </c>
      <c r="K45" s="31">
        <v>452849.38</v>
      </c>
      <c r="L45" s="31">
        <v>423275</v>
      </c>
      <c r="M45" s="31">
        <v>423275</v>
      </c>
      <c r="N45" s="31">
        <v>423275</v>
      </c>
      <c r="O45" s="32">
        <v>6.9900000000000004E-2</v>
      </c>
      <c r="P45" s="32">
        <v>6.9900000000000004E-2</v>
      </c>
      <c r="Q45" s="32">
        <v>6.9900000000000004E-2</v>
      </c>
      <c r="R45" s="32">
        <v>8.0999999999999996E-3</v>
      </c>
      <c r="S45" s="30">
        <v>53.263199999999998</v>
      </c>
      <c r="T45" s="31">
        <v>1137.8125</v>
      </c>
      <c r="U45" s="31">
        <v>452849.38</v>
      </c>
      <c r="V45" s="29">
        <v>21198.75</v>
      </c>
    </row>
    <row r="46" spans="1:22" ht="15" customHeight="1" x14ac:dyDescent="0.2">
      <c r="A46" s="26" t="s">
        <v>602</v>
      </c>
      <c r="B46" s="28" t="s">
        <v>598</v>
      </c>
      <c r="C46" s="28" t="s">
        <v>598</v>
      </c>
      <c r="D46" s="28" t="s">
        <v>603</v>
      </c>
      <c r="E46" s="26">
        <v>1</v>
      </c>
      <c r="F46" s="30">
        <v>4717</v>
      </c>
      <c r="G46" s="30">
        <v>4717</v>
      </c>
      <c r="H46" s="30">
        <v>4717</v>
      </c>
      <c r="I46" s="31">
        <v>118040</v>
      </c>
      <c r="J46" s="31">
        <v>118040</v>
      </c>
      <c r="K46" s="31">
        <v>118040</v>
      </c>
      <c r="L46" s="31">
        <v>117750</v>
      </c>
      <c r="M46" s="31">
        <v>117750</v>
      </c>
      <c r="N46" s="31">
        <v>117750</v>
      </c>
      <c r="O46" s="32">
        <v>2.5000000000000001E-3</v>
      </c>
      <c r="P46" s="32">
        <v>2.5000000000000001E-3</v>
      </c>
      <c r="Q46" s="32">
        <v>2.5000000000000001E-3</v>
      </c>
      <c r="R46" s="32">
        <v>-2.5000000000000001E-3</v>
      </c>
      <c r="S46" s="30">
        <v>11.851800000000001</v>
      </c>
      <c r="T46" s="31">
        <v>296.5829</v>
      </c>
      <c r="U46" s="31">
        <v>118040</v>
      </c>
      <c r="V46" s="29">
        <v>4717</v>
      </c>
    </row>
    <row r="47" spans="1:22" ht="15" customHeight="1" x14ac:dyDescent="0.2">
      <c r="A47" s="26" t="s">
        <v>604</v>
      </c>
      <c r="B47" s="28" t="s">
        <v>598</v>
      </c>
      <c r="C47" s="28" t="s">
        <v>598</v>
      </c>
      <c r="D47" s="28" t="s">
        <v>605</v>
      </c>
      <c r="E47" s="26">
        <v>1</v>
      </c>
      <c r="F47" s="30"/>
      <c r="G47" s="30"/>
      <c r="H47" s="30"/>
      <c r="I47" s="31">
        <v>50431.67</v>
      </c>
      <c r="J47" s="31">
        <v>50431.67</v>
      </c>
      <c r="K47" s="31">
        <v>50431.67</v>
      </c>
      <c r="L47" s="31">
        <v>58800</v>
      </c>
      <c r="M47" s="31">
        <v>58800</v>
      </c>
      <c r="N47" s="31">
        <v>58800</v>
      </c>
      <c r="O47" s="32">
        <v>-0.14230000000000001</v>
      </c>
      <c r="P47" s="32">
        <v>-0.14230000000000001</v>
      </c>
      <c r="Q47" s="32">
        <v>-0.14230000000000001</v>
      </c>
      <c r="R47" s="32">
        <v>0.33389999999999997</v>
      </c>
      <c r="S47" s="30"/>
      <c r="T47" s="31">
        <v>126.7127</v>
      </c>
      <c r="U47" s="31">
        <v>50431.67</v>
      </c>
      <c r="V47" s="29"/>
    </row>
    <row r="48" spans="1:22" ht="15" customHeight="1" x14ac:dyDescent="0.2">
      <c r="A48" s="26" t="s">
        <v>606</v>
      </c>
      <c r="B48" s="28" t="s">
        <v>598</v>
      </c>
      <c r="C48" s="28" t="s">
        <v>598</v>
      </c>
      <c r="D48" s="28" t="s">
        <v>607</v>
      </c>
      <c r="E48" s="26">
        <v>1</v>
      </c>
      <c r="F48" s="30"/>
      <c r="G48" s="30"/>
      <c r="H48" s="30"/>
      <c r="I48" s="31">
        <v>200867.48</v>
      </c>
      <c r="J48" s="31">
        <v>200867.48</v>
      </c>
      <c r="K48" s="31">
        <v>200867.48</v>
      </c>
      <c r="L48" s="31">
        <v>259245</v>
      </c>
      <c r="M48" s="31">
        <v>259245</v>
      </c>
      <c r="N48" s="31">
        <v>259245</v>
      </c>
      <c r="O48" s="32">
        <v>-0.22520000000000001</v>
      </c>
      <c r="P48" s="32">
        <v>-0.22520000000000001</v>
      </c>
      <c r="Q48" s="32">
        <v>-0.22520000000000001</v>
      </c>
      <c r="R48" s="32">
        <v>-0.26740000000000003</v>
      </c>
      <c r="S48" s="30"/>
      <c r="T48" s="31">
        <v>504.69220000000001</v>
      </c>
      <c r="U48" s="31">
        <v>200867.48</v>
      </c>
      <c r="V48" s="29"/>
    </row>
    <row r="49" spans="1:22" ht="15" customHeight="1" x14ac:dyDescent="0.2">
      <c r="A49" s="26" t="s">
        <v>608</v>
      </c>
      <c r="B49" s="28" t="s">
        <v>598</v>
      </c>
      <c r="C49" s="28" t="s">
        <v>598</v>
      </c>
      <c r="D49" s="28" t="s">
        <v>609</v>
      </c>
      <c r="E49" s="26">
        <v>1</v>
      </c>
      <c r="F49" s="30"/>
      <c r="G49" s="30"/>
      <c r="H49" s="30"/>
      <c r="I49" s="31">
        <v>373687.67</v>
      </c>
      <c r="J49" s="31">
        <v>373687.67</v>
      </c>
      <c r="K49" s="31">
        <v>373687.67</v>
      </c>
      <c r="L49" s="31">
        <v>460418</v>
      </c>
      <c r="M49" s="31">
        <v>460418</v>
      </c>
      <c r="N49" s="31">
        <v>460418</v>
      </c>
      <c r="O49" s="32">
        <v>-0.18840000000000001</v>
      </c>
      <c r="P49" s="32">
        <v>-0.18840000000000001</v>
      </c>
      <c r="Q49" s="32">
        <v>-0.18840000000000001</v>
      </c>
      <c r="R49" s="32">
        <v>-0.20549999999999999</v>
      </c>
      <c r="S49" s="30"/>
      <c r="T49" s="31">
        <v>938.91369999999995</v>
      </c>
      <c r="U49" s="31">
        <v>373687.67</v>
      </c>
      <c r="V49" s="29"/>
    </row>
    <row r="50" spans="1:22" ht="15" customHeight="1" x14ac:dyDescent="0.2">
      <c r="A50" s="26" t="s">
        <v>610</v>
      </c>
      <c r="B50" s="28" t="s">
        <v>598</v>
      </c>
      <c r="C50" s="28" t="s">
        <v>598</v>
      </c>
      <c r="D50" s="28" t="s">
        <v>611</v>
      </c>
      <c r="E50" s="26">
        <v>1</v>
      </c>
      <c r="F50" s="30">
        <v>4</v>
      </c>
      <c r="G50" s="30">
        <v>4</v>
      </c>
      <c r="H50" s="30">
        <v>4</v>
      </c>
      <c r="I50" s="31">
        <v>208</v>
      </c>
      <c r="J50" s="31">
        <v>208</v>
      </c>
      <c r="K50" s="31">
        <v>208</v>
      </c>
      <c r="L50" s="31"/>
      <c r="M50" s="31"/>
      <c r="N50" s="31"/>
      <c r="O50" s="32"/>
      <c r="P50" s="32"/>
      <c r="Q50" s="32"/>
      <c r="R50" s="32"/>
      <c r="S50" s="30">
        <v>0.08</v>
      </c>
      <c r="T50" s="31">
        <v>4.16</v>
      </c>
      <c r="U50" s="31">
        <v>208</v>
      </c>
      <c r="V50" s="29">
        <v>4</v>
      </c>
    </row>
    <row r="51" spans="1:22" ht="15" customHeight="1" x14ac:dyDescent="0.2">
      <c r="A51" s="26" t="s">
        <v>612</v>
      </c>
      <c r="B51" s="28" t="s">
        <v>598</v>
      </c>
      <c r="C51" s="28" t="s">
        <v>598</v>
      </c>
      <c r="D51" s="28" t="s">
        <v>613</v>
      </c>
      <c r="E51" s="26">
        <v>2</v>
      </c>
      <c r="F51" s="30">
        <v>8</v>
      </c>
      <c r="G51" s="30">
        <v>8</v>
      </c>
      <c r="H51" s="30">
        <v>8</v>
      </c>
      <c r="I51" s="31">
        <v>164</v>
      </c>
      <c r="J51" s="31">
        <v>164</v>
      </c>
      <c r="K51" s="31">
        <v>164</v>
      </c>
      <c r="L51" s="31"/>
      <c r="M51" s="31"/>
      <c r="N51" s="31"/>
      <c r="O51" s="32"/>
      <c r="P51" s="32"/>
      <c r="Q51" s="32"/>
      <c r="R51" s="32"/>
      <c r="S51" s="30">
        <v>9.0999999999999998E-2</v>
      </c>
      <c r="T51" s="31">
        <v>1.6920999999999999</v>
      </c>
      <c r="U51" s="31">
        <v>328</v>
      </c>
      <c r="V51" s="29">
        <v>16</v>
      </c>
    </row>
    <row r="54" spans="1:22" ht="15" customHeight="1" x14ac:dyDescent="0.2">
      <c r="A54" s="2" t="s">
        <v>614</v>
      </c>
      <c r="B54" s="2"/>
      <c r="C54" s="2"/>
      <c r="D54" s="2"/>
      <c r="E54" s="2"/>
      <c r="F54" s="2"/>
      <c r="G54" s="2"/>
      <c r="H54" s="2"/>
      <c r="I54" s="2"/>
      <c r="J54" s="2"/>
      <c r="K54" s="2"/>
      <c r="L54" s="2"/>
      <c r="M54" s="2"/>
      <c r="N54" s="2"/>
      <c r="O54" s="2"/>
      <c r="P54" s="2"/>
      <c r="Q54" s="2"/>
      <c r="R54" s="2"/>
      <c r="S54" s="2"/>
      <c r="T54" s="2"/>
      <c r="U54" s="2"/>
      <c r="V54" s="2"/>
    </row>
    <row r="55" spans="1:22" ht="27.75" customHeight="1" x14ac:dyDescent="0.2">
      <c r="A55" s="5" t="s">
        <v>615</v>
      </c>
      <c r="B55" s="5"/>
      <c r="C55" s="5"/>
      <c r="D55" s="1" t="s">
        <v>616</v>
      </c>
      <c r="E55" s="1"/>
      <c r="F55" s="1"/>
      <c r="G55" s="1"/>
      <c r="H55" s="1"/>
      <c r="I55" s="1"/>
      <c r="J55" s="1"/>
      <c r="K55" s="1"/>
      <c r="L55" s="1"/>
      <c r="M55" s="1"/>
      <c r="N55" s="1"/>
      <c r="O55" s="1"/>
      <c r="P55" s="1"/>
      <c r="Q55" s="1"/>
      <c r="R55" s="1"/>
      <c r="S55" s="1"/>
      <c r="T55" s="1"/>
      <c r="U55" s="1"/>
      <c r="V55" s="1"/>
    </row>
    <row r="56" spans="1:22" ht="27.75" customHeight="1" x14ac:dyDescent="0.2">
      <c r="A56" s="5" t="s">
        <v>617</v>
      </c>
      <c r="B56" s="5"/>
      <c r="C56" s="5"/>
      <c r="D56" s="1" t="s">
        <v>618</v>
      </c>
      <c r="E56" s="1"/>
      <c r="F56" s="1"/>
      <c r="G56" s="1"/>
      <c r="H56" s="1"/>
      <c r="I56" s="1"/>
      <c r="J56" s="1"/>
      <c r="K56" s="1"/>
      <c r="L56" s="1"/>
      <c r="M56" s="1"/>
      <c r="N56" s="1"/>
      <c r="O56" s="1"/>
      <c r="P56" s="1"/>
      <c r="Q56" s="1"/>
      <c r="R56" s="1"/>
      <c r="S56" s="1"/>
      <c r="T56" s="1"/>
      <c r="U56" s="1"/>
      <c r="V56" s="1"/>
    </row>
    <row r="57" spans="1:22" ht="27.75" customHeight="1" x14ac:dyDescent="0.2">
      <c r="A57" s="5" t="s">
        <v>619</v>
      </c>
      <c r="B57" s="5"/>
      <c r="C57" s="5"/>
      <c r="D57" s="1" t="s">
        <v>620</v>
      </c>
      <c r="E57" s="1"/>
      <c r="F57" s="1"/>
      <c r="G57" s="1"/>
      <c r="H57" s="1"/>
      <c r="I57" s="1"/>
      <c r="J57" s="1"/>
      <c r="K57" s="1"/>
      <c r="L57" s="1"/>
      <c r="M57" s="1"/>
      <c r="N57" s="1"/>
      <c r="O57" s="1"/>
      <c r="P57" s="1"/>
      <c r="Q57" s="1"/>
      <c r="R57" s="1"/>
      <c r="S57" s="1"/>
      <c r="T57" s="1"/>
      <c r="U57" s="1"/>
      <c r="V57" s="1"/>
    </row>
    <row r="58" spans="1:22" ht="27.75" customHeight="1" x14ac:dyDescent="0.2">
      <c r="A58" s="5" t="s">
        <v>621</v>
      </c>
      <c r="B58" s="5"/>
      <c r="C58" s="5"/>
      <c r="D58" s="1" t="s">
        <v>622</v>
      </c>
      <c r="E58" s="1"/>
      <c r="F58" s="1"/>
      <c r="G58" s="1"/>
      <c r="H58" s="1"/>
      <c r="I58" s="1"/>
      <c r="J58" s="1"/>
      <c r="K58" s="1"/>
      <c r="L58" s="1"/>
      <c r="M58" s="1"/>
      <c r="N58" s="1"/>
      <c r="O58" s="1"/>
      <c r="P58" s="1"/>
      <c r="Q58" s="1"/>
      <c r="R58" s="1"/>
      <c r="S58" s="1"/>
      <c r="T58" s="1"/>
      <c r="U58" s="1"/>
      <c r="V58" s="1"/>
    </row>
    <row r="59" spans="1:22" ht="27.75" customHeight="1" x14ac:dyDescent="0.2">
      <c r="A59" s="5" t="s">
        <v>623</v>
      </c>
      <c r="B59" s="5"/>
      <c r="C59" s="5"/>
      <c r="D59" s="1" t="s">
        <v>624</v>
      </c>
      <c r="E59" s="1"/>
      <c r="F59" s="1"/>
      <c r="G59" s="1"/>
      <c r="H59" s="1"/>
      <c r="I59" s="1"/>
      <c r="J59" s="1"/>
      <c r="K59" s="1"/>
      <c r="L59" s="1"/>
      <c r="M59" s="1"/>
      <c r="N59" s="1"/>
      <c r="O59" s="1"/>
      <c r="P59" s="1"/>
      <c r="Q59" s="1"/>
      <c r="R59" s="1"/>
      <c r="S59" s="1"/>
      <c r="T59" s="1"/>
      <c r="U59" s="1"/>
      <c r="V59" s="1"/>
    </row>
  </sheetData>
  <mergeCells count="11">
    <mergeCell ref="A57:C57"/>
    <mergeCell ref="D57:V57"/>
    <mergeCell ref="A58:C58"/>
    <mergeCell ref="D58:V58"/>
    <mergeCell ref="A59:C59"/>
    <mergeCell ref="D59:V59"/>
    <mergeCell ref="A54:V54"/>
    <mergeCell ref="A55:C55"/>
    <mergeCell ref="D55:V55"/>
    <mergeCell ref="A56:C56"/>
    <mergeCell ref="D56:V56"/>
  </mergeCells>
  <conditionalFormatting sqref="P5:P51">
    <cfRule type="colorScale" priority="2">
      <colorScale>
        <cfvo type="num" val="-0.5"/>
        <cfvo type="num" val="0"/>
        <cfvo type="num" val="0.5"/>
        <color rgb="FF2E7D5B"/>
        <color rgb="FFFFFFFF"/>
        <color rgb="FFC0392B"/>
      </colorScale>
    </cfRule>
  </conditionalFormatting>
  <conditionalFormatting sqref="R5:R51">
    <cfRule type="colorScale" priority="3">
      <colorScale>
        <cfvo type="num" val="-0.5"/>
        <cfvo type="num" val="0"/>
        <cfvo type="num" val="0.5"/>
        <color rgb="FF2E7D5B"/>
        <color rgb="FFFFFFFF"/>
        <color rgb="FFC0392B"/>
      </colorScale>
    </cfRule>
  </conditionalFormatting>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514"/>
  <sheetViews>
    <sheetView showGridLines="0" zoomScaleNormal="100" workbookViewId="0">
      <pane xSplit="4" ySplit="4" topLeftCell="E5" activePane="bottomRight" state="frozen"/>
      <selection pane="topRight" activeCell="E1" sqref="E1"/>
      <selection pane="bottomLeft" activeCell="A5" sqref="A5"/>
      <selection pane="bottomRight"/>
    </sheetView>
  </sheetViews>
  <sheetFormatPr baseColWidth="10" defaultColWidth="8.6640625" defaultRowHeight="15" x14ac:dyDescent="0.2"/>
  <cols>
    <col min="1" max="1" width="7" customWidth="1"/>
    <col min="2" max="3" width="9" customWidth="1"/>
    <col min="4" max="4" width="8" customWidth="1"/>
    <col min="5" max="5" width="7" customWidth="1"/>
    <col min="6" max="6" width="10" customWidth="1"/>
    <col min="7" max="7" width="14" customWidth="1"/>
    <col min="8" max="8" width="32" customWidth="1"/>
    <col min="9" max="9" width="10" customWidth="1"/>
    <col min="10" max="10" width="9" customWidth="1"/>
    <col min="11" max="11" width="12" customWidth="1"/>
    <col min="12" max="13" width="13" customWidth="1"/>
    <col min="14" max="15" width="11" customWidth="1"/>
    <col min="16" max="16" width="10" customWidth="1"/>
    <col min="17" max="17" width="12" customWidth="1"/>
  </cols>
  <sheetData>
    <row r="1" spans="1:17" ht="21.75" customHeight="1" x14ac:dyDescent="0.25">
      <c r="A1" s="13" t="s">
        <v>625</v>
      </c>
    </row>
    <row r="2" spans="1:17" ht="15" customHeight="1" x14ac:dyDescent="0.2">
      <c r="A2" s="8" t="s">
        <v>626</v>
      </c>
    </row>
    <row r="4" spans="1:17" ht="27.75" customHeight="1" x14ac:dyDescent="0.2">
      <c r="A4" s="16" t="s">
        <v>102</v>
      </c>
      <c r="B4" s="16" t="s">
        <v>103</v>
      </c>
      <c r="C4" s="16" t="s">
        <v>104</v>
      </c>
      <c r="D4" s="16" t="s">
        <v>107</v>
      </c>
      <c r="E4" s="16" t="s">
        <v>478</v>
      </c>
      <c r="F4" s="16" t="s">
        <v>479</v>
      </c>
      <c r="G4" s="16" t="s">
        <v>480</v>
      </c>
      <c r="H4" s="16" t="s">
        <v>481</v>
      </c>
      <c r="I4" s="16" t="s">
        <v>359</v>
      </c>
      <c r="J4" s="16" t="s">
        <v>421</v>
      </c>
      <c r="K4" s="16" t="s">
        <v>627</v>
      </c>
      <c r="L4" s="16" t="s">
        <v>628</v>
      </c>
      <c r="M4" s="16" t="s">
        <v>629</v>
      </c>
      <c r="N4" s="16" t="s">
        <v>630</v>
      </c>
      <c r="O4" s="16" t="s">
        <v>631</v>
      </c>
      <c r="P4" s="16" t="s">
        <v>360</v>
      </c>
      <c r="Q4" s="16" t="s">
        <v>632</v>
      </c>
    </row>
    <row r="5" spans="1:17" ht="15" customHeight="1" x14ac:dyDescent="0.2">
      <c r="A5" s="26" t="s">
        <v>147</v>
      </c>
      <c r="B5" s="27" t="s">
        <v>148</v>
      </c>
      <c r="C5" s="27" t="s">
        <v>149</v>
      </c>
      <c r="D5" s="29">
        <v>234</v>
      </c>
      <c r="E5" s="26" t="s">
        <v>500</v>
      </c>
      <c r="F5" s="28" t="s">
        <v>501</v>
      </c>
      <c r="G5" s="28" t="s">
        <v>502</v>
      </c>
      <c r="H5" s="28" t="s">
        <v>503</v>
      </c>
      <c r="I5" s="30"/>
      <c r="J5" s="30"/>
      <c r="K5" s="31">
        <v>21823.68</v>
      </c>
      <c r="L5" s="31">
        <v>33300</v>
      </c>
      <c r="M5" s="31">
        <v>33300</v>
      </c>
      <c r="N5" s="32">
        <v>-0.344634234234234</v>
      </c>
      <c r="O5" s="32">
        <v>-0.344634234234234</v>
      </c>
      <c r="P5" s="30"/>
      <c r="Q5" s="31">
        <v>93.263589743589804</v>
      </c>
    </row>
    <row r="6" spans="1:17" ht="15" customHeight="1" x14ac:dyDescent="0.2">
      <c r="A6" s="17" t="s">
        <v>152</v>
      </c>
      <c r="B6" s="18" t="s">
        <v>148</v>
      </c>
      <c r="C6" s="18" t="s">
        <v>149</v>
      </c>
      <c r="D6" s="20">
        <v>258</v>
      </c>
      <c r="E6" s="17" t="s">
        <v>500</v>
      </c>
      <c r="F6" s="19" t="s">
        <v>501</v>
      </c>
      <c r="G6" s="19" t="s">
        <v>502</v>
      </c>
      <c r="H6" s="19" t="s">
        <v>503</v>
      </c>
      <c r="I6" s="21"/>
      <c r="J6" s="21"/>
      <c r="K6" s="22">
        <v>11671.12</v>
      </c>
      <c r="L6" s="22">
        <v>46715</v>
      </c>
      <c r="M6" s="22">
        <v>46715</v>
      </c>
      <c r="N6" s="23">
        <v>-0.75016333083592002</v>
      </c>
      <c r="O6" s="23">
        <v>-0.75016333083592002</v>
      </c>
      <c r="P6" s="21"/>
      <c r="Q6" s="22">
        <v>45.236899224806201</v>
      </c>
    </row>
    <row r="7" spans="1:17" ht="15" customHeight="1" x14ac:dyDescent="0.2">
      <c r="A7" s="26" t="s">
        <v>154</v>
      </c>
      <c r="B7" s="27" t="s">
        <v>148</v>
      </c>
      <c r="C7" s="27" t="s">
        <v>149</v>
      </c>
      <c r="D7" s="29">
        <v>56</v>
      </c>
      <c r="E7" s="26" t="s">
        <v>500</v>
      </c>
      <c r="F7" s="28" t="s">
        <v>501</v>
      </c>
      <c r="G7" s="28" t="s">
        <v>502</v>
      </c>
      <c r="H7" s="28" t="s">
        <v>503</v>
      </c>
      <c r="I7" s="30"/>
      <c r="J7" s="30"/>
      <c r="K7" s="31">
        <v>1645</v>
      </c>
      <c r="L7" s="31">
        <v>1250</v>
      </c>
      <c r="M7" s="31">
        <v>1250</v>
      </c>
      <c r="N7" s="32">
        <v>0.316</v>
      </c>
      <c r="O7" s="32">
        <v>0.316</v>
      </c>
      <c r="P7" s="30"/>
      <c r="Q7" s="31">
        <v>29.375</v>
      </c>
    </row>
    <row r="8" spans="1:17" ht="15" customHeight="1" x14ac:dyDescent="0.2">
      <c r="A8" s="17" t="s">
        <v>157</v>
      </c>
      <c r="B8" s="18" t="s">
        <v>148</v>
      </c>
      <c r="C8" s="18" t="s">
        <v>149</v>
      </c>
      <c r="D8" s="20">
        <v>149</v>
      </c>
      <c r="E8" s="17" t="s">
        <v>500</v>
      </c>
      <c r="F8" s="19" t="s">
        <v>501</v>
      </c>
      <c r="G8" s="19" t="s">
        <v>502</v>
      </c>
      <c r="H8" s="19" t="s">
        <v>503</v>
      </c>
      <c r="I8" s="21"/>
      <c r="J8" s="21"/>
      <c r="K8" s="22">
        <v>2137</v>
      </c>
      <c r="L8" s="22">
        <v>7590</v>
      </c>
      <c r="M8" s="22">
        <v>7590</v>
      </c>
      <c r="N8" s="23">
        <v>-0.71844532279314899</v>
      </c>
      <c r="O8" s="23">
        <v>-0.71844532279314899</v>
      </c>
      <c r="P8" s="21"/>
      <c r="Q8" s="22">
        <v>14.3422818791946</v>
      </c>
    </row>
    <row r="9" spans="1:17" ht="15" customHeight="1" x14ac:dyDescent="0.2">
      <c r="A9" s="26" t="s">
        <v>159</v>
      </c>
      <c r="B9" s="27" t="s">
        <v>148</v>
      </c>
      <c r="C9" s="27" t="s">
        <v>149</v>
      </c>
      <c r="D9" s="29">
        <v>117</v>
      </c>
      <c r="E9" s="26" t="s">
        <v>500</v>
      </c>
      <c r="F9" s="28" t="s">
        <v>501</v>
      </c>
      <c r="G9" s="28" t="s">
        <v>502</v>
      </c>
      <c r="H9" s="28" t="s">
        <v>503</v>
      </c>
      <c r="I9" s="30"/>
      <c r="J9" s="30"/>
      <c r="K9" s="31">
        <v>1008</v>
      </c>
      <c r="L9" s="31">
        <v>3250</v>
      </c>
      <c r="M9" s="31">
        <v>3250</v>
      </c>
      <c r="N9" s="32">
        <v>-0.689846153846154</v>
      </c>
      <c r="O9" s="32">
        <v>-0.689846153846154</v>
      </c>
      <c r="P9" s="30"/>
      <c r="Q9" s="31">
        <v>8.6153846153846203</v>
      </c>
    </row>
    <row r="10" spans="1:17" ht="15" customHeight="1" x14ac:dyDescent="0.2">
      <c r="A10" s="17" t="s">
        <v>161</v>
      </c>
      <c r="B10" s="18" t="s">
        <v>148</v>
      </c>
      <c r="C10" s="18" t="s">
        <v>149</v>
      </c>
      <c r="D10" s="20">
        <v>162</v>
      </c>
      <c r="E10" s="17" t="s">
        <v>500</v>
      </c>
      <c r="F10" s="19" t="s">
        <v>501</v>
      </c>
      <c r="G10" s="19" t="s">
        <v>502</v>
      </c>
      <c r="H10" s="19" t="s">
        <v>503</v>
      </c>
      <c r="I10" s="21">
        <v>183</v>
      </c>
      <c r="J10" s="21"/>
      <c r="K10" s="22">
        <v>3752.5</v>
      </c>
      <c r="L10" s="22">
        <v>12500</v>
      </c>
      <c r="M10" s="22">
        <v>12500</v>
      </c>
      <c r="N10" s="23">
        <v>-0.69979999999999998</v>
      </c>
      <c r="O10" s="23">
        <v>-0.69979999999999998</v>
      </c>
      <c r="P10" s="21">
        <v>1.12962962962963</v>
      </c>
      <c r="Q10" s="22">
        <v>23.1635802469136</v>
      </c>
    </row>
    <row r="11" spans="1:17" ht="15" customHeight="1" x14ac:dyDescent="0.2">
      <c r="A11" s="26" t="s">
        <v>169</v>
      </c>
      <c r="B11" s="27" t="s">
        <v>148</v>
      </c>
      <c r="C11" s="27" t="s">
        <v>149</v>
      </c>
      <c r="D11" s="29">
        <v>211</v>
      </c>
      <c r="E11" s="26" t="s">
        <v>500</v>
      </c>
      <c r="F11" s="28" t="s">
        <v>501</v>
      </c>
      <c r="G11" s="28" t="s">
        <v>502</v>
      </c>
      <c r="H11" s="28" t="s">
        <v>503</v>
      </c>
      <c r="I11" s="30"/>
      <c r="J11" s="30"/>
      <c r="K11" s="31">
        <v>4039</v>
      </c>
      <c r="L11" s="31">
        <v>17545</v>
      </c>
      <c r="M11" s="31">
        <v>19105</v>
      </c>
      <c r="N11" s="32">
        <v>-0.769791963522371</v>
      </c>
      <c r="O11" s="32">
        <v>-0.78858937450929101</v>
      </c>
      <c r="P11" s="30"/>
      <c r="Q11" s="31">
        <v>19.142180094786699</v>
      </c>
    </row>
    <row r="12" spans="1:17" ht="15" customHeight="1" x14ac:dyDescent="0.2">
      <c r="A12" s="35" t="s">
        <v>327</v>
      </c>
      <c r="B12" s="36" t="s">
        <v>313</v>
      </c>
      <c r="C12" s="36" t="s">
        <v>267</v>
      </c>
      <c r="D12" s="38">
        <v>244</v>
      </c>
      <c r="E12" s="35" t="s">
        <v>500</v>
      </c>
      <c r="F12" s="37" t="s">
        <v>501</v>
      </c>
      <c r="G12" s="37" t="s">
        <v>502</v>
      </c>
      <c r="H12" s="37" t="s">
        <v>503</v>
      </c>
      <c r="I12" s="39"/>
      <c r="J12" s="39"/>
      <c r="K12" s="40"/>
      <c r="L12" s="40"/>
      <c r="M12" s="40"/>
      <c r="N12" s="41"/>
      <c r="O12" s="41"/>
      <c r="P12" s="39"/>
      <c r="Q12" s="40"/>
    </row>
    <row r="13" spans="1:17" ht="15" customHeight="1" x14ac:dyDescent="0.2">
      <c r="A13" s="26" t="s">
        <v>147</v>
      </c>
      <c r="B13" s="27" t="s">
        <v>148</v>
      </c>
      <c r="C13" s="27" t="s">
        <v>149</v>
      </c>
      <c r="D13" s="29">
        <v>234</v>
      </c>
      <c r="E13" s="26" t="s">
        <v>504</v>
      </c>
      <c r="F13" s="28" t="s">
        <v>501</v>
      </c>
      <c r="G13" s="28" t="s">
        <v>505</v>
      </c>
      <c r="H13" s="28" t="s">
        <v>506</v>
      </c>
      <c r="I13" s="30"/>
      <c r="J13" s="30"/>
      <c r="K13" s="31">
        <v>4198.3</v>
      </c>
      <c r="L13" s="31">
        <v>11000</v>
      </c>
      <c r="M13" s="31">
        <v>11000</v>
      </c>
      <c r="N13" s="32">
        <v>-0.61833636363636402</v>
      </c>
      <c r="O13" s="32">
        <v>-0.61833636363636402</v>
      </c>
      <c r="P13" s="30"/>
      <c r="Q13" s="31">
        <v>17.941452991453001</v>
      </c>
    </row>
    <row r="14" spans="1:17" ht="15" customHeight="1" x14ac:dyDescent="0.2">
      <c r="A14" s="17" t="s">
        <v>152</v>
      </c>
      <c r="B14" s="18" t="s">
        <v>148</v>
      </c>
      <c r="C14" s="18" t="s">
        <v>149</v>
      </c>
      <c r="D14" s="20">
        <v>258</v>
      </c>
      <c r="E14" s="17" t="s">
        <v>504</v>
      </c>
      <c r="F14" s="19" t="s">
        <v>501</v>
      </c>
      <c r="G14" s="19" t="s">
        <v>505</v>
      </c>
      <c r="H14" s="19" t="s">
        <v>506</v>
      </c>
      <c r="I14" s="21"/>
      <c r="J14" s="21"/>
      <c r="K14" s="22">
        <v>8811.5</v>
      </c>
      <c r="L14" s="22">
        <v>11600</v>
      </c>
      <c r="M14" s="22">
        <v>11915</v>
      </c>
      <c r="N14" s="23">
        <v>-0.240387931034483</v>
      </c>
      <c r="O14" s="23">
        <v>-0.26046999580360902</v>
      </c>
      <c r="P14" s="21"/>
      <c r="Q14" s="22">
        <v>34.153100775193799</v>
      </c>
    </row>
    <row r="15" spans="1:17" ht="15" customHeight="1" x14ac:dyDescent="0.2">
      <c r="A15" s="26" t="s">
        <v>154</v>
      </c>
      <c r="B15" s="27" t="s">
        <v>148</v>
      </c>
      <c r="C15" s="27" t="s">
        <v>149</v>
      </c>
      <c r="D15" s="29">
        <v>56</v>
      </c>
      <c r="E15" s="26" t="s">
        <v>504</v>
      </c>
      <c r="F15" s="28" t="s">
        <v>501</v>
      </c>
      <c r="G15" s="28" t="s">
        <v>505</v>
      </c>
      <c r="H15" s="28" t="s">
        <v>506</v>
      </c>
      <c r="I15" s="30"/>
      <c r="J15" s="30"/>
      <c r="K15" s="31">
        <v>2992</v>
      </c>
      <c r="L15" s="31">
        <v>3000</v>
      </c>
      <c r="M15" s="31">
        <v>3000</v>
      </c>
      <c r="N15" s="32">
        <v>-2.66666666666667E-3</v>
      </c>
      <c r="O15" s="32">
        <v>-2.66666666666667E-3</v>
      </c>
      <c r="P15" s="30"/>
      <c r="Q15" s="31">
        <v>53.428571428571402</v>
      </c>
    </row>
    <row r="16" spans="1:17" ht="15" customHeight="1" x14ac:dyDescent="0.2">
      <c r="A16" s="17" t="s">
        <v>157</v>
      </c>
      <c r="B16" s="18" t="s">
        <v>148</v>
      </c>
      <c r="C16" s="18" t="s">
        <v>149</v>
      </c>
      <c r="D16" s="20">
        <v>149</v>
      </c>
      <c r="E16" s="17" t="s">
        <v>504</v>
      </c>
      <c r="F16" s="19" t="s">
        <v>501</v>
      </c>
      <c r="G16" s="19" t="s">
        <v>505</v>
      </c>
      <c r="H16" s="19" t="s">
        <v>506</v>
      </c>
      <c r="I16" s="21"/>
      <c r="J16" s="21"/>
      <c r="K16" s="22">
        <v>4944</v>
      </c>
      <c r="L16" s="22">
        <v>10430</v>
      </c>
      <c r="M16" s="22">
        <v>10430</v>
      </c>
      <c r="N16" s="23">
        <v>-0.52598274209012497</v>
      </c>
      <c r="O16" s="23">
        <v>-0.52598274209012497</v>
      </c>
      <c r="P16" s="21"/>
      <c r="Q16" s="22">
        <v>33.1812080536913</v>
      </c>
    </row>
    <row r="17" spans="1:17" ht="15" customHeight="1" x14ac:dyDescent="0.2">
      <c r="A17" s="26" t="s">
        <v>159</v>
      </c>
      <c r="B17" s="27" t="s">
        <v>148</v>
      </c>
      <c r="C17" s="27" t="s">
        <v>149</v>
      </c>
      <c r="D17" s="29">
        <v>117</v>
      </c>
      <c r="E17" s="26" t="s">
        <v>504</v>
      </c>
      <c r="F17" s="28" t="s">
        <v>501</v>
      </c>
      <c r="G17" s="28" t="s">
        <v>505</v>
      </c>
      <c r="H17" s="28" t="s">
        <v>506</v>
      </c>
      <c r="I17" s="30"/>
      <c r="J17" s="30"/>
      <c r="K17" s="31">
        <v>4164</v>
      </c>
      <c r="L17" s="31">
        <v>8190</v>
      </c>
      <c r="M17" s="31">
        <v>8190</v>
      </c>
      <c r="N17" s="32">
        <v>-0.49157509157509199</v>
      </c>
      <c r="O17" s="32">
        <v>-0.49157509157509199</v>
      </c>
      <c r="P17" s="30"/>
      <c r="Q17" s="31">
        <v>35.589743589743598</v>
      </c>
    </row>
    <row r="18" spans="1:17" ht="15" customHeight="1" x14ac:dyDescent="0.2">
      <c r="A18" s="17" t="s">
        <v>161</v>
      </c>
      <c r="B18" s="18" t="s">
        <v>148</v>
      </c>
      <c r="C18" s="18" t="s">
        <v>149</v>
      </c>
      <c r="D18" s="20">
        <v>162</v>
      </c>
      <c r="E18" s="17" t="s">
        <v>504</v>
      </c>
      <c r="F18" s="19" t="s">
        <v>501</v>
      </c>
      <c r="G18" s="19" t="s">
        <v>505</v>
      </c>
      <c r="H18" s="19" t="s">
        <v>506</v>
      </c>
      <c r="I18" s="21">
        <v>165</v>
      </c>
      <c r="J18" s="21"/>
      <c r="K18" s="22">
        <v>6023</v>
      </c>
      <c r="L18" s="22">
        <v>8100</v>
      </c>
      <c r="M18" s="22">
        <v>8100</v>
      </c>
      <c r="N18" s="23">
        <v>-0.25641975308642001</v>
      </c>
      <c r="O18" s="23">
        <v>-0.25641975308642001</v>
      </c>
      <c r="P18" s="21">
        <v>1.0185185185185199</v>
      </c>
      <c r="Q18" s="22">
        <v>37.179012345678998</v>
      </c>
    </row>
    <row r="19" spans="1:17" ht="15" customHeight="1" x14ac:dyDescent="0.2">
      <c r="A19" s="26" t="s">
        <v>165</v>
      </c>
      <c r="B19" s="27" t="s">
        <v>148</v>
      </c>
      <c r="C19" s="27" t="s">
        <v>149</v>
      </c>
      <c r="D19" s="29">
        <v>197</v>
      </c>
      <c r="E19" s="26" t="s">
        <v>504</v>
      </c>
      <c r="F19" s="28" t="s">
        <v>501</v>
      </c>
      <c r="G19" s="28" t="s">
        <v>505</v>
      </c>
      <c r="H19" s="28" t="s">
        <v>506</v>
      </c>
      <c r="I19" s="30"/>
      <c r="J19" s="30"/>
      <c r="K19" s="31">
        <v>7355</v>
      </c>
      <c r="L19" s="31">
        <v>11820</v>
      </c>
      <c r="M19" s="31">
        <v>12360</v>
      </c>
      <c r="N19" s="32">
        <v>-0.37774957698815598</v>
      </c>
      <c r="O19" s="32">
        <v>-0.40493527508090599</v>
      </c>
      <c r="P19" s="30"/>
      <c r="Q19" s="31">
        <v>37.335025380710697</v>
      </c>
    </row>
    <row r="20" spans="1:17" ht="15" customHeight="1" x14ac:dyDescent="0.2">
      <c r="A20" s="17" t="s">
        <v>167</v>
      </c>
      <c r="B20" s="18" t="s">
        <v>148</v>
      </c>
      <c r="C20" s="18" t="s">
        <v>149</v>
      </c>
      <c r="D20" s="20">
        <v>119</v>
      </c>
      <c r="E20" s="17" t="s">
        <v>504</v>
      </c>
      <c r="F20" s="19" t="s">
        <v>501</v>
      </c>
      <c r="G20" s="19" t="s">
        <v>505</v>
      </c>
      <c r="H20" s="19" t="s">
        <v>506</v>
      </c>
      <c r="I20" s="21"/>
      <c r="J20" s="21"/>
      <c r="K20" s="22">
        <v>4744</v>
      </c>
      <c r="L20" s="22">
        <v>6500</v>
      </c>
      <c r="M20" s="22">
        <v>6500</v>
      </c>
      <c r="N20" s="23">
        <v>-0.27015384615384602</v>
      </c>
      <c r="O20" s="23">
        <v>-0.27015384615384602</v>
      </c>
      <c r="P20" s="21"/>
      <c r="Q20" s="22">
        <v>39.865546218487403</v>
      </c>
    </row>
    <row r="21" spans="1:17" ht="15" customHeight="1" x14ac:dyDescent="0.2">
      <c r="A21" s="26" t="s">
        <v>169</v>
      </c>
      <c r="B21" s="27" t="s">
        <v>148</v>
      </c>
      <c r="C21" s="27" t="s">
        <v>149</v>
      </c>
      <c r="D21" s="29">
        <v>211</v>
      </c>
      <c r="E21" s="26" t="s">
        <v>504</v>
      </c>
      <c r="F21" s="28" t="s">
        <v>501</v>
      </c>
      <c r="G21" s="28" t="s">
        <v>505</v>
      </c>
      <c r="H21" s="28" t="s">
        <v>506</v>
      </c>
      <c r="I21" s="30"/>
      <c r="J21" s="30"/>
      <c r="K21" s="31">
        <v>7795</v>
      </c>
      <c r="L21" s="31">
        <v>10000</v>
      </c>
      <c r="M21" s="31">
        <v>10000</v>
      </c>
      <c r="N21" s="32">
        <v>-0.2205</v>
      </c>
      <c r="O21" s="32">
        <v>-0.2205</v>
      </c>
      <c r="P21" s="30"/>
      <c r="Q21" s="31">
        <v>36.943127962085299</v>
      </c>
    </row>
    <row r="22" spans="1:17" ht="15" customHeight="1" x14ac:dyDescent="0.2">
      <c r="A22" s="17" t="s">
        <v>171</v>
      </c>
      <c r="B22" s="18" t="s">
        <v>148</v>
      </c>
      <c r="C22" s="18" t="s">
        <v>149</v>
      </c>
      <c r="D22" s="20">
        <v>211</v>
      </c>
      <c r="E22" s="17" t="s">
        <v>504</v>
      </c>
      <c r="F22" s="19" t="s">
        <v>501</v>
      </c>
      <c r="G22" s="19" t="s">
        <v>505</v>
      </c>
      <c r="H22" s="19" t="s">
        <v>506</v>
      </c>
      <c r="I22" s="21"/>
      <c r="J22" s="21"/>
      <c r="K22" s="22">
        <v>13841.5</v>
      </c>
      <c r="L22" s="22">
        <v>14700</v>
      </c>
      <c r="M22" s="22">
        <v>18480</v>
      </c>
      <c r="N22" s="23">
        <v>-5.8401360544217698E-2</v>
      </c>
      <c r="O22" s="23">
        <v>-0.25100108225108198</v>
      </c>
      <c r="P22" s="21"/>
      <c r="Q22" s="22">
        <v>65.599526066350705</v>
      </c>
    </row>
    <row r="23" spans="1:17" ht="15" customHeight="1" x14ac:dyDescent="0.2">
      <c r="A23" s="26" t="s">
        <v>173</v>
      </c>
      <c r="B23" s="27" t="s">
        <v>148</v>
      </c>
      <c r="C23" s="27" t="s">
        <v>149</v>
      </c>
      <c r="D23" s="29">
        <v>256</v>
      </c>
      <c r="E23" s="26" t="s">
        <v>504</v>
      </c>
      <c r="F23" s="28" t="s">
        <v>501</v>
      </c>
      <c r="G23" s="28" t="s">
        <v>505</v>
      </c>
      <c r="H23" s="28" t="s">
        <v>506</v>
      </c>
      <c r="I23" s="30"/>
      <c r="J23" s="30"/>
      <c r="K23" s="31">
        <v>13026.5</v>
      </c>
      <c r="L23" s="31">
        <v>12800</v>
      </c>
      <c r="M23" s="31">
        <v>13700</v>
      </c>
      <c r="N23" s="32">
        <v>1.7695312500000001E-2</v>
      </c>
      <c r="O23" s="32">
        <v>-4.9160583941605801E-2</v>
      </c>
      <c r="P23" s="30"/>
      <c r="Q23" s="31">
        <v>50.884765625</v>
      </c>
    </row>
    <row r="24" spans="1:17" ht="15" customHeight="1" x14ac:dyDescent="0.2">
      <c r="A24" s="17" t="s">
        <v>175</v>
      </c>
      <c r="B24" s="18" t="s">
        <v>148</v>
      </c>
      <c r="C24" s="18" t="s">
        <v>149</v>
      </c>
      <c r="D24" s="20">
        <v>136</v>
      </c>
      <c r="E24" s="17" t="s">
        <v>504</v>
      </c>
      <c r="F24" s="19" t="s">
        <v>501</v>
      </c>
      <c r="G24" s="19" t="s">
        <v>505</v>
      </c>
      <c r="H24" s="19" t="s">
        <v>506</v>
      </c>
      <c r="I24" s="21"/>
      <c r="J24" s="21"/>
      <c r="K24" s="22">
        <v>8726</v>
      </c>
      <c r="L24" s="22">
        <v>12920</v>
      </c>
      <c r="M24" s="22">
        <v>13414</v>
      </c>
      <c r="N24" s="23">
        <v>-0.32461300309597502</v>
      </c>
      <c r="O24" s="23">
        <v>-0.34948561204711498</v>
      </c>
      <c r="P24" s="21"/>
      <c r="Q24" s="22">
        <v>64.161764705882405</v>
      </c>
    </row>
    <row r="25" spans="1:17" ht="15" customHeight="1" x14ac:dyDescent="0.2">
      <c r="A25" s="26" t="s">
        <v>177</v>
      </c>
      <c r="B25" s="27" t="s">
        <v>148</v>
      </c>
      <c r="C25" s="27" t="s">
        <v>149</v>
      </c>
      <c r="D25" s="29">
        <v>18</v>
      </c>
      <c r="E25" s="26" t="s">
        <v>504</v>
      </c>
      <c r="F25" s="28" t="s">
        <v>501</v>
      </c>
      <c r="G25" s="28" t="s">
        <v>505</v>
      </c>
      <c r="H25" s="28" t="s">
        <v>506</v>
      </c>
      <c r="I25" s="30"/>
      <c r="J25" s="30"/>
      <c r="K25" s="31">
        <v>1042</v>
      </c>
      <c r="L25" s="31">
        <v>3000</v>
      </c>
      <c r="M25" s="31">
        <v>3000</v>
      </c>
      <c r="N25" s="32">
        <v>-0.65266666666666695</v>
      </c>
      <c r="O25" s="32">
        <v>-0.65266666666666695</v>
      </c>
      <c r="P25" s="30"/>
      <c r="Q25" s="31">
        <v>57.8888888888889</v>
      </c>
    </row>
    <row r="26" spans="1:17" ht="15" customHeight="1" x14ac:dyDescent="0.2">
      <c r="A26" s="17" t="s">
        <v>179</v>
      </c>
      <c r="B26" s="18" t="s">
        <v>148</v>
      </c>
      <c r="C26" s="18" t="s">
        <v>180</v>
      </c>
      <c r="D26" s="20">
        <v>209</v>
      </c>
      <c r="E26" s="17" t="s">
        <v>504</v>
      </c>
      <c r="F26" s="19" t="s">
        <v>501</v>
      </c>
      <c r="G26" s="19" t="s">
        <v>505</v>
      </c>
      <c r="H26" s="19" t="s">
        <v>506</v>
      </c>
      <c r="I26" s="21">
        <v>308.5</v>
      </c>
      <c r="J26" s="21"/>
      <c r="K26" s="22">
        <v>13424.5</v>
      </c>
      <c r="L26" s="22">
        <v>14630</v>
      </c>
      <c r="M26" s="22">
        <v>15828</v>
      </c>
      <c r="N26" s="23">
        <v>-8.2399179767600805E-2</v>
      </c>
      <c r="O26" s="23">
        <v>-0.15185114986100601</v>
      </c>
      <c r="P26" s="21">
        <v>1.4760765550239201</v>
      </c>
      <c r="Q26" s="22">
        <v>64.232057416268006</v>
      </c>
    </row>
    <row r="27" spans="1:17" ht="15" customHeight="1" x14ac:dyDescent="0.2">
      <c r="A27" s="26" t="s">
        <v>185</v>
      </c>
      <c r="B27" s="27" t="s">
        <v>148</v>
      </c>
      <c r="C27" s="27" t="s">
        <v>180</v>
      </c>
      <c r="D27" s="29">
        <v>117</v>
      </c>
      <c r="E27" s="26" t="s">
        <v>504</v>
      </c>
      <c r="F27" s="28" t="s">
        <v>501</v>
      </c>
      <c r="G27" s="28" t="s">
        <v>505</v>
      </c>
      <c r="H27" s="28" t="s">
        <v>506</v>
      </c>
      <c r="I27" s="30">
        <v>295</v>
      </c>
      <c r="J27" s="30"/>
      <c r="K27" s="31">
        <v>12228.5</v>
      </c>
      <c r="L27" s="31">
        <v>14000</v>
      </c>
      <c r="M27" s="31">
        <v>14800</v>
      </c>
      <c r="N27" s="32">
        <v>-0.126535714285714</v>
      </c>
      <c r="O27" s="32">
        <v>-0.17374999999999999</v>
      </c>
      <c r="P27" s="30">
        <v>2.52136752136752</v>
      </c>
      <c r="Q27" s="31">
        <v>104.517094017094</v>
      </c>
    </row>
    <row r="28" spans="1:17" ht="15" customHeight="1" x14ac:dyDescent="0.2">
      <c r="A28" s="17" t="s">
        <v>190</v>
      </c>
      <c r="B28" s="18" t="s">
        <v>148</v>
      </c>
      <c r="C28" s="18" t="s">
        <v>180</v>
      </c>
      <c r="D28" s="20">
        <v>75</v>
      </c>
      <c r="E28" s="17" t="s">
        <v>504</v>
      </c>
      <c r="F28" s="19" t="s">
        <v>501</v>
      </c>
      <c r="G28" s="19" t="s">
        <v>505</v>
      </c>
      <c r="H28" s="19" t="s">
        <v>506</v>
      </c>
      <c r="I28" s="21">
        <v>95</v>
      </c>
      <c r="J28" s="21"/>
      <c r="K28" s="22">
        <v>4337</v>
      </c>
      <c r="L28" s="22">
        <v>7875</v>
      </c>
      <c r="M28" s="22">
        <v>8157</v>
      </c>
      <c r="N28" s="23">
        <v>-0.44926984126984099</v>
      </c>
      <c r="O28" s="23">
        <v>-0.46830942748559501</v>
      </c>
      <c r="P28" s="21">
        <v>1.2666666666666699</v>
      </c>
      <c r="Q28" s="22">
        <v>57.826666666666704</v>
      </c>
    </row>
    <row r="29" spans="1:17" ht="15" customHeight="1" x14ac:dyDescent="0.2">
      <c r="A29" s="26" t="s">
        <v>195</v>
      </c>
      <c r="B29" s="27" t="s">
        <v>148</v>
      </c>
      <c r="C29" s="27" t="s">
        <v>180</v>
      </c>
      <c r="D29" s="29">
        <v>49</v>
      </c>
      <c r="E29" s="26" t="s">
        <v>504</v>
      </c>
      <c r="F29" s="28" t="s">
        <v>501</v>
      </c>
      <c r="G29" s="28" t="s">
        <v>505</v>
      </c>
      <c r="H29" s="28" t="s">
        <v>506</v>
      </c>
      <c r="I29" s="30">
        <v>45.5</v>
      </c>
      <c r="J29" s="30"/>
      <c r="K29" s="31">
        <v>2078.5</v>
      </c>
      <c r="L29" s="31">
        <v>7840</v>
      </c>
      <c r="M29" s="31">
        <v>7840</v>
      </c>
      <c r="N29" s="32">
        <v>-0.73488520408163305</v>
      </c>
      <c r="O29" s="32">
        <v>-0.73488520408163305</v>
      </c>
      <c r="P29" s="30">
        <v>0.92857142857142905</v>
      </c>
      <c r="Q29" s="31">
        <v>42.418367346938801</v>
      </c>
    </row>
    <row r="30" spans="1:17" ht="15" customHeight="1" x14ac:dyDescent="0.2">
      <c r="A30" s="17" t="s">
        <v>201</v>
      </c>
      <c r="B30" s="18" t="s">
        <v>148</v>
      </c>
      <c r="C30" s="18" t="s">
        <v>180</v>
      </c>
      <c r="D30" s="20">
        <v>170</v>
      </c>
      <c r="E30" s="17" t="s">
        <v>504</v>
      </c>
      <c r="F30" s="19" t="s">
        <v>501</v>
      </c>
      <c r="G30" s="19" t="s">
        <v>505</v>
      </c>
      <c r="H30" s="19" t="s">
        <v>506</v>
      </c>
      <c r="I30" s="21">
        <v>124.5</v>
      </c>
      <c r="J30" s="21"/>
      <c r="K30" s="22">
        <v>5755.5</v>
      </c>
      <c r="L30" s="22">
        <v>11000</v>
      </c>
      <c r="M30" s="22">
        <v>11188</v>
      </c>
      <c r="N30" s="23">
        <v>-0.47677272727272701</v>
      </c>
      <c r="O30" s="23">
        <v>-0.48556489095459399</v>
      </c>
      <c r="P30" s="21">
        <v>0.73235294117647098</v>
      </c>
      <c r="Q30" s="22">
        <v>33.855882352941201</v>
      </c>
    </row>
    <row r="31" spans="1:17" ht="15" customHeight="1" x14ac:dyDescent="0.2">
      <c r="A31" s="26" t="s">
        <v>205</v>
      </c>
      <c r="B31" s="27" t="s">
        <v>148</v>
      </c>
      <c r="C31" s="27" t="s">
        <v>180</v>
      </c>
      <c r="D31" s="29">
        <v>296</v>
      </c>
      <c r="E31" s="26" t="s">
        <v>504</v>
      </c>
      <c r="F31" s="28" t="s">
        <v>501</v>
      </c>
      <c r="G31" s="28" t="s">
        <v>505</v>
      </c>
      <c r="H31" s="28" t="s">
        <v>506</v>
      </c>
      <c r="I31" s="30">
        <v>209.5</v>
      </c>
      <c r="J31" s="30"/>
      <c r="K31" s="31">
        <v>9454.5</v>
      </c>
      <c r="L31" s="31">
        <v>20000</v>
      </c>
      <c r="M31" s="31">
        <v>10499</v>
      </c>
      <c r="N31" s="32">
        <v>-0.52727500000000005</v>
      </c>
      <c r="O31" s="32">
        <v>-9.9485665301457304E-2</v>
      </c>
      <c r="P31" s="30">
        <v>0.70777027027026995</v>
      </c>
      <c r="Q31" s="31">
        <v>31.9408783783784</v>
      </c>
    </row>
    <row r="32" spans="1:17" ht="15" customHeight="1" x14ac:dyDescent="0.2">
      <c r="A32" s="17" t="s">
        <v>210</v>
      </c>
      <c r="B32" s="18" t="s">
        <v>148</v>
      </c>
      <c r="C32" s="18" t="s">
        <v>180</v>
      </c>
      <c r="D32" s="20">
        <v>83</v>
      </c>
      <c r="E32" s="17" t="s">
        <v>504</v>
      </c>
      <c r="F32" s="19" t="s">
        <v>501</v>
      </c>
      <c r="G32" s="19" t="s">
        <v>505</v>
      </c>
      <c r="H32" s="19" t="s">
        <v>506</v>
      </c>
      <c r="I32" s="21">
        <v>71.5</v>
      </c>
      <c r="J32" s="21"/>
      <c r="K32" s="22">
        <v>3269.5</v>
      </c>
      <c r="L32" s="22">
        <v>8700</v>
      </c>
      <c r="M32" s="22">
        <v>8747</v>
      </c>
      <c r="N32" s="23">
        <v>-0.62419540229885095</v>
      </c>
      <c r="O32" s="23">
        <v>-0.62621470218360598</v>
      </c>
      <c r="P32" s="21">
        <v>0.86144578313252995</v>
      </c>
      <c r="Q32" s="22">
        <v>39.391566265060199</v>
      </c>
    </row>
    <row r="33" spans="1:17" ht="15" customHeight="1" x14ac:dyDescent="0.2">
      <c r="A33" s="26" t="s">
        <v>214</v>
      </c>
      <c r="B33" s="27" t="s">
        <v>148</v>
      </c>
      <c r="C33" s="27" t="s">
        <v>180</v>
      </c>
      <c r="D33" s="29">
        <v>144</v>
      </c>
      <c r="E33" s="26" t="s">
        <v>504</v>
      </c>
      <c r="F33" s="28" t="s">
        <v>501</v>
      </c>
      <c r="G33" s="28" t="s">
        <v>505</v>
      </c>
      <c r="H33" s="28" t="s">
        <v>506</v>
      </c>
      <c r="I33" s="30">
        <v>102.5</v>
      </c>
      <c r="J33" s="30"/>
      <c r="K33" s="31">
        <v>4994.5</v>
      </c>
      <c r="L33" s="31">
        <v>14400</v>
      </c>
      <c r="M33" s="31">
        <v>16050</v>
      </c>
      <c r="N33" s="32">
        <v>-0.65315972222222196</v>
      </c>
      <c r="O33" s="32">
        <v>-0.68881619937694705</v>
      </c>
      <c r="P33" s="30">
        <v>0.71180555555555602</v>
      </c>
      <c r="Q33" s="31">
        <v>34.6840277777778</v>
      </c>
    </row>
    <row r="34" spans="1:17" ht="15" customHeight="1" x14ac:dyDescent="0.2">
      <c r="A34" s="17" t="s">
        <v>219</v>
      </c>
      <c r="B34" s="18" t="s">
        <v>148</v>
      </c>
      <c r="C34" s="18" t="s">
        <v>180</v>
      </c>
      <c r="D34" s="20">
        <v>398</v>
      </c>
      <c r="E34" s="17" t="s">
        <v>504</v>
      </c>
      <c r="F34" s="19" t="s">
        <v>501</v>
      </c>
      <c r="G34" s="19" t="s">
        <v>505</v>
      </c>
      <c r="H34" s="19" t="s">
        <v>506</v>
      </c>
      <c r="I34" s="21">
        <v>459</v>
      </c>
      <c r="J34" s="21"/>
      <c r="K34" s="22">
        <v>21845.5</v>
      </c>
      <c r="L34" s="22">
        <v>57900</v>
      </c>
      <c r="M34" s="22">
        <v>59438</v>
      </c>
      <c r="N34" s="23">
        <v>-0.62270293609671901</v>
      </c>
      <c r="O34" s="23">
        <v>-0.63246576264342702</v>
      </c>
      <c r="P34" s="21">
        <v>1.1532663316582901</v>
      </c>
      <c r="Q34" s="22">
        <v>54.888190954773897</v>
      </c>
    </row>
    <row r="35" spans="1:17" ht="15" customHeight="1" x14ac:dyDescent="0.2">
      <c r="A35" s="26" t="s">
        <v>224</v>
      </c>
      <c r="B35" s="27" t="s">
        <v>148</v>
      </c>
      <c r="C35" s="27" t="s">
        <v>180</v>
      </c>
      <c r="D35" s="29">
        <v>71</v>
      </c>
      <c r="E35" s="26" t="s">
        <v>504</v>
      </c>
      <c r="F35" s="28" t="s">
        <v>501</v>
      </c>
      <c r="G35" s="28" t="s">
        <v>505</v>
      </c>
      <c r="H35" s="28" t="s">
        <v>506</v>
      </c>
      <c r="I35" s="30">
        <v>62.5</v>
      </c>
      <c r="J35" s="30"/>
      <c r="K35" s="31">
        <v>2980.5</v>
      </c>
      <c r="L35" s="31">
        <v>6390</v>
      </c>
      <c r="M35" s="31">
        <v>6531</v>
      </c>
      <c r="N35" s="32">
        <v>-0.53356807511737103</v>
      </c>
      <c r="O35" s="32">
        <v>-0.54363803399173205</v>
      </c>
      <c r="P35" s="30">
        <v>0.88028169014084501</v>
      </c>
      <c r="Q35" s="31">
        <v>41.978873239436602</v>
      </c>
    </row>
    <row r="36" spans="1:17" ht="15" customHeight="1" x14ac:dyDescent="0.2">
      <c r="A36" s="17" t="s">
        <v>230</v>
      </c>
      <c r="B36" s="18" t="s">
        <v>148</v>
      </c>
      <c r="C36" s="18" t="s">
        <v>180</v>
      </c>
      <c r="D36" s="20">
        <v>139</v>
      </c>
      <c r="E36" s="17" t="s">
        <v>504</v>
      </c>
      <c r="F36" s="19" t="s">
        <v>501</v>
      </c>
      <c r="G36" s="19" t="s">
        <v>505</v>
      </c>
      <c r="H36" s="19" t="s">
        <v>506</v>
      </c>
      <c r="I36" s="21">
        <v>47.5</v>
      </c>
      <c r="J36" s="21"/>
      <c r="K36" s="22">
        <v>2336.5</v>
      </c>
      <c r="L36" s="22">
        <v>11120</v>
      </c>
      <c r="M36" s="22">
        <v>12269</v>
      </c>
      <c r="N36" s="23">
        <v>-0.78988309352518005</v>
      </c>
      <c r="O36" s="23">
        <v>-0.809560681392126</v>
      </c>
      <c r="P36" s="21">
        <v>0.34172661870503601</v>
      </c>
      <c r="Q36" s="22">
        <v>16.809352517985602</v>
      </c>
    </row>
    <row r="37" spans="1:17" ht="15" customHeight="1" x14ac:dyDescent="0.2">
      <c r="A37" s="26" t="s">
        <v>236</v>
      </c>
      <c r="B37" s="27" t="s">
        <v>148</v>
      </c>
      <c r="C37" s="27" t="s">
        <v>180</v>
      </c>
      <c r="D37" s="29">
        <v>128</v>
      </c>
      <c r="E37" s="26" t="s">
        <v>504</v>
      </c>
      <c r="F37" s="28" t="s">
        <v>501</v>
      </c>
      <c r="G37" s="28" t="s">
        <v>505</v>
      </c>
      <c r="H37" s="28" t="s">
        <v>506</v>
      </c>
      <c r="I37" s="30">
        <v>72</v>
      </c>
      <c r="J37" s="30"/>
      <c r="K37" s="31">
        <v>3636.5</v>
      </c>
      <c r="L37" s="31">
        <v>13440</v>
      </c>
      <c r="M37" s="31">
        <v>14536</v>
      </c>
      <c r="N37" s="32">
        <v>-0.72942708333333295</v>
      </c>
      <c r="O37" s="32">
        <v>-0.74982801320858605</v>
      </c>
      <c r="P37" s="30">
        <v>0.5625</v>
      </c>
      <c r="Q37" s="31">
        <v>28.41015625</v>
      </c>
    </row>
    <row r="38" spans="1:17" ht="15" customHeight="1" x14ac:dyDescent="0.2">
      <c r="A38" s="17" t="s">
        <v>239</v>
      </c>
      <c r="B38" s="18" t="s">
        <v>148</v>
      </c>
      <c r="C38" s="18" t="s">
        <v>180</v>
      </c>
      <c r="D38" s="20">
        <v>92</v>
      </c>
      <c r="E38" s="17" t="s">
        <v>504</v>
      </c>
      <c r="F38" s="19" t="s">
        <v>501</v>
      </c>
      <c r="G38" s="19" t="s">
        <v>505</v>
      </c>
      <c r="H38" s="19" t="s">
        <v>506</v>
      </c>
      <c r="I38" s="21">
        <v>95</v>
      </c>
      <c r="J38" s="21"/>
      <c r="K38" s="22">
        <v>4434</v>
      </c>
      <c r="L38" s="22">
        <v>9200</v>
      </c>
      <c r="M38" s="22">
        <v>9200</v>
      </c>
      <c r="N38" s="23">
        <v>-0.51804347826087005</v>
      </c>
      <c r="O38" s="23">
        <v>-0.51804347826087005</v>
      </c>
      <c r="P38" s="21">
        <v>1.0326086956521701</v>
      </c>
      <c r="Q38" s="22">
        <v>48.195652173913103</v>
      </c>
    </row>
    <row r="39" spans="1:17" ht="15" customHeight="1" x14ac:dyDescent="0.2">
      <c r="A39" s="26" t="s">
        <v>245</v>
      </c>
      <c r="B39" s="27" t="s">
        <v>148</v>
      </c>
      <c r="C39" s="27" t="s">
        <v>180</v>
      </c>
      <c r="D39" s="29">
        <v>31</v>
      </c>
      <c r="E39" s="26" t="s">
        <v>504</v>
      </c>
      <c r="F39" s="28" t="s">
        <v>501</v>
      </c>
      <c r="G39" s="28" t="s">
        <v>505</v>
      </c>
      <c r="H39" s="28" t="s">
        <v>506</v>
      </c>
      <c r="I39" s="30">
        <v>71</v>
      </c>
      <c r="J39" s="30"/>
      <c r="K39" s="31">
        <v>3394</v>
      </c>
      <c r="L39" s="31">
        <v>5120</v>
      </c>
      <c r="M39" s="31">
        <v>5220</v>
      </c>
      <c r="N39" s="32">
        <v>-0.33710937499999999</v>
      </c>
      <c r="O39" s="32">
        <v>-0.34980842911877402</v>
      </c>
      <c r="P39" s="30">
        <v>2.2903225806451601</v>
      </c>
      <c r="Q39" s="31">
        <v>109.48387096774201</v>
      </c>
    </row>
    <row r="40" spans="1:17" ht="15" customHeight="1" x14ac:dyDescent="0.2">
      <c r="A40" s="17" t="s">
        <v>249</v>
      </c>
      <c r="B40" s="18" t="s">
        <v>148</v>
      </c>
      <c r="C40" s="18" t="s">
        <v>180</v>
      </c>
      <c r="D40" s="20">
        <v>122</v>
      </c>
      <c r="E40" s="17" t="s">
        <v>504</v>
      </c>
      <c r="F40" s="19" t="s">
        <v>501</v>
      </c>
      <c r="G40" s="19" t="s">
        <v>505</v>
      </c>
      <c r="H40" s="19" t="s">
        <v>506</v>
      </c>
      <c r="I40" s="21">
        <v>142.5</v>
      </c>
      <c r="J40" s="21"/>
      <c r="K40" s="22">
        <v>7079</v>
      </c>
      <c r="L40" s="22">
        <v>10110</v>
      </c>
      <c r="M40" s="22">
        <v>11810</v>
      </c>
      <c r="N40" s="23">
        <v>-0.299802176063304</v>
      </c>
      <c r="O40" s="23">
        <v>-0.40059271803556301</v>
      </c>
      <c r="P40" s="21">
        <v>1.16803278688525</v>
      </c>
      <c r="Q40" s="22">
        <v>58.024590163934398</v>
      </c>
    </row>
    <row r="41" spans="1:17" ht="15" customHeight="1" x14ac:dyDescent="0.2">
      <c r="A41" s="26" t="s">
        <v>254</v>
      </c>
      <c r="B41" s="27" t="s">
        <v>148</v>
      </c>
      <c r="C41" s="27" t="s">
        <v>180</v>
      </c>
      <c r="D41" s="29">
        <v>80</v>
      </c>
      <c r="E41" s="26" t="s">
        <v>504</v>
      </c>
      <c r="F41" s="28" t="s">
        <v>501</v>
      </c>
      <c r="G41" s="28" t="s">
        <v>505</v>
      </c>
      <c r="H41" s="28" t="s">
        <v>506</v>
      </c>
      <c r="I41" s="30">
        <v>32</v>
      </c>
      <c r="J41" s="30"/>
      <c r="K41" s="31">
        <v>1667</v>
      </c>
      <c r="L41" s="31">
        <v>7460</v>
      </c>
      <c r="M41" s="31">
        <v>7660</v>
      </c>
      <c r="N41" s="32">
        <v>-0.77654155495978605</v>
      </c>
      <c r="O41" s="32">
        <v>-0.78237597911227197</v>
      </c>
      <c r="P41" s="30">
        <v>0.4</v>
      </c>
      <c r="Q41" s="31">
        <v>20.837499999999999</v>
      </c>
    </row>
    <row r="42" spans="1:17" ht="15" customHeight="1" x14ac:dyDescent="0.2">
      <c r="A42" s="17" t="s">
        <v>259</v>
      </c>
      <c r="B42" s="18" t="s">
        <v>148</v>
      </c>
      <c r="C42" s="18" t="s">
        <v>180</v>
      </c>
      <c r="D42" s="20"/>
      <c r="E42" s="17" t="s">
        <v>504</v>
      </c>
      <c r="F42" s="19" t="s">
        <v>501</v>
      </c>
      <c r="G42" s="19" t="s">
        <v>505</v>
      </c>
      <c r="H42" s="19" t="s">
        <v>506</v>
      </c>
      <c r="I42" s="21">
        <v>3</v>
      </c>
      <c r="J42" s="21"/>
      <c r="K42" s="22">
        <v>159.5</v>
      </c>
      <c r="L42" s="22">
        <v>1128</v>
      </c>
      <c r="M42" s="22">
        <v>1128</v>
      </c>
      <c r="N42" s="23">
        <v>-0.85859929078014197</v>
      </c>
      <c r="O42" s="23">
        <v>-0.85859929078014197</v>
      </c>
      <c r="P42" s="21"/>
      <c r="Q42" s="22"/>
    </row>
    <row r="43" spans="1:17" ht="15" customHeight="1" x14ac:dyDescent="0.2">
      <c r="A43" s="26" t="s">
        <v>263</v>
      </c>
      <c r="B43" s="27" t="s">
        <v>148</v>
      </c>
      <c r="C43" s="27" t="s">
        <v>180</v>
      </c>
      <c r="D43" s="29">
        <v>55</v>
      </c>
      <c r="E43" s="26" t="s">
        <v>504</v>
      </c>
      <c r="F43" s="28" t="s">
        <v>501</v>
      </c>
      <c r="G43" s="28" t="s">
        <v>505</v>
      </c>
      <c r="H43" s="28" t="s">
        <v>506</v>
      </c>
      <c r="I43" s="30">
        <v>44</v>
      </c>
      <c r="J43" s="30"/>
      <c r="K43" s="31">
        <v>2160</v>
      </c>
      <c r="L43" s="31">
        <v>5225</v>
      </c>
      <c r="M43" s="31">
        <v>5225</v>
      </c>
      <c r="N43" s="32">
        <v>-0.58660287081339701</v>
      </c>
      <c r="O43" s="32">
        <v>-0.58660287081339701</v>
      </c>
      <c r="P43" s="30">
        <v>0.8</v>
      </c>
      <c r="Q43" s="31">
        <v>39.272727272727302</v>
      </c>
    </row>
    <row r="44" spans="1:17" ht="15" customHeight="1" x14ac:dyDescent="0.2">
      <c r="A44" s="17" t="s">
        <v>266</v>
      </c>
      <c r="B44" s="18" t="s">
        <v>148</v>
      </c>
      <c r="C44" s="18" t="s">
        <v>267</v>
      </c>
      <c r="D44" s="20">
        <v>108</v>
      </c>
      <c r="E44" s="17" t="s">
        <v>504</v>
      </c>
      <c r="F44" s="19" t="s">
        <v>501</v>
      </c>
      <c r="G44" s="19" t="s">
        <v>505</v>
      </c>
      <c r="H44" s="19" t="s">
        <v>506</v>
      </c>
      <c r="I44" s="21">
        <v>100</v>
      </c>
      <c r="J44" s="21"/>
      <c r="K44" s="22">
        <v>5242</v>
      </c>
      <c r="L44" s="22">
        <v>8640</v>
      </c>
      <c r="M44" s="22">
        <v>9440</v>
      </c>
      <c r="N44" s="23">
        <v>-0.39328703703703699</v>
      </c>
      <c r="O44" s="23">
        <v>-0.444703389830509</v>
      </c>
      <c r="P44" s="21">
        <v>0.92592592592592604</v>
      </c>
      <c r="Q44" s="22">
        <v>48.537037037037003</v>
      </c>
    </row>
    <row r="45" spans="1:17" ht="15" customHeight="1" x14ac:dyDescent="0.2">
      <c r="A45" s="26" t="s">
        <v>270</v>
      </c>
      <c r="B45" s="27" t="s">
        <v>148</v>
      </c>
      <c r="C45" s="27" t="s">
        <v>267</v>
      </c>
      <c r="D45" s="29">
        <v>75</v>
      </c>
      <c r="E45" s="26" t="s">
        <v>504</v>
      </c>
      <c r="F45" s="28" t="s">
        <v>501</v>
      </c>
      <c r="G45" s="28" t="s">
        <v>505</v>
      </c>
      <c r="H45" s="28" t="s">
        <v>506</v>
      </c>
      <c r="I45" s="30">
        <v>33</v>
      </c>
      <c r="J45" s="30"/>
      <c r="K45" s="31">
        <v>1676</v>
      </c>
      <c r="L45" s="31">
        <v>5760</v>
      </c>
      <c r="M45" s="31">
        <v>5760</v>
      </c>
      <c r="N45" s="32">
        <v>-0.70902777777777803</v>
      </c>
      <c r="O45" s="32">
        <v>-0.70902777777777803</v>
      </c>
      <c r="P45" s="30">
        <v>0.44</v>
      </c>
      <c r="Q45" s="31">
        <v>22.3466666666667</v>
      </c>
    </row>
    <row r="46" spans="1:17" ht="15" customHeight="1" x14ac:dyDescent="0.2">
      <c r="A46" s="17" t="s">
        <v>272</v>
      </c>
      <c r="B46" s="18" t="s">
        <v>148</v>
      </c>
      <c r="C46" s="18" t="s">
        <v>267</v>
      </c>
      <c r="D46" s="20">
        <v>89</v>
      </c>
      <c r="E46" s="17" t="s">
        <v>504</v>
      </c>
      <c r="F46" s="19" t="s">
        <v>501</v>
      </c>
      <c r="G46" s="19" t="s">
        <v>505</v>
      </c>
      <c r="H46" s="19" t="s">
        <v>506</v>
      </c>
      <c r="I46" s="21">
        <v>69.5</v>
      </c>
      <c r="J46" s="21"/>
      <c r="K46" s="22">
        <v>3510.5</v>
      </c>
      <c r="L46" s="22">
        <v>12900</v>
      </c>
      <c r="M46" s="22">
        <v>13200</v>
      </c>
      <c r="N46" s="23">
        <v>-0.72786821705426397</v>
      </c>
      <c r="O46" s="23">
        <v>-0.73405303030303004</v>
      </c>
      <c r="P46" s="21">
        <v>0.78089887640449396</v>
      </c>
      <c r="Q46" s="22">
        <v>39.443820224719097</v>
      </c>
    </row>
    <row r="47" spans="1:17" ht="15" customHeight="1" x14ac:dyDescent="0.2">
      <c r="A47" s="26" t="s">
        <v>275</v>
      </c>
      <c r="B47" s="27" t="s">
        <v>148</v>
      </c>
      <c r="C47" s="27" t="s">
        <v>267</v>
      </c>
      <c r="D47" s="29">
        <v>78</v>
      </c>
      <c r="E47" s="26" t="s">
        <v>504</v>
      </c>
      <c r="F47" s="28" t="s">
        <v>501</v>
      </c>
      <c r="G47" s="28" t="s">
        <v>505</v>
      </c>
      <c r="H47" s="28" t="s">
        <v>506</v>
      </c>
      <c r="I47" s="30">
        <v>30.5</v>
      </c>
      <c r="J47" s="30"/>
      <c r="K47" s="31">
        <v>1590.75</v>
      </c>
      <c r="L47" s="31">
        <v>6750</v>
      </c>
      <c r="M47" s="31">
        <v>6750</v>
      </c>
      <c r="N47" s="32">
        <v>-0.76433333333333298</v>
      </c>
      <c r="O47" s="32">
        <v>-0.76433333333333298</v>
      </c>
      <c r="P47" s="30">
        <v>0.39102564102564102</v>
      </c>
      <c r="Q47" s="31">
        <v>20.394230769230798</v>
      </c>
    </row>
    <row r="48" spans="1:17" ht="15" customHeight="1" x14ac:dyDescent="0.2">
      <c r="A48" s="17" t="s">
        <v>277</v>
      </c>
      <c r="B48" s="18" t="s">
        <v>148</v>
      </c>
      <c r="C48" s="18" t="s">
        <v>267</v>
      </c>
      <c r="D48" s="20">
        <v>158</v>
      </c>
      <c r="E48" s="17" t="s">
        <v>504</v>
      </c>
      <c r="F48" s="19" t="s">
        <v>501</v>
      </c>
      <c r="G48" s="19" t="s">
        <v>505</v>
      </c>
      <c r="H48" s="19" t="s">
        <v>506</v>
      </c>
      <c r="I48" s="21">
        <v>183.5</v>
      </c>
      <c r="J48" s="21"/>
      <c r="K48" s="22">
        <v>9511.5</v>
      </c>
      <c r="L48" s="22">
        <v>12640</v>
      </c>
      <c r="M48" s="22">
        <v>13040</v>
      </c>
      <c r="N48" s="23">
        <v>-0.24750791139240499</v>
      </c>
      <c r="O48" s="23">
        <v>-0.27059049079754599</v>
      </c>
      <c r="P48" s="21">
        <v>1.16139240506329</v>
      </c>
      <c r="Q48" s="22">
        <v>60.199367088607602</v>
      </c>
    </row>
    <row r="49" spans="1:17" ht="15" customHeight="1" x14ac:dyDescent="0.2">
      <c r="A49" s="26" t="s">
        <v>280</v>
      </c>
      <c r="B49" s="27" t="s">
        <v>148</v>
      </c>
      <c r="C49" s="27" t="s">
        <v>267</v>
      </c>
      <c r="D49" s="29">
        <v>110</v>
      </c>
      <c r="E49" s="26" t="s">
        <v>504</v>
      </c>
      <c r="F49" s="28" t="s">
        <v>501</v>
      </c>
      <c r="G49" s="28" t="s">
        <v>505</v>
      </c>
      <c r="H49" s="28" t="s">
        <v>506</v>
      </c>
      <c r="I49" s="30">
        <v>69</v>
      </c>
      <c r="J49" s="30"/>
      <c r="K49" s="31">
        <v>3541</v>
      </c>
      <c r="L49" s="31">
        <v>13750</v>
      </c>
      <c r="M49" s="31">
        <v>14050</v>
      </c>
      <c r="N49" s="32">
        <v>-0.74247272727272695</v>
      </c>
      <c r="O49" s="32">
        <v>-0.74797153024911001</v>
      </c>
      <c r="P49" s="30">
        <v>0.62727272727272698</v>
      </c>
      <c r="Q49" s="31">
        <v>32.190909090909102</v>
      </c>
    </row>
    <row r="50" spans="1:17" ht="15" customHeight="1" x14ac:dyDescent="0.2">
      <c r="A50" s="17" t="s">
        <v>282</v>
      </c>
      <c r="B50" s="18" t="s">
        <v>148</v>
      </c>
      <c r="C50" s="18" t="s">
        <v>267</v>
      </c>
      <c r="D50" s="20">
        <v>70</v>
      </c>
      <c r="E50" s="17" t="s">
        <v>504</v>
      </c>
      <c r="F50" s="19" t="s">
        <v>501</v>
      </c>
      <c r="G50" s="19" t="s">
        <v>505</v>
      </c>
      <c r="H50" s="19" t="s">
        <v>506</v>
      </c>
      <c r="I50" s="21">
        <v>49.5</v>
      </c>
      <c r="J50" s="21"/>
      <c r="K50" s="22">
        <v>2402</v>
      </c>
      <c r="L50" s="22">
        <v>4200</v>
      </c>
      <c r="M50" s="22">
        <v>4250</v>
      </c>
      <c r="N50" s="23">
        <v>-0.42809523809523797</v>
      </c>
      <c r="O50" s="23">
        <v>-0.434823529411765</v>
      </c>
      <c r="P50" s="21">
        <v>0.70714285714285696</v>
      </c>
      <c r="Q50" s="22">
        <v>34.314285714285703</v>
      </c>
    </row>
    <row r="51" spans="1:17" ht="15" customHeight="1" x14ac:dyDescent="0.2">
      <c r="A51" s="26" t="s">
        <v>284</v>
      </c>
      <c r="B51" s="27" t="s">
        <v>148</v>
      </c>
      <c r="C51" s="27" t="s">
        <v>267</v>
      </c>
      <c r="D51" s="29">
        <v>72</v>
      </c>
      <c r="E51" s="26" t="s">
        <v>504</v>
      </c>
      <c r="F51" s="28" t="s">
        <v>501</v>
      </c>
      <c r="G51" s="28" t="s">
        <v>505</v>
      </c>
      <c r="H51" s="28" t="s">
        <v>506</v>
      </c>
      <c r="I51" s="30">
        <v>63.5</v>
      </c>
      <c r="J51" s="30"/>
      <c r="K51" s="31">
        <v>3089.5</v>
      </c>
      <c r="L51" s="31">
        <v>4320</v>
      </c>
      <c r="M51" s="31">
        <v>4420</v>
      </c>
      <c r="N51" s="32">
        <v>-0.28483796296296299</v>
      </c>
      <c r="O51" s="32">
        <v>-0.30101809954751102</v>
      </c>
      <c r="P51" s="30">
        <v>0.88194444444444398</v>
      </c>
      <c r="Q51" s="31">
        <v>42.9097222222222</v>
      </c>
    </row>
    <row r="52" spans="1:17" ht="15" customHeight="1" x14ac:dyDescent="0.2">
      <c r="A52" s="17" t="s">
        <v>285</v>
      </c>
      <c r="B52" s="18" t="s">
        <v>148</v>
      </c>
      <c r="C52" s="18" t="s">
        <v>267</v>
      </c>
      <c r="D52" s="20">
        <v>296</v>
      </c>
      <c r="E52" s="17" t="s">
        <v>504</v>
      </c>
      <c r="F52" s="19" t="s">
        <v>501</v>
      </c>
      <c r="G52" s="19" t="s">
        <v>505</v>
      </c>
      <c r="H52" s="19" t="s">
        <v>506</v>
      </c>
      <c r="I52" s="21">
        <v>77.5</v>
      </c>
      <c r="J52" s="21"/>
      <c r="K52" s="22">
        <v>3977.5</v>
      </c>
      <c r="L52" s="22">
        <v>15000</v>
      </c>
      <c r="M52" s="22">
        <v>15200</v>
      </c>
      <c r="N52" s="23">
        <v>-0.73483333333333301</v>
      </c>
      <c r="O52" s="23">
        <v>-0.73832236842105303</v>
      </c>
      <c r="P52" s="21">
        <v>0.26182432432432401</v>
      </c>
      <c r="Q52" s="22">
        <v>13.4375</v>
      </c>
    </row>
    <row r="53" spans="1:17" ht="15" customHeight="1" x14ac:dyDescent="0.2">
      <c r="A53" s="26" t="s">
        <v>286</v>
      </c>
      <c r="B53" s="27" t="s">
        <v>148</v>
      </c>
      <c r="C53" s="27" t="s">
        <v>267</v>
      </c>
      <c r="D53" s="29">
        <v>50</v>
      </c>
      <c r="E53" s="26" t="s">
        <v>504</v>
      </c>
      <c r="F53" s="28" t="s">
        <v>501</v>
      </c>
      <c r="G53" s="28" t="s">
        <v>505</v>
      </c>
      <c r="H53" s="28" t="s">
        <v>506</v>
      </c>
      <c r="I53" s="30">
        <v>26</v>
      </c>
      <c r="J53" s="30"/>
      <c r="K53" s="31">
        <v>1419.75</v>
      </c>
      <c r="L53" s="31">
        <v>7000</v>
      </c>
      <c r="M53" s="31">
        <v>7050</v>
      </c>
      <c r="N53" s="32">
        <v>-0.79717857142857096</v>
      </c>
      <c r="O53" s="32">
        <v>-0.79861702127659595</v>
      </c>
      <c r="P53" s="30">
        <v>0.52</v>
      </c>
      <c r="Q53" s="31">
        <v>28.395</v>
      </c>
    </row>
    <row r="54" spans="1:17" ht="15" customHeight="1" x14ac:dyDescent="0.2">
      <c r="A54" s="17" t="s">
        <v>287</v>
      </c>
      <c r="B54" s="18" t="s">
        <v>148</v>
      </c>
      <c r="C54" s="18" t="s">
        <v>267</v>
      </c>
      <c r="D54" s="20">
        <v>163</v>
      </c>
      <c r="E54" s="17" t="s">
        <v>504</v>
      </c>
      <c r="F54" s="19" t="s">
        <v>501</v>
      </c>
      <c r="G54" s="19" t="s">
        <v>505</v>
      </c>
      <c r="H54" s="19" t="s">
        <v>506</v>
      </c>
      <c r="I54" s="21">
        <v>115.5</v>
      </c>
      <c r="J54" s="21"/>
      <c r="K54" s="22">
        <v>6172.5</v>
      </c>
      <c r="L54" s="22">
        <v>16300</v>
      </c>
      <c r="M54" s="22">
        <v>16550</v>
      </c>
      <c r="N54" s="23">
        <v>-0.621319018404908</v>
      </c>
      <c r="O54" s="23">
        <v>-0.62703927492447098</v>
      </c>
      <c r="P54" s="21">
        <v>0.70858895705521496</v>
      </c>
      <c r="Q54" s="22">
        <v>37.868098159509202</v>
      </c>
    </row>
    <row r="55" spans="1:17" ht="15" customHeight="1" x14ac:dyDescent="0.2">
      <c r="A55" s="26" t="s">
        <v>289</v>
      </c>
      <c r="B55" s="27" t="s">
        <v>148</v>
      </c>
      <c r="C55" s="27" t="s">
        <v>267</v>
      </c>
      <c r="D55" s="29">
        <v>107</v>
      </c>
      <c r="E55" s="26" t="s">
        <v>504</v>
      </c>
      <c r="F55" s="28" t="s">
        <v>501</v>
      </c>
      <c r="G55" s="28" t="s">
        <v>505</v>
      </c>
      <c r="H55" s="28" t="s">
        <v>506</v>
      </c>
      <c r="I55" s="30"/>
      <c r="J55" s="30"/>
      <c r="K55" s="31">
        <v>5783</v>
      </c>
      <c r="L55" s="31">
        <v>10700</v>
      </c>
      <c r="M55" s="31">
        <v>11000</v>
      </c>
      <c r="N55" s="32">
        <v>-0.45953271028037401</v>
      </c>
      <c r="O55" s="32">
        <v>-0.47427272727272701</v>
      </c>
      <c r="P55" s="30"/>
      <c r="Q55" s="31">
        <v>54.046728971962601</v>
      </c>
    </row>
    <row r="56" spans="1:17" ht="15" customHeight="1" x14ac:dyDescent="0.2">
      <c r="A56" s="17" t="s">
        <v>292</v>
      </c>
      <c r="B56" s="18" t="s">
        <v>148</v>
      </c>
      <c r="C56" s="18" t="s">
        <v>267</v>
      </c>
      <c r="D56" s="20">
        <v>136</v>
      </c>
      <c r="E56" s="17" t="s">
        <v>504</v>
      </c>
      <c r="F56" s="19" t="s">
        <v>501</v>
      </c>
      <c r="G56" s="19" t="s">
        <v>505</v>
      </c>
      <c r="H56" s="19" t="s">
        <v>506</v>
      </c>
      <c r="I56" s="21">
        <v>27</v>
      </c>
      <c r="J56" s="21"/>
      <c r="K56" s="22">
        <v>1448.5</v>
      </c>
      <c r="L56" s="22">
        <v>10800</v>
      </c>
      <c r="M56" s="22">
        <v>10900</v>
      </c>
      <c r="N56" s="23">
        <v>-0.86587962962963005</v>
      </c>
      <c r="O56" s="23">
        <v>-0.86711009174311904</v>
      </c>
      <c r="P56" s="21">
        <v>0.19852941176470601</v>
      </c>
      <c r="Q56" s="22">
        <v>10.6507352941177</v>
      </c>
    </row>
    <row r="57" spans="1:17" ht="15" customHeight="1" x14ac:dyDescent="0.2">
      <c r="A57" s="26" t="s">
        <v>295</v>
      </c>
      <c r="B57" s="27" t="s">
        <v>148</v>
      </c>
      <c r="C57" s="27" t="s">
        <v>267</v>
      </c>
      <c r="D57" s="29">
        <v>68</v>
      </c>
      <c r="E57" s="26" t="s">
        <v>504</v>
      </c>
      <c r="F57" s="28" t="s">
        <v>501</v>
      </c>
      <c r="G57" s="28" t="s">
        <v>505</v>
      </c>
      <c r="H57" s="28" t="s">
        <v>506</v>
      </c>
      <c r="I57" s="30">
        <v>54</v>
      </c>
      <c r="J57" s="30"/>
      <c r="K57" s="31">
        <v>2903.5</v>
      </c>
      <c r="L57" s="31">
        <v>6120</v>
      </c>
      <c r="M57" s="31">
        <v>6220</v>
      </c>
      <c r="N57" s="32">
        <v>-0.52557189542483695</v>
      </c>
      <c r="O57" s="32">
        <v>-0.53319935691318299</v>
      </c>
      <c r="P57" s="30">
        <v>0.79411764705882404</v>
      </c>
      <c r="Q57" s="31">
        <v>42.698529411764703</v>
      </c>
    </row>
    <row r="58" spans="1:17" ht="15" customHeight="1" x14ac:dyDescent="0.2">
      <c r="A58" s="17" t="s">
        <v>298</v>
      </c>
      <c r="B58" s="18" t="s">
        <v>148</v>
      </c>
      <c r="C58" s="18" t="s">
        <v>267</v>
      </c>
      <c r="D58" s="20">
        <v>98</v>
      </c>
      <c r="E58" s="17" t="s">
        <v>504</v>
      </c>
      <c r="F58" s="19" t="s">
        <v>501</v>
      </c>
      <c r="G58" s="19" t="s">
        <v>505</v>
      </c>
      <c r="H58" s="19" t="s">
        <v>506</v>
      </c>
      <c r="I58" s="21">
        <v>27</v>
      </c>
      <c r="J58" s="21"/>
      <c r="K58" s="22">
        <v>1582</v>
      </c>
      <c r="L58" s="22">
        <v>7920</v>
      </c>
      <c r="M58" s="22">
        <v>8920</v>
      </c>
      <c r="N58" s="23">
        <v>-0.80025252525252499</v>
      </c>
      <c r="O58" s="23">
        <v>-0.82264573991031398</v>
      </c>
      <c r="P58" s="21">
        <v>0.27551020408163301</v>
      </c>
      <c r="Q58" s="22">
        <v>16.1428571428571</v>
      </c>
    </row>
    <row r="59" spans="1:17" ht="15" customHeight="1" x14ac:dyDescent="0.2">
      <c r="A59" s="26" t="s">
        <v>300</v>
      </c>
      <c r="B59" s="27" t="s">
        <v>148</v>
      </c>
      <c r="C59" s="27" t="s">
        <v>267</v>
      </c>
      <c r="D59" s="29">
        <v>321</v>
      </c>
      <c r="E59" s="26" t="s">
        <v>504</v>
      </c>
      <c r="F59" s="28" t="s">
        <v>501</v>
      </c>
      <c r="G59" s="28" t="s">
        <v>505</v>
      </c>
      <c r="H59" s="28" t="s">
        <v>506</v>
      </c>
      <c r="I59" s="30">
        <v>150</v>
      </c>
      <c r="J59" s="30"/>
      <c r="K59" s="31">
        <v>8525.5</v>
      </c>
      <c r="L59" s="31">
        <v>38520</v>
      </c>
      <c r="M59" s="31">
        <v>38620</v>
      </c>
      <c r="N59" s="32">
        <v>-0.778673416407061</v>
      </c>
      <c r="O59" s="32">
        <v>-0.77924650440186405</v>
      </c>
      <c r="P59" s="30">
        <v>0.467289719626168</v>
      </c>
      <c r="Q59" s="31">
        <v>26.559190031152699</v>
      </c>
    </row>
    <row r="60" spans="1:17" ht="15" customHeight="1" x14ac:dyDescent="0.2">
      <c r="A60" s="17" t="s">
        <v>302</v>
      </c>
      <c r="B60" s="18" t="s">
        <v>148</v>
      </c>
      <c r="C60" s="18" t="s">
        <v>267</v>
      </c>
      <c r="D60" s="20">
        <v>111</v>
      </c>
      <c r="E60" s="17" t="s">
        <v>504</v>
      </c>
      <c r="F60" s="19" t="s">
        <v>501</v>
      </c>
      <c r="G60" s="19" t="s">
        <v>505</v>
      </c>
      <c r="H60" s="19" t="s">
        <v>506</v>
      </c>
      <c r="I60" s="21">
        <v>65</v>
      </c>
      <c r="J60" s="21"/>
      <c r="K60" s="22">
        <v>3488.5</v>
      </c>
      <c r="L60" s="22">
        <v>9630</v>
      </c>
      <c r="M60" s="22">
        <v>9980</v>
      </c>
      <c r="N60" s="23">
        <v>-0.63774662512980296</v>
      </c>
      <c r="O60" s="23">
        <v>-0.65045090180360698</v>
      </c>
      <c r="P60" s="21">
        <v>0.58558558558558604</v>
      </c>
      <c r="Q60" s="22">
        <v>31.4279279279279</v>
      </c>
    </row>
    <row r="61" spans="1:17" ht="15" customHeight="1" x14ac:dyDescent="0.2">
      <c r="A61" s="26" t="s">
        <v>304</v>
      </c>
      <c r="B61" s="27" t="s">
        <v>148</v>
      </c>
      <c r="C61" s="27" t="s">
        <v>267</v>
      </c>
      <c r="D61" s="29">
        <v>77</v>
      </c>
      <c r="E61" s="26" t="s">
        <v>504</v>
      </c>
      <c r="F61" s="28" t="s">
        <v>501</v>
      </c>
      <c r="G61" s="28" t="s">
        <v>505</v>
      </c>
      <c r="H61" s="28" t="s">
        <v>506</v>
      </c>
      <c r="I61" s="30">
        <v>30.5</v>
      </c>
      <c r="J61" s="30"/>
      <c r="K61" s="31">
        <v>1731.5</v>
      </c>
      <c r="L61" s="31">
        <v>6930</v>
      </c>
      <c r="M61" s="31">
        <v>6980</v>
      </c>
      <c r="N61" s="32">
        <v>-0.7501443001443</v>
      </c>
      <c r="O61" s="32">
        <v>-0.75193409742120298</v>
      </c>
      <c r="P61" s="30">
        <v>0.39610389610389601</v>
      </c>
      <c r="Q61" s="31">
        <v>22.487012987012999</v>
      </c>
    </row>
    <row r="62" spans="1:17" ht="15" customHeight="1" x14ac:dyDescent="0.2">
      <c r="A62" s="17" t="s">
        <v>306</v>
      </c>
      <c r="B62" s="18" t="s">
        <v>148</v>
      </c>
      <c r="C62" s="18" t="s">
        <v>267</v>
      </c>
      <c r="D62" s="20">
        <v>365</v>
      </c>
      <c r="E62" s="17" t="s">
        <v>504</v>
      </c>
      <c r="F62" s="19" t="s">
        <v>501</v>
      </c>
      <c r="G62" s="19" t="s">
        <v>505</v>
      </c>
      <c r="H62" s="19" t="s">
        <v>506</v>
      </c>
      <c r="I62" s="21">
        <v>194.5</v>
      </c>
      <c r="J62" s="21"/>
      <c r="K62" s="22">
        <v>10931.5</v>
      </c>
      <c r="L62" s="22">
        <v>24225</v>
      </c>
      <c r="M62" s="22">
        <v>24225</v>
      </c>
      <c r="N62" s="23">
        <v>-0.54875128998968004</v>
      </c>
      <c r="O62" s="23">
        <v>-0.54875128998968004</v>
      </c>
      <c r="P62" s="21">
        <v>0.53287671232876699</v>
      </c>
      <c r="Q62" s="22">
        <v>29.949315068493199</v>
      </c>
    </row>
    <row r="63" spans="1:17" ht="15" customHeight="1" x14ac:dyDescent="0.2">
      <c r="A63" s="26" t="s">
        <v>309</v>
      </c>
      <c r="B63" s="27" t="s">
        <v>148</v>
      </c>
      <c r="C63" s="27" t="s">
        <v>267</v>
      </c>
      <c r="D63" s="29">
        <v>270</v>
      </c>
      <c r="E63" s="26" t="s">
        <v>504</v>
      </c>
      <c r="F63" s="28" t="s">
        <v>501</v>
      </c>
      <c r="G63" s="28" t="s">
        <v>505</v>
      </c>
      <c r="H63" s="28" t="s">
        <v>506</v>
      </c>
      <c r="I63" s="30">
        <v>20</v>
      </c>
      <c r="J63" s="30"/>
      <c r="K63" s="31">
        <v>1166</v>
      </c>
      <c r="L63" s="31">
        <v>39900</v>
      </c>
      <c r="M63" s="31">
        <v>39900</v>
      </c>
      <c r="N63" s="32">
        <v>-0.97077694235588996</v>
      </c>
      <c r="O63" s="32">
        <v>-0.97077694235588996</v>
      </c>
      <c r="P63" s="30">
        <v>7.4074074074074098E-2</v>
      </c>
      <c r="Q63" s="31">
        <v>4.3185185185185198</v>
      </c>
    </row>
    <row r="64" spans="1:17" ht="15" customHeight="1" x14ac:dyDescent="0.2">
      <c r="A64" s="35" t="s">
        <v>312</v>
      </c>
      <c r="B64" s="36" t="s">
        <v>313</v>
      </c>
      <c r="C64" s="36" t="s">
        <v>267</v>
      </c>
      <c r="D64" s="38">
        <v>170</v>
      </c>
      <c r="E64" s="35" t="s">
        <v>504</v>
      </c>
      <c r="F64" s="37" t="s">
        <v>501</v>
      </c>
      <c r="G64" s="37" t="s">
        <v>505</v>
      </c>
      <c r="H64" s="37" t="s">
        <v>506</v>
      </c>
      <c r="I64" s="39">
        <v>149.5</v>
      </c>
      <c r="J64" s="39"/>
      <c r="K64" s="40">
        <v>10219</v>
      </c>
      <c r="L64" s="40">
        <v>12750</v>
      </c>
      <c r="M64" s="40">
        <v>13000</v>
      </c>
      <c r="N64" s="41">
        <v>-0.198509803921569</v>
      </c>
      <c r="O64" s="41">
        <v>-0.21392307692307699</v>
      </c>
      <c r="P64" s="39">
        <v>0.879411764705882</v>
      </c>
      <c r="Q64" s="40">
        <v>60.111764705882401</v>
      </c>
    </row>
    <row r="65" spans="1:17" ht="15" customHeight="1" x14ac:dyDescent="0.2">
      <c r="A65" s="35" t="s">
        <v>316</v>
      </c>
      <c r="B65" s="36" t="s">
        <v>313</v>
      </c>
      <c r="C65" s="36" t="s">
        <v>267</v>
      </c>
      <c r="D65" s="38">
        <v>234</v>
      </c>
      <c r="E65" s="35" t="s">
        <v>504</v>
      </c>
      <c r="F65" s="37" t="s">
        <v>501</v>
      </c>
      <c r="G65" s="37" t="s">
        <v>505</v>
      </c>
      <c r="H65" s="37" t="s">
        <v>506</v>
      </c>
      <c r="I65" s="39">
        <v>171</v>
      </c>
      <c r="J65" s="39"/>
      <c r="K65" s="40">
        <v>11762</v>
      </c>
      <c r="L65" s="40">
        <v>15210</v>
      </c>
      <c r="M65" s="40">
        <v>16210</v>
      </c>
      <c r="N65" s="41">
        <v>-0.22669296515450399</v>
      </c>
      <c r="O65" s="41">
        <v>-0.27439851943244897</v>
      </c>
      <c r="P65" s="39">
        <v>0.73076923076923095</v>
      </c>
      <c r="Q65" s="40">
        <v>50.264957264957303</v>
      </c>
    </row>
    <row r="66" spans="1:17" ht="15" customHeight="1" x14ac:dyDescent="0.2">
      <c r="A66" s="35" t="s">
        <v>319</v>
      </c>
      <c r="B66" s="36" t="s">
        <v>313</v>
      </c>
      <c r="C66" s="36" t="s">
        <v>267</v>
      </c>
      <c r="D66" s="38">
        <v>24</v>
      </c>
      <c r="E66" s="35" t="s">
        <v>504</v>
      </c>
      <c r="F66" s="37" t="s">
        <v>501</v>
      </c>
      <c r="G66" s="37" t="s">
        <v>505</v>
      </c>
      <c r="H66" s="37" t="s">
        <v>506</v>
      </c>
      <c r="I66" s="39">
        <v>63.5</v>
      </c>
      <c r="J66" s="39"/>
      <c r="K66" s="40">
        <v>4363.5</v>
      </c>
      <c r="L66" s="40">
        <v>2400</v>
      </c>
      <c r="M66" s="40">
        <v>2400</v>
      </c>
      <c r="N66" s="41">
        <v>0.81812499999999999</v>
      </c>
      <c r="O66" s="41">
        <v>0.81812499999999999</v>
      </c>
      <c r="P66" s="39">
        <v>2.6458333333333299</v>
      </c>
      <c r="Q66" s="40">
        <v>181.8125</v>
      </c>
    </row>
    <row r="67" spans="1:17" ht="15" customHeight="1" x14ac:dyDescent="0.2">
      <c r="A67" s="35" t="s">
        <v>325</v>
      </c>
      <c r="B67" s="36" t="s">
        <v>313</v>
      </c>
      <c r="C67" s="36" t="s">
        <v>267</v>
      </c>
      <c r="D67" s="38">
        <v>146</v>
      </c>
      <c r="E67" s="35" t="s">
        <v>504</v>
      </c>
      <c r="F67" s="37" t="s">
        <v>501</v>
      </c>
      <c r="G67" s="37" t="s">
        <v>505</v>
      </c>
      <c r="H67" s="37" t="s">
        <v>506</v>
      </c>
      <c r="I67" s="39">
        <v>1</v>
      </c>
      <c r="J67" s="39"/>
      <c r="K67" s="40">
        <v>69</v>
      </c>
      <c r="L67" s="40"/>
      <c r="M67" s="40"/>
      <c r="N67" s="41"/>
      <c r="O67" s="41"/>
      <c r="P67" s="39">
        <v>6.8493150684931503E-3</v>
      </c>
      <c r="Q67" s="40">
        <v>0.47260273972602701</v>
      </c>
    </row>
    <row r="68" spans="1:17" ht="15" customHeight="1" x14ac:dyDescent="0.2">
      <c r="A68" s="35" t="s">
        <v>327</v>
      </c>
      <c r="B68" s="36" t="s">
        <v>313</v>
      </c>
      <c r="C68" s="36" t="s">
        <v>267</v>
      </c>
      <c r="D68" s="38">
        <v>244</v>
      </c>
      <c r="E68" s="35" t="s">
        <v>504</v>
      </c>
      <c r="F68" s="37" t="s">
        <v>501</v>
      </c>
      <c r="G68" s="37" t="s">
        <v>505</v>
      </c>
      <c r="H68" s="37" t="s">
        <v>506</v>
      </c>
      <c r="I68" s="39">
        <v>136</v>
      </c>
      <c r="J68" s="39"/>
      <c r="K68" s="40">
        <v>9357</v>
      </c>
      <c r="L68" s="40">
        <v>12200</v>
      </c>
      <c r="M68" s="40">
        <v>12700</v>
      </c>
      <c r="N68" s="41">
        <v>-0.23303278688524601</v>
      </c>
      <c r="O68" s="41">
        <v>-0.26322834645669302</v>
      </c>
      <c r="P68" s="39">
        <v>0.55737704918032804</v>
      </c>
      <c r="Q68" s="40">
        <v>38.3483606557377</v>
      </c>
    </row>
    <row r="69" spans="1:17" ht="15" customHeight="1" x14ac:dyDescent="0.2">
      <c r="A69" s="35" t="s">
        <v>329</v>
      </c>
      <c r="B69" s="36" t="s">
        <v>313</v>
      </c>
      <c r="C69" s="36" t="s">
        <v>330</v>
      </c>
      <c r="D69" s="38">
        <v>186</v>
      </c>
      <c r="E69" s="35" t="s">
        <v>504</v>
      </c>
      <c r="F69" s="37" t="s">
        <v>501</v>
      </c>
      <c r="G69" s="37" t="s">
        <v>505</v>
      </c>
      <c r="H69" s="37" t="s">
        <v>506</v>
      </c>
      <c r="I69" s="39">
        <v>35</v>
      </c>
      <c r="J69" s="39"/>
      <c r="K69" s="40">
        <v>2415</v>
      </c>
      <c r="L69" s="40">
        <v>12090</v>
      </c>
      <c r="M69" s="40">
        <v>12090</v>
      </c>
      <c r="N69" s="41">
        <v>-0.80024813895781599</v>
      </c>
      <c r="O69" s="41">
        <v>-0.80024813895781599</v>
      </c>
      <c r="P69" s="39">
        <v>0.18817204301075299</v>
      </c>
      <c r="Q69" s="40">
        <v>12.9838709677419</v>
      </c>
    </row>
    <row r="70" spans="1:17" ht="15" customHeight="1" x14ac:dyDescent="0.2">
      <c r="A70" s="35" t="s">
        <v>334</v>
      </c>
      <c r="B70" s="36" t="s">
        <v>313</v>
      </c>
      <c r="C70" s="36" t="s">
        <v>330</v>
      </c>
      <c r="D70" s="38">
        <v>20</v>
      </c>
      <c r="E70" s="35" t="s">
        <v>504</v>
      </c>
      <c r="F70" s="37" t="s">
        <v>501</v>
      </c>
      <c r="G70" s="37" t="s">
        <v>505</v>
      </c>
      <c r="H70" s="37" t="s">
        <v>506</v>
      </c>
      <c r="I70" s="39">
        <v>53</v>
      </c>
      <c r="J70" s="39"/>
      <c r="K70" s="40">
        <v>3612</v>
      </c>
      <c r="L70" s="40">
        <v>2000</v>
      </c>
      <c r="M70" s="40">
        <v>2000</v>
      </c>
      <c r="N70" s="41">
        <v>0.80600000000000005</v>
      </c>
      <c r="O70" s="41">
        <v>0.80600000000000005</v>
      </c>
      <c r="P70" s="39">
        <v>2.65</v>
      </c>
      <c r="Q70" s="40">
        <v>180.6</v>
      </c>
    </row>
    <row r="71" spans="1:17" ht="15" customHeight="1" x14ac:dyDescent="0.2">
      <c r="A71" s="35" t="s">
        <v>343</v>
      </c>
      <c r="B71" s="36" t="s">
        <v>313</v>
      </c>
      <c r="C71" s="36" t="s">
        <v>267</v>
      </c>
      <c r="D71" s="38">
        <v>166</v>
      </c>
      <c r="E71" s="35" t="s">
        <v>504</v>
      </c>
      <c r="F71" s="37" t="s">
        <v>501</v>
      </c>
      <c r="G71" s="37" t="s">
        <v>505</v>
      </c>
      <c r="H71" s="37" t="s">
        <v>506</v>
      </c>
      <c r="I71" s="39">
        <v>1</v>
      </c>
      <c r="J71" s="39"/>
      <c r="K71" s="40">
        <v>69</v>
      </c>
      <c r="L71" s="40">
        <v>9628</v>
      </c>
      <c r="M71" s="40">
        <v>9628</v>
      </c>
      <c r="N71" s="41">
        <v>-0.99283340257582098</v>
      </c>
      <c r="O71" s="41">
        <v>-0.99283340257582098</v>
      </c>
      <c r="P71" s="39">
        <v>6.0240963855421699E-3</v>
      </c>
      <c r="Q71" s="40">
        <v>0.41566265060240998</v>
      </c>
    </row>
    <row r="72" spans="1:17" ht="15" customHeight="1" x14ac:dyDescent="0.2">
      <c r="A72" s="17" t="s">
        <v>147</v>
      </c>
      <c r="B72" s="18" t="s">
        <v>148</v>
      </c>
      <c r="C72" s="18" t="s">
        <v>149</v>
      </c>
      <c r="D72" s="20">
        <v>234</v>
      </c>
      <c r="E72" s="17" t="s">
        <v>507</v>
      </c>
      <c r="F72" s="19" t="s">
        <v>501</v>
      </c>
      <c r="G72" s="19" t="s">
        <v>508</v>
      </c>
      <c r="H72" s="19" t="s">
        <v>509</v>
      </c>
      <c r="I72" s="21"/>
      <c r="J72" s="21"/>
      <c r="K72" s="22">
        <v>1227.8</v>
      </c>
      <c r="L72" s="22">
        <v>11000</v>
      </c>
      <c r="M72" s="22">
        <v>11000</v>
      </c>
      <c r="N72" s="23">
        <v>-0.88838181818181805</v>
      </c>
      <c r="O72" s="23">
        <v>-0.88838181818181805</v>
      </c>
      <c r="P72" s="21"/>
      <c r="Q72" s="22">
        <v>5.2470085470085497</v>
      </c>
    </row>
    <row r="73" spans="1:17" ht="15" customHeight="1" x14ac:dyDescent="0.2">
      <c r="A73" s="26" t="s">
        <v>152</v>
      </c>
      <c r="B73" s="27" t="s">
        <v>148</v>
      </c>
      <c r="C73" s="27" t="s">
        <v>149</v>
      </c>
      <c r="D73" s="29">
        <v>258</v>
      </c>
      <c r="E73" s="26" t="s">
        <v>507</v>
      </c>
      <c r="F73" s="28" t="s">
        <v>501</v>
      </c>
      <c r="G73" s="28" t="s">
        <v>508</v>
      </c>
      <c r="H73" s="28" t="s">
        <v>509</v>
      </c>
      <c r="I73" s="30"/>
      <c r="J73" s="30"/>
      <c r="K73" s="31">
        <v>15093.5</v>
      </c>
      <c r="L73" s="31">
        <v>10300</v>
      </c>
      <c r="M73" s="31">
        <v>11560</v>
      </c>
      <c r="N73" s="32">
        <v>0.46538834951456298</v>
      </c>
      <c r="O73" s="32">
        <v>0.30566608996539801</v>
      </c>
      <c r="P73" s="30"/>
      <c r="Q73" s="31">
        <v>58.501937984496102</v>
      </c>
    </row>
    <row r="74" spans="1:17" ht="15" customHeight="1" x14ac:dyDescent="0.2">
      <c r="A74" s="17" t="s">
        <v>154</v>
      </c>
      <c r="B74" s="18" t="s">
        <v>148</v>
      </c>
      <c r="C74" s="18" t="s">
        <v>149</v>
      </c>
      <c r="D74" s="20">
        <v>56</v>
      </c>
      <c r="E74" s="17" t="s">
        <v>507</v>
      </c>
      <c r="F74" s="19" t="s">
        <v>501</v>
      </c>
      <c r="G74" s="19" t="s">
        <v>508</v>
      </c>
      <c r="H74" s="19" t="s">
        <v>509</v>
      </c>
      <c r="I74" s="21"/>
      <c r="J74" s="21"/>
      <c r="K74" s="22">
        <v>1324</v>
      </c>
      <c r="L74" s="22">
        <v>2500</v>
      </c>
      <c r="M74" s="22">
        <v>2500</v>
      </c>
      <c r="N74" s="23">
        <v>-0.47039999999999998</v>
      </c>
      <c r="O74" s="23">
        <v>-0.47039999999999998</v>
      </c>
      <c r="P74" s="21"/>
      <c r="Q74" s="22">
        <v>23.6428571428571</v>
      </c>
    </row>
    <row r="75" spans="1:17" ht="15" customHeight="1" x14ac:dyDescent="0.2">
      <c r="A75" s="26" t="s">
        <v>157</v>
      </c>
      <c r="B75" s="27" t="s">
        <v>148</v>
      </c>
      <c r="C75" s="27" t="s">
        <v>149</v>
      </c>
      <c r="D75" s="29">
        <v>149</v>
      </c>
      <c r="E75" s="26" t="s">
        <v>507</v>
      </c>
      <c r="F75" s="28" t="s">
        <v>501</v>
      </c>
      <c r="G75" s="28" t="s">
        <v>508</v>
      </c>
      <c r="H75" s="28" t="s">
        <v>509</v>
      </c>
      <c r="I75" s="30"/>
      <c r="J75" s="30"/>
      <c r="K75" s="31">
        <v>4286</v>
      </c>
      <c r="L75" s="31">
        <v>7450</v>
      </c>
      <c r="M75" s="31">
        <v>7450</v>
      </c>
      <c r="N75" s="32">
        <v>-0.424697986577181</v>
      </c>
      <c r="O75" s="32">
        <v>-0.424697986577181</v>
      </c>
      <c r="P75" s="30"/>
      <c r="Q75" s="31">
        <v>28.7651006711409</v>
      </c>
    </row>
    <row r="76" spans="1:17" ht="15" customHeight="1" x14ac:dyDescent="0.2">
      <c r="A76" s="17" t="s">
        <v>159</v>
      </c>
      <c r="B76" s="18" t="s">
        <v>148</v>
      </c>
      <c r="C76" s="18" t="s">
        <v>149</v>
      </c>
      <c r="D76" s="20">
        <v>117</v>
      </c>
      <c r="E76" s="17" t="s">
        <v>507</v>
      </c>
      <c r="F76" s="19" t="s">
        <v>501</v>
      </c>
      <c r="G76" s="19" t="s">
        <v>508</v>
      </c>
      <c r="H76" s="19" t="s">
        <v>509</v>
      </c>
      <c r="I76" s="21"/>
      <c r="J76" s="21"/>
      <c r="K76" s="22">
        <v>3513</v>
      </c>
      <c r="L76" s="22">
        <v>5850</v>
      </c>
      <c r="M76" s="22">
        <v>5850</v>
      </c>
      <c r="N76" s="23">
        <v>-0.39948717948717999</v>
      </c>
      <c r="O76" s="23">
        <v>-0.39948717948717999</v>
      </c>
      <c r="P76" s="21"/>
      <c r="Q76" s="22">
        <v>30.025641025641001</v>
      </c>
    </row>
    <row r="77" spans="1:17" ht="15" customHeight="1" x14ac:dyDescent="0.2">
      <c r="A77" s="26" t="s">
        <v>161</v>
      </c>
      <c r="B77" s="27" t="s">
        <v>148</v>
      </c>
      <c r="C77" s="27" t="s">
        <v>149</v>
      </c>
      <c r="D77" s="29">
        <v>162</v>
      </c>
      <c r="E77" s="26" t="s">
        <v>507</v>
      </c>
      <c r="F77" s="28" t="s">
        <v>501</v>
      </c>
      <c r="G77" s="28" t="s">
        <v>508</v>
      </c>
      <c r="H77" s="28" t="s">
        <v>509</v>
      </c>
      <c r="I77" s="30">
        <v>172.5</v>
      </c>
      <c r="J77" s="30"/>
      <c r="K77" s="31">
        <v>6161.5</v>
      </c>
      <c r="L77" s="31">
        <v>12150</v>
      </c>
      <c r="M77" s="31">
        <v>12150</v>
      </c>
      <c r="N77" s="32">
        <v>-0.49288065843621398</v>
      </c>
      <c r="O77" s="32">
        <v>-0.49288065843621398</v>
      </c>
      <c r="P77" s="30">
        <v>1.06481481481482</v>
      </c>
      <c r="Q77" s="31">
        <v>38.033950617283999</v>
      </c>
    </row>
    <row r="78" spans="1:17" ht="15" customHeight="1" x14ac:dyDescent="0.2">
      <c r="A78" s="17" t="s">
        <v>165</v>
      </c>
      <c r="B78" s="18" t="s">
        <v>148</v>
      </c>
      <c r="C78" s="18" t="s">
        <v>149</v>
      </c>
      <c r="D78" s="20">
        <v>197</v>
      </c>
      <c r="E78" s="17" t="s">
        <v>507</v>
      </c>
      <c r="F78" s="19" t="s">
        <v>501</v>
      </c>
      <c r="G78" s="19" t="s">
        <v>508</v>
      </c>
      <c r="H78" s="19" t="s">
        <v>509</v>
      </c>
      <c r="I78" s="21"/>
      <c r="J78" s="21"/>
      <c r="K78" s="22">
        <v>16582.5</v>
      </c>
      <c r="L78" s="22">
        <v>13790</v>
      </c>
      <c r="M78" s="22">
        <v>15790</v>
      </c>
      <c r="N78" s="23">
        <v>0.20250181290790401</v>
      </c>
      <c r="O78" s="23">
        <v>5.0189993666877798E-2</v>
      </c>
      <c r="P78" s="21"/>
      <c r="Q78" s="22">
        <v>84.175126903553306</v>
      </c>
    </row>
    <row r="79" spans="1:17" ht="15" customHeight="1" x14ac:dyDescent="0.2">
      <c r="A79" s="26" t="s">
        <v>167</v>
      </c>
      <c r="B79" s="27" t="s">
        <v>148</v>
      </c>
      <c r="C79" s="27" t="s">
        <v>149</v>
      </c>
      <c r="D79" s="29">
        <v>119</v>
      </c>
      <c r="E79" s="26" t="s">
        <v>507</v>
      </c>
      <c r="F79" s="28" t="s">
        <v>501</v>
      </c>
      <c r="G79" s="28" t="s">
        <v>508</v>
      </c>
      <c r="H79" s="28" t="s">
        <v>509</v>
      </c>
      <c r="I79" s="30"/>
      <c r="J79" s="30"/>
      <c r="K79" s="31">
        <v>7873</v>
      </c>
      <c r="L79" s="31">
        <v>6500</v>
      </c>
      <c r="M79" s="31">
        <v>7300</v>
      </c>
      <c r="N79" s="32">
        <v>0.211230769230769</v>
      </c>
      <c r="O79" s="32">
        <v>7.8493150684931498E-2</v>
      </c>
      <c r="P79" s="30"/>
      <c r="Q79" s="31">
        <v>66.159663865546193</v>
      </c>
    </row>
    <row r="80" spans="1:17" ht="15" customHeight="1" x14ac:dyDescent="0.2">
      <c r="A80" s="17" t="s">
        <v>169</v>
      </c>
      <c r="B80" s="18" t="s">
        <v>148</v>
      </c>
      <c r="C80" s="18" t="s">
        <v>149</v>
      </c>
      <c r="D80" s="20">
        <v>211</v>
      </c>
      <c r="E80" s="17" t="s">
        <v>507</v>
      </c>
      <c r="F80" s="19" t="s">
        <v>501</v>
      </c>
      <c r="G80" s="19" t="s">
        <v>508</v>
      </c>
      <c r="H80" s="19" t="s">
        <v>509</v>
      </c>
      <c r="I80" s="21"/>
      <c r="J80" s="21"/>
      <c r="K80" s="22">
        <v>9680</v>
      </c>
      <c r="L80" s="22">
        <v>10000</v>
      </c>
      <c r="M80" s="22">
        <v>10440</v>
      </c>
      <c r="N80" s="23">
        <v>-3.2000000000000001E-2</v>
      </c>
      <c r="O80" s="23">
        <v>-7.2796934865900401E-2</v>
      </c>
      <c r="P80" s="21"/>
      <c r="Q80" s="22">
        <v>45.876777251184798</v>
      </c>
    </row>
    <row r="81" spans="1:17" ht="15" customHeight="1" x14ac:dyDescent="0.2">
      <c r="A81" s="26" t="s">
        <v>171</v>
      </c>
      <c r="B81" s="27" t="s">
        <v>148</v>
      </c>
      <c r="C81" s="27" t="s">
        <v>149</v>
      </c>
      <c r="D81" s="29">
        <v>211</v>
      </c>
      <c r="E81" s="26" t="s">
        <v>507</v>
      </c>
      <c r="F81" s="28" t="s">
        <v>501</v>
      </c>
      <c r="G81" s="28" t="s">
        <v>508</v>
      </c>
      <c r="H81" s="28" t="s">
        <v>509</v>
      </c>
      <c r="I81" s="30"/>
      <c r="J81" s="30"/>
      <c r="K81" s="31">
        <v>27212.5</v>
      </c>
      <c r="L81" s="31">
        <v>14700</v>
      </c>
      <c r="M81" s="31">
        <v>26068</v>
      </c>
      <c r="N81" s="32">
        <v>0.85119047619047605</v>
      </c>
      <c r="O81" s="32">
        <v>4.3904403866809903E-2</v>
      </c>
      <c r="P81" s="30"/>
      <c r="Q81" s="31">
        <v>128.96919431279599</v>
      </c>
    </row>
    <row r="82" spans="1:17" ht="15" customHeight="1" x14ac:dyDescent="0.2">
      <c r="A82" s="17" t="s">
        <v>173</v>
      </c>
      <c r="B82" s="18" t="s">
        <v>148</v>
      </c>
      <c r="C82" s="18" t="s">
        <v>149</v>
      </c>
      <c r="D82" s="20">
        <v>256</v>
      </c>
      <c r="E82" s="17" t="s">
        <v>507</v>
      </c>
      <c r="F82" s="19" t="s">
        <v>501</v>
      </c>
      <c r="G82" s="19" t="s">
        <v>508</v>
      </c>
      <c r="H82" s="19" t="s">
        <v>509</v>
      </c>
      <c r="I82" s="21"/>
      <c r="J82" s="21"/>
      <c r="K82" s="22">
        <v>18552.5</v>
      </c>
      <c r="L82" s="22">
        <v>15360</v>
      </c>
      <c r="M82" s="22">
        <v>17310</v>
      </c>
      <c r="N82" s="23">
        <v>0.20784505208333301</v>
      </c>
      <c r="O82" s="23">
        <v>7.1779318313113794E-2</v>
      </c>
      <c r="P82" s="21"/>
      <c r="Q82" s="22">
        <v>72.470703125</v>
      </c>
    </row>
    <row r="83" spans="1:17" ht="15" customHeight="1" x14ac:dyDescent="0.2">
      <c r="A83" s="26" t="s">
        <v>175</v>
      </c>
      <c r="B83" s="27" t="s">
        <v>148</v>
      </c>
      <c r="C83" s="27" t="s">
        <v>149</v>
      </c>
      <c r="D83" s="29">
        <v>136</v>
      </c>
      <c r="E83" s="26" t="s">
        <v>507</v>
      </c>
      <c r="F83" s="28" t="s">
        <v>501</v>
      </c>
      <c r="G83" s="28" t="s">
        <v>508</v>
      </c>
      <c r="H83" s="28" t="s">
        <v>509</v>
      </c>
      <c r="I83" s="30"/>
      <c r="J83" s="30"/>
      <c r="K83" s="31">
        <v>19430.5</v>
      </c>
      <c r="L83" s="31">
        <v>12920</v>
      </c>
      <c r="M83" s="31">
        <v>13887</v>
      </c>
      <c r="N83" s="32">
        <v>0.50390866873064999</v>
      </c>
      <c r="O83" s="32">
        <v>0.39918628933535</v>
      </c>
      <c r="P83" s="30"/>
      <c r="Q83" s="31">
        <v>142.871323529412</v>
      </c>
    </row>
    <row r="84" spans="1:17" ht="15" customHeight="1" x14ac:dyDescent="0.2">
      <c r="A84" s="17" t="s">
        <v>177</v>
      </c>
      <c r="B84" s="18" t="s">
        <v>148</v>
      </c>
      <c r="C84" s="18" t="s">
        <v>149</v>
      </c>
      <c r="D84" s="20">
        <v>18</v>
      </c>
      <c r="E84" s="17" t="s">
        <v>507</v>
      </c>
      <c r="F84" s="19" t="s">
        <v>501</v>
      </c>
      <c r="G84" s="19" t="s">
        <v>508</v>
      </c>
      <c r="H84" s="19" t="s">
        <v>509</v>
      </c>
      <c r="I84" s="21"/>
      <c r="J84" s="21"/>
      <c r="K84" s="22">
        <v>2957.5</v>
      </c>
      <c r="L84" s="22">
        <v>5100</v>
      </c>
      <c r="M84" s="22">
        <v>5450</v>
      </c>
      <c r="N84" s="23">
        <v>-0.420098039215686</v>
      </c>
      <c r="O84" s="23">
        <v>-0.45733944954128403</v>
      </c>
      <c r="P84" s="21"/>
      <c r="Q84" s="22">
        <v>164.305555555556</v>
      </c>
    </row>
    <row r="85" spans="1:17" ht="15" customHeight="1" x14ac:dyDescent="0.2">
      <c r="A85" s="26" t="s">
        <v>179</v>
      </c>
      <c r="B85" s="27" t="s">
        <v>148</v>
      </c>
      <c r="C85" s="27" t="s">
        <v>180</v>
      </c>
      <c r="D85" s="29">
        <v>209</v>
      </c>
      <c r="E85" s="26" t="s">
        <v>507</v>
      </c>
      <c r="F85" s="28" t="s">
        <v>501</v>
      </c>
      <c r="G85" s="28" t="s">
        <v>508</v>
      </c>
      <c r="H85" s="28" t="s">
        <v>509</v>
      </c>
      <c r="I85" s="30">
        <v>683.5</v>
      </c>
      <c r="J85" s="30"/>
      <c r="K85" s="31">
        <v>29564</v>
      </c>
      <c r="L85" s="31">
        <v>14630</v>
      </c>
      <c r="M85" s="31">
        <v>19827</v>
      </c>
      <c r="N85" s="32">
        <v>1.0207792207792199</v>
      </c>
      <c r="O85" s="32">
        <v>0.49109799767993101</v>
      </c>
      <c r="P85" s="30">
        <v>3.2703349282296701</v>
      </c>
      <c r="Q85" s="31">
        <v>141.45454545454601</v>
      </c>
    </row>
    <row r="86" spans="1:17" ht="15" customHeight="1" x14ac:dyDescent="0.2">
      <c r="A86" s="17" t="s">
        <v>185</v>
      </c>
      <c r="B86" s="18" t="s">
        <v>148</v>
      </c>
      <c r="C86" s="18" t="s">
        <v>180</v>
      </c>
      <c r="D86" s="20">
        <v>117</v>
      </c>
      <c r="E86" s="17" t="s">
        <v>507</v>
      </c>
      <c r="F86" s="19" t="s">
        <v>501</v>
      </c>
      <c r="G86" s="19" t="s">
        <v>508</v>
      </c>
      <c r="H86" s="19" t="s">
        <v>509</v>
      </c>
      <c r="I86" s="21">
        <v>471.5</v>
      </c>
      <c r="J86" s="21"/>
      <c r="K86" s="22">
        <v>20381.5</v>
      </c>
      <c r="L86" s="22">
        <v>20800</v>
      </c>
      <c r="M86" s="22">
        <v>21407</v>
      </c>
      <c r="N86" s="23">
        <v>-2.0120192307692301E-2</v>
      </c>
      <c r="O86" s="23">
        <v>-4.7904890923529703E-2</v>
      </c>
      <c r="P86" s="21">
        <v>4.0299145299145298</v>
      </c>
      <c r="Q86" s="22">
        <v>174.20085470085499</v>
      </c>
    </row>
    <row r="87" spans="1:17" ht="15" customHeight="1" x14ac:dyDescent="0.2">
      <c r="A87" s="26" t="s">
        <v>190</v>
      </c>
      <c r="B87" s="27" t="s">
        <v>148</v>
      </c>
      <c r="C87" s="27" t="s">
        <v>180</v>
      </c>
      <c r="D87" s="29">
        <v>75</v>
      </c>
      <c r="E87" s="26" t="s">
        <v>507</v>
      </c>
      <c r="F87" s="28" t="s">
        <v>501</v>
      </c>
      <c r="G87" s="28" t="s">
        <v>508</v>
      </c>
      <c r="H87" s="28" t="s">
        <v>509</v>
      </c>
      <c r="I87" s="30">
        <v>255</v>
      </c>
      <c r="J87" s="30"/>
      <c r="K87" s="31">
        <v>11865</v>
      </c>
      <c r="L87" s="31">
        <v>11250</v>
      </c>
      <c r="M87" s="31">
        <v>11820</v>
      </c>
      <c r="N87" s="32">
        <v>5.4666666666666697E-2</v>
      </c>
      <c r="O87" s="32">
        <v>3.80710659898477E-3</v>
      </c>
      <c r="P87" s="30">
        <v>3.4</v>
      </c>
      <c r="Q87" s="31">
        <v>158.19999999999999</v>
      </c>
    </row>
    <row r="88" spans="1:17" ht="15" customHeight="1" x14ac:dyDescent="0.2">
      <c r="A88" s="17" t="s">
        <v>195</v>
      </c>
      <c r="B88" s="18" t="s">
        <v>148</v>
      </c>
      <c r="C88" s="18" t="s">
        <v>180</v>
      </c>
      <c r="D88" s="20">
        <v>49</v>
      </c>
      <c r="E88" s="17" t="s">
        <v>507</v>
      </c>
      <c r="F88" s="19" t="s">
        <v>501</v>
      </c>
      <c r="G88" s="19" t="s">
        <v>508</v>
      </c>
      <c r="H88" s="19" t="s">
        <v>509</v>
      </c>
      <c r="I88" s="21">
        <v>130</v>
      </c>
      <c r="J88" s="21"/>
      <c r="K88" s="22">
        <v>5998</v>
      </c>
      <c r="L88" s="22">
        <v>7840</v>
      </c>
      <c r="M88" s="22">
        <v>7840</v>
      </c>
      <c r="N88" s="23">
        <v>-0.234948979591837</v>
      </c>
      <c r="O88" s="23">
        <v>-0.234948979591837</v>
      </c>
      <c r="P88" s="21">
        <v>2.6530612244898002</v>
      </c>
      <c r="Q88" s="22">
        <v>122.408163265306</v>
      </c>
    </row>
    <row r="89" spans="1:17" ht="15" customHeight="1" x14ac:dyDescent="0.2">
      <c r="A89" s="26" t="s">
        <v>201</v>
      </c>
      <c r="B89" s="27" t="s">
        <v>148</v>
      </c>
      <c r="C89" s="27" t="s">
        <v>180</v>
      </c>
      <c r="D89" s="29">
        <v>170</v>
      </c>
      <c r="E89" s="26" t="s">
        <v>507</v>
      </c>
      <c r="F89" s="28" t="s">
        <v>501</v>
      </c>
      <c r="G89" s="28" t="s">
        <v>508</v>
      </c>
      <c r="H89" s="28" t="s">
        <v>509</v>
      </c>
      <c r="I89" s="30">
        <v>289.5</v>
      </c>
      <c r="J89" s="30"/>
      <c r="K89" s="31">
        <v>13422.5</v>
      </c>
      <c r="L89" s="31">
        <v>20400</v>
      </c>
      <c r="M89" s="31">
        <v>20823</v>
      </c>
      <c r="N89" s="32">
        <v>-0.34203431372548998</v>
      </c>
      <c r="O89" s="32">
        <v>-0.35540027853815498</v>
      </c>
      <c r="P89" s="30">
        <v>1.70294117647059</v>
      </c>
      <c r="Q89" s="31">
        <v>78.955882352941202</v>
      </c>
    </row>
    <row r="90" spans="1:17" ht="15" customHeight="1" x14ac:dyDescent="0.2">
      <c r="A90" s="17" t="s">
        <v>205</v>
      </c>
      <c r="B90" s="18" t="s">
        <v>148</v>
      </c>
      <c r="C90" s="18" t="s">
        <v>180</v>
      </c>
      <c r="D90" s="20">
        <v>296</v>
      </c>
      <c r="E90" s="17" t="s">
        <v>507</v>
      </c>
      <c r="F90" s="19" t="s">
        <v>501</v>
      </c>
      <c r="G90" s="19" t="s">
        <v>508</v>
      </c>
      <c r="H90" s="19" t="s">
        <v>509</v>
      </c>
      <c r="I90" s="21">
        <v>380</v>
      </c>
      <c r="J90" s="21"/>
      <c r="K90" s="22">
        <v>17076</v>
      </c>
      <c r="L90" s="22">
        <v>35400</v>
      </c>
      <c r="M90" s="22">
        <v>18154</v>
      </c>
      <c r="N90" s="23">
        <v>-0.51762711864406796</v>
      </c>
      <c r="O90" s="23">
        <v>-5.9380852704638103E-2</v>
      </c>
      <c r="P90" s="21">
        <v>1.28378378378378</v>
      </c>
      <c r="Q90" s="22">
        <v>57.6891891891892</v>
      </c>
    </row>
    <row r="91" spans="1:17" ht="15" customHeight="1" x14ac:dyDescent="0.2">
      <c r="A91" s="26" t="s">
        <v>210</v>
      </c>
      <c r="B91" s="27" t="s">
        <v>148</v>
      </c>
      <c r="C91" s="27" t="s">
        <v>180</v>
      </c>
      <c r="D91" s="29">
        <v>83</v>
      </c>
      <c r="E91" s="26" t="s">
        <v>507</v>
      </c>
      <c r="F91" s="28" t="s">
        <v>501</v>
      </c>
      <c r="G91" s="28" t="s">
        <v>508</v>
      </c>
      <c r="H91" s="28" t="s">
        <v>509</v>
      </c>
      <c r="I91" s="30">
        <v>203.5</v>
      </c>
      <c r="J91" s="30"/>
      <c r="K91" s="31">
        <v>9512.5</v>
      </c>
      <c r="L91" s="31">
        <v>13700</v>
      </c>
      <c r="M91" s="31">
        <v>13896</v>
      </c>
      <c r="N91" s="32">
        <v>-0.30565693430656898</v>
      </c>
      <c r="O91" s="32">
        <v>-0.31545048934945302</v>
      </c>
      <c r="P91" s="30">
        <v>2.4518072289156598</v>
      </c>
      <c r="Q91" s="31">
        <v>114.60843373493999</v>
      </c>
    </row>
    <row r="92" spans="1:17" ht="15" customHeight="1" x14ac:dyDescent="0.2">
      <c r="A92" s="17" t="s">
        <v>214</v>
      </c>
      <c r="B92" s="18" t="s">
        <v>148</v>
      </c>
      <c r="C92" s="18" t="s">
        <v>180</v>
      </c>
      <c r="D92" s="20">
        <v>144</v>
      </c>
      <c r="E92" s="17" t="s">
        <v>507</v>
      </c>
      <c r="F92" s="19" t="s">
        <v>501</v>
      </c>
      <c r="G92" s="19" t="s">
        <v>508</v>
      </c>
      <c r="H92" s="19" t="s">
        <v>509</v>
      </c>
      <c r="I92" s="21">
        <v>392</v>
      </c>
      <c r="J92" s="21"/>
      <c r="K92" s="22">
        <v>19747</v>
      </c>
      <c r="L92" s="22">
        <v>23040</v>
      </c>
      <c r="M92" s="22">
        <v>25090</v>
      </c>
      <c r="N92" s="23">
        <v>-0.142925347222222</v>
      </c>
      <c r="O92" s="23">
        <v>-0.212953367875648</v>
      </c>
      <c r="P92" s="21">
        <v>2.7222222222222201</v>
      </c>
      <c r="Q92" s="22">
        <v>137.131944444445</v>
      </c>
    </row>
    <row r="93" spans="1:17" ht="15" customHeight="1" x14ac:dyDescent="0.2">
      <c r="A93" s="26" t="s">
        <v>219</v>
      </c>
      <c r="B93" s="27" t="s">
        <v>148</v>
      </c>
      <c r="C93" s="27" t="s">
        <v>180</v>
      </c>
      <c r="D93" s="29">
        <v>398</v>
      </c>
      <c r="E93" s="26" t="s">
        <v>507</v>
      </c>
      <c r="F93" s="28" t="s">
        <v>501</v>
      </c>
      <c r="G93" s="28" t="s">
        <v>508</v>
      </c>
      <c r="H93" s="28" t="s">
        <v>509</v>
      </c>
      <c r="I93" s="30">
        <v>661.5</v>
      </c>
      <c r="J93" s="30"/>
      <c r="K93" s="31">
        <v>32080.5</v>
      </c>
      <c r="L93" s="31">
        <v>79800</v>
      </c>
      <c r="M93" s="31">
        <v>85062</v>
      </c>
      <c r="N93" s="32">
        <v>-0.59798872180451101</v>
      </c>
      <c r="O93" s="32">
        <v>-0.62285744515764996</v>
      </c>
      <c r="P93" s="30">
        <v>1.6620603015075399</v>
      </c>
      <c r="Q93" s="31">
        <v>80.604271356783897</v>
      </c>
    </row>
    <row r="94" spans="1:17" ht="15" customHeight="1" x14ac:dyDescent="0.2">
      <c r="A94" s="17" t="s">
        <v>224</v>
      </c>
      <c r="B94" s="18" t="s">
        <v>148</v>
      </c>
      <c r="C94" s="18" t="s">
        <v>180</v>
      </c>
      <c r="D94" s="20">
        <v>71</v>
      </c>
      <c r="E94" s="17" t="s">
        <v>507</v>
      </c>
      <c r="F94" s="19" t="s">
        <v>501</v>
      </c>
      <c r="G94" s="19" t="s">
        <v>508</v>
      </c>
      <c r="H94" s="19" t="s">
        <v>509</v>
      </c>
      <c r="I94" s="21">
        <v>166</v>
      </c>
      <c r="J94" s="21"/>
      <c r="K94" s="22">
        <v>8067.5</v>
      </c>
      <c r="L94" s="22">
        <v>10295</v>
      </c>
      <c r="M94" s="22">
        <v>10765</v>
      </c>
      <c r="N94" s="23">
        <v>-0.21636716852841201</v>
      </c>
      <c r="O94" s="23">
        <v>-0.250580585229912</v>
      </c>
      <c r="P94" s="21">
        <v>2.3380281690140898</v>
      </c>
      <c r="Q94" s="22">
        <v>113.62676056338</v>
      </c>
    </row>
    <row r="95" spans="1:17" ht="15" customHeight="1" x14ac:dyDescent="0.2">
      <c r="A95" s="26" t="s">
        <v>230</v>
      </c>
      <c r="B95" s="27" t="s">
        <v>148</v>
      </c>
      <c r="C95" s="27" t="s">
        <v>180</v>
      </c>
      <c r="D95" s="29">
        <v>139</v>
      </c>
      <c r="E95" s="26" t="s">
        <v>507</v>
      </c>
      <c r="F95" s="28" t="s">
        <v>501</v>
      </c>
      <c r="G95" s="28" t="s">
        <v>508</v>
      </c>
      <c r="H95" s="28" t="s">
        <v>509</v>
      </c>
      <c r="I95" s="30">
        <v>271.5</v>
      </c>
      <c r="J95" s="30"/>
      <c r="K95" s="31">
        <v>13253</v>
      </c>
      <c r="L95" s="31">
        <v>20155</v>
      </c>
      <c r="M95" s="31">
        <v>22018</v>
      </c>
      <c r="N95" s="32">
        <v>-0.34244604316546801</v>
      </c>
      <c r="O95" s="32">
        <v>-0.39808338632028301</v>
      </c>
      <c r="P95" s="30">
        <v>1.9532374100719401</v>
      </c>
      <c r="Q95" s="31">
        <v>95.345323741007206</v>
      </c>
    </row>
    <row r="96" spans="1:17" ht="15" customHeight="1" x14ac:dyDescent="0.2">
      <c r="A96" s="17" t="s">
        <v>236</v>
      </c>
      <c r="B96" s="18" t="s">
        <v>148</v>
      </c>
      <c r="C96" s="18" t="s">
        <v>180</v>
      </c>
      <c r="D96" s="20">
        <v>128</v>
      </c>
      <c r="E96" s="17" t="s">
        <v>507</v>
      </c>
      <c r="F96" s="19" t="s">
        <v>501</v>
      </c>
      <c r="G96" s="19" t="s">
        <v>508</v>
      </c>
      <c r="H96" s="19" t="s">
        <v>509</v>
      </c>
      <c r="I96" s="21">
        <v>286.5</v>
      </c>
      <c r="J96" s="21"/>
      <c r="K96" s="22">
        <v>14099</v>
      </c>
      <c r="L96" s="22">
        <v>21120</v>
      </c>
      <c r="M96" s="22">
        <v>22880</v>
      </c>
      <c r="N96" s="23">
        <v>-0.33243371212121198</v>
      </c>
      <c r="O96" s="23">
        <v>-0.38378496503496501</v>
      </c>
      <c r="P96" s="21">
        <v>2.23828125</v>
      </c>
      <c r="Q96" s="22">
        <v>110.1484375</v>
      </c>
    </row>
    <row r="97" spans="1:17" ht="15" customHeight="1" x14ac:dyDescent="0.2">
      <c r="A97" s="26" t="s">
        <v>239</v>
      </c>
      <c r="B97" s="27" t="s">
        <v>148</v>
      </c>
      <c r="C97" s="27" t="s">
        <v>180</v>
      </c>
      <c r="D97" s="29">
        <v>92</v>
      </c>
      <c r="E97" s="26" t="s">
        <v>507</v>
      </c>
      <c r="F97" s="28" t="s">
        <v>501</v>
      </c>
      <c r="G97" s="28" t="s">
        <v>508</v>
      </c>
      <c r="H97" s="28" t="s">
        <v>509</v>
      </c>
      <c r="I97" s="30">
        <v>197.5</v>
      </c>
      <c r="J97" s="30"/>
      <c r="K97" s="31">
        <v>9333</v>
      </c>
      <c r="L97" s="31">
        <v>9200</v>
      </c>
      <c r="M97" s="31">
        <v>9450</v>
      </c>
      <c r="N97" s="32">
        <v>1.4456521739130399E-2</v>
      </c>
      <c r="O97" s="32">
        <v>-1.23809523809524E-2</v>
      </c>
      <c r="P97" s="30">
        <v>2.14673913043478</v>
      </c>
      <c r="Q97" s="31">
        <v>101.445652173913</v>
      </c>
    </row>
    <row r="98" spans="1:17" ht="15" customHeight="1" x14ac:dyDescent="0.2">
      <c r="A98" s="17" t="s">
        <v>245</v>
      </c>
      <c r="B98" s="18" t="s">
        <v>148</v>
      </c>
      <c r="C98" s="18" t="s">
        <v>180</v>
      </c>
      <c r="D98" s="20">
        <v>31</v>
      </c>
      <c r="E98" s="17" t="s">
        <v>507</v>
      </c>
      <c r="F98" s="19" t="s">
        <v>501</v>
      </c>
      <c r="G98" s="19" t="s">
        <v>508</v>
      </c>
      <c r="H98" s="19" t="s">
        <v>509</v>
      </c>
      <c r="I98" s="21">
        <v>123</v>
      </c>
      <c r="J98" s="21"/>
      <c r="K98" s="22">
        <v>6121.5</v>
      </c>
      <c r="L98" s="22">
        <v>5760</v>
      </c>
      <c r="M98" s="22">
        <v>6060</v>
      </c>
      <c r="N98" s="23">
        <v>6.2760416666666693E-2</v>
      </c>
      <c r="O98" s="23">
        <v>1.0148514851485199E-2</v>
      </c>
      <c r="P98" s="21">
        <v>3.9677419354838701</v>
      </c>
      <c r="Q98" s="22">
        <v>197.46774193548401</v>
      </c>
    </row>
    <row r="99" spans="1:17" ht="15" customHeight="1" x14ac:dyDescent="0.2">
      <c r="A99" s="26" t="s">
        <v>249</v>
      </c>
      <c r="B99" s="27" t="s">
        <v>148</v>
      </c>
      <c r="C99" s="27" t="s">
        <v>180</v>
      </c>
      <c r="D99" s="29">
        <v>122</v>
      </c>
      <c r="E99" s="26" t="s">
        <v>507</v>
      </c>
      <c r="F99" s="28" t="s">
        <v>501</v>
      </c>
      <c r="G99" s="28" t="s">
        <v>508</v>
      </c>
      <c r="H99" s="28" t="s">
        <v>509</v>
      </c>
      <c r="I99" s="30">
        <v>279.5</v>
      </c>
      <c r="J99" s="30"/>
      <c r="K99" s="31">
        <v>15008.5</v>
      </c>
      <c r="L99" s="31">
        <v>18425</v>
      </c>
      <c r="M99" s="31">
        <v>20125</v>
      </c>
      <c r="N99" s="32">
        <v>-0.18542740841248301</v>
      </c>
      <c r="O99" s="32">
        <v>-0.25423602484472102</v>
      </c>
      <c r="P99" s="30">
        <v>2.2909836065573801</v>
      </c>
      <c r="Q99" s="31">
        <v>123.020491803279</v>
      </c>
    </row>
    <row r="100" spans="1:17" ht="15" customHeight="1" x14ac:dyDescent="0.2">
      <c r="A100" s="17" t="s">
        <v>254</v>
      </c>
      <c r="B100" s="18" t="s">
        <v>148</v>
      </c>
      <c r="C100" s="18" t="s">
        <v>180</v>
      </c>
      <c r="D100" s="20">
        <v>80</v>
      </c>
      <c r="E100" s="17" t="s">
        <v>507</v>
      </c>
      <c r="F100" s="19" t="s">
        <v>501</v>
      </c>
      <c r="G100" s="19" t="s">
        <v>508</v>
      </c>
      <c r="H100" s="19" t="s">
        <v>509</v>
      </c>
      <c r="I100" s="21">
        <v>228</v>
      </c>
      <c r="J100" s="21"/>
      <c r="K100" s="22">
        <v>11937.5</v>
      </c>
      <c r="L100" s="22">
        <v>11600</v>
      </c>
      <c r="M100" s="22">
        <v>12550</v>
      </c>
      <c r="N100" s="23">
        <v>2.9094827586206899E-2</v>
      </c>
      <c r="O100" s="23">
        <v>-4.8804780876494001E-2</v>
      </c>
      <c r="P100" s="21">
        <v>2.85</v>
      </c>
      <c r="Q100" s="22">
        <v>149.21875</v>
      </c>
    </row>
    <row r="101" spans="1:17" ht="15" customHeight="1" x14ac:dyDescent="0.2">
      <c r="A101" s="26" t="s">
        <v>259</v>
      </c>
      <c r="B101" s="27" t="s">
        <v>148</v>
      </c>
      <c r="C101" s="27" t="s">
        <v>180</v>
      </c>
      <c r="D101" s="29"/>
      <c r="E101" s="26" t="s">
        <v>507</v>
      </c>
      <c r="F101" s="28" t="s">
        <v>501</v>
      </c>
      <c r="G101" s="28" t="s">
        <v>508</v>
      </c>
      <c r="H101" s="28" t="s">
        <v>509</v>
      </c>
      <c r="I101" s="30">
        <v>7</v>
      </c>
      <c r="J101" s="30"/>
      <c r="K101" s="31">
        <v>341</v>
      </c>
      <c r="L101" s="31">
        <v>1128</v>
      </c>
      <c r="M101" s="31">
        <v>1128</v>
      </c>
      <c r="N101" s="32">
        <v>-0.69769503546099298</v>
      </c>
      <c r="O101" s="32">
        <v>-0.69769503546099298</v>
      </c>
      <c r="P101" s="30"/>
      <c r="Q101" s="31"/>
    </row>
    <row r="102" spans="1:17" ht="15" customHeight="1" x14ac:dyDescent="0.2">
      <c r="A102" s="17" t="s">
        <v>263</v>
      </c>
      <c r="B102" s="18" t="s">
        <v>148</v>
      </c>
      <c r="C102" s="18" t="s">
        <v>180</v>
      </c>
      <c r="D102" s="20">
        <v>55</v>
      </c>
      <c r="E102" s="17" t="s">
        <v>507</v>
      </c>
      <c r="F102" s="19" t="s">
        <v>501</v>
      </c>
      <c r="G102" s="19" t="s">
        <v>508</v>
      </c>
      <c r="H102" s="19" t="s">
        <v>509</v>
      </c>
      <c r="I102" s="21">
        <v>96</v>
      </c>
      <c r="J102" s="21"/>
      <c r="K102" s="22">
        <v>5076.5</v>
      </c>
      <c r="L102" s="22">
        <v>8250</v>
      </c>
      <c r="M102" s="22">
        <v>8250</v>
      </c>
      <c r="N102" s="23">
        <v>-0.38466666666666699</v>
      </c>
      <c r="O102" s="23">
        <v>-0.38466666666666699</v>
      </c>
      <c r="P102" s="21">
        <v>1.74545454545455</v>
      </c>
      <c r="Q102" s="22">
        <v>92.3</v>
      </c>
    </row>
    <row r="103" spans="1:17" ht="15" customHeight="1" x14ac:dyDescent="0.2">
      <c r="A103" s="26" t="s">
        <v>266</v>
      </c>
      <c r="B103" s="27" t="s">
        <v>148</v>
      </c>
      <c r="C103" s="27" t="s">
        <v>267</v>
      </c>
      <c r="D103" s="29">
        <v>108</v>
      </c>
      <c r="E103" s="26" t="s">
        <v>507</v>
      </c>
      <c r="F103" s="28" t="s">
        <v>501</v>
      </c>
      <c r="G103" s="28" t="s">
        <v>508</v>
      </c>
      <c r="H103" s="28" t="s">
        <v>509</v>
      </c>
      <c r="I103" s="30">
        <v>297</v>
      </c>
      <c r="J103" s="30"/>
      <c r="K103" s="31">
        <v>16934</v>
      </c>
      <c r="L103" s="31">
        <v>15120</v>
      </c>
      <c r="M103" s="31">
        <v>16020</v>
      </c>
      <c r="N103" s="32">
        <v>0.119973544973545</v>
      </c>
      <c r="O103" s="32">
        <v>5.70536828963795E-2</v>
      </c>
      <c r="P103" s="30">
        <v>2.75</v>
      </c>
      <c r="Q103" s="31">
        <v>156.79629629629599</v>
      </c>
    </row>
    <row r="104" spans="1:17" ht="15" customHeight="1" x14ac:dyDescent="0.2">
      <c r="A104" s="17" t="s">
        <v>270</v>
      </c>
      <c r="B104" s="18" t="s">
        <v>148</v>
      </c>
      <c r="C104" s="18" t="s">
        <v>267</v>
      </c>
      <c r="D104" s="20">
        <v>75</v>
      </c>
      <c r="E104" s="17" t="s">
        <v>507</v>
      </c>
      <c r="F104" s="19" t="s">
        <v>501</v>
      </c>
      <c r="G104" s="19" t="s">
        <v>508</v>
      </c>
      <c r="H104" s="19" t="s">
        <v>509</v>
      </c>
      <c r="I104" s="21">
        <v>147</v>
      </c>
      <c r="J104" s="21"/>
      <c r="K104" s="22">
        <v>7902.5</v>
      </c>
      <c r="L104" s="22">
        <v>10440</v>
      </c>
      <c r="M104" s="22">
        <v>10440</v>
      </c>
      <c r="N104" s="23">
        <v>-0.243055555555556</v>
      </c>
      <c r="O104" s="23">
        <v>-0.243055555555556</v>
      </c>
      <c r="P104" s="21">
        <v>1.96</v>
      </c>
      <c r="Q104" s="22">
        <v>105.366666666667</v>
      </c>
    </row>
    <row r="105" spans="1:17" ht="15" customHeight="1" x14ac:dyDescent="0.2">
      <c r="A105" s="26" t="s">
        <v>272</v>
      </c>
      <c r="B105" s="27" t="s">
        <v>148</v>
      </c>
      <c r="C105" s="27" t="s">
        <v>267</v>
      </c>
      <c r="D105" s="29">
        <v>89</v>
      </c>
      <c r="E105" s="26" t="s">
        <v>507</v>
      </c>
      <c r="F105" s="28" t="s">
        <v>501</v>
      </c>
      <c r="G105" s="28" t="s">
        <v>508</v>
      </c>
      <c r="H105" s="28" t="s">
        <v>509</v>
      </c>
      <c r="I105" s="30">
        <v>277.5</v>
      </c>
      <c r="J105" s="30"/>
      <c r="K105" s="31">
        <v>15398</v>
      </c>
      <c r="L105" s="31">
        <v>20900</v>
      </c>
      <c r="M105" s="31">
        <v>21200</v>
      </c>
      <c r="N105" s="32">
        <v>-0.26325358851674602</v>
      </c>
      <c r="O105" s="32">
        <v>-0.27367924528301901</v>
      </c>
      <c r="P105" s="30">
        <v>3.1179775280898898</v>
      </c>
      <c r="Q105" s="31">
        <v>173.01123595505601</v>
      </c>
    </row>
    <row r="106" spans="1:17" ht="15" customHeight="1" x14ac:dyDescent="0.2">
      <c r="A106" s="17" t="s">
        <v>275</v>
      </c>
      <c r="B106" s="18" t="s">
        <v>148</v>
      </c>
      <c r="C106" s="18" t="s">
        <v>267</v>
      </c>
      <c r="D106" s="20">
        <v>78</v>
      </c>
      <c r="E106" s="17" t="s">
        <v>507</v>
      </c>
      <c r="F106" s="19" t="s">
        <v>501</v>
      </c>
      <c r="G106" s="19" t="s">
        <v>508</v>
      </c>
      <c r="H106" s="19" t="s">
        <v>509</v>
      </c>
      <c r="I106" s="21">
        <v>85</v>
      </c>
      <c r="J106" s="21"/>
      <c r="K106" s="22">
        <v>4858</v>
      </c>
      <c r="L106" s="22">
        <v>10875</v>
      </c>
      <c r="M106" s="22">
        <v>10875</v>
      </c>
      <c r="N106" s="23">
        <v>-0.55328735632183901</v>
      </c>
      <c r="O106" s="23">
        <v>-0.55328735632183901</v>
      </c>
      <c r="P106" s="21">
        <v>1.0897435897435901</v>
      </c>
      <c r="Q106" s="22">
        <v>62.282051282051299</v>
      </c>
    </row>
    <row r="107" spans="1:17" ht="15" customHeight="1" x14ac:dyDescent="0.2">
      <c r="A107" s="26" t="s">
        <v>277</v>
      </c>
      <c r="B107" s="27" t="s">
        <v>148</v>
      </c>
      <c r="C107" s="27" t="s">
        <v>267</v>
      </c>
      <c r="D107" s="29">
        <v>158</v>
      </c>
      <c r="E107" s="26" t="s">
        <v>507</v>
      </c>
      <c r="F107" s="28" t="s">
        <v>501</v>
      </c>
      <c r="G107" s="28" t="s">
        <v>508</v>
      </c>
      <c r="H107" s="28" t="s">
        <v>509</v>
      </c>
      <c r="I107" s="30">
        <v>254.5</v>
      </c>
      <c r="J107" s="30"/>
      <c r="K107" s="31">
        <v>13778</v>
      </c>
      <c r="L107" s="31">
        <v>19750</v>
      </c>
      <c r="M107" s="31">
        <v>20150</v>
      </c>
      <c r="N107" s="32">
        <v>-0.302379746835443</v>
      </c>
      <c r="O107" s="32">
        <v>-0.316228287841191</v>
      </c>
      <c r="P107" s="30">
        <v>1.61075949367089</v>
      </c>
      <c r="Q107" s="31">
        <v>87.202531645569593</v>
      </c>
    </row>
    <row r="108" spans="1:17" ht="15" customHeight="1" x14ac:dyDescent="0.2">
      <c r="A108" s="17" t="s">
        <v>280</v>
      </c>
      <c r="B108" s="18" t="s">
        <v>148</v>
      </c>
      <c r="C108" s="18" t="s">
        <v>267</v>
      </c>
      <c r="D108" s="20">
        <v>110</v>
      </c>
      <c r="E108" s="17" t="s">
        <v>507</v>
      </c>
      <c r="F108" s="19" t="s">
        <v>501</v>
      </c>
      <c r="G108" s="19" t="s">
        <v>508</v>
      </c>
      <c r="H108" s="19" t="s">
        <v>509</v>
      </c>
      <c r="I108" s="21">
        <v>172</v>
      </c>
      <c r="J108" s="21"/>
      <c r="K108" s="22">
        <v>9717</v>
      </c>
      <c r="L108" s="22">
        <v>19250</v>
      </c>
      <c r="M108" s="22">
        <v>19700</v>
      </c>
      <c r="N108" s="23">
        <v>-0.49522077922077901</v>
      </c>
      <c r="O108" s="23">
        <v>-0.50675126903553303</v>
      </c>
      <c r="P108" s="21">
        <v>1.5636363636363599</v>
      </c>
      <c r="Q108" s="22">
        <v>88.3363636363636</v>
      </c>
    </row>
    <row r="109" spans="1:17" ht="15" customHeight="1" x14ac:dyDescent="0.2">
      <c r="A109" s="26" t="s">
        <v>282</v>
      </c>
      <c r="B109" s="27" t="s">
        <v>148</v>
      </c>
      <c r="C109" s="27" t="s">
        <v>267</v>
      </c>
      <c r="D109" s="29">
        <v>70</v>
      </c>
      <c r="E109" s="26" t="s">
        <v>507</v>
      </c>
      <c r="F109" s="28" t="s">
        <v>501</v>
      </c>
      <c r="G109" s="28" t="s">
        <v>508</v>
      </c>
      <c r="H109" s="28" t="s">
        <v>509</v>
      </c>
      <c r="I109" s="30">
        <v>102</v>
      </c>
      <c r="J109" s="30"/>
      <c r="K109" s="31">
        <v>5375</v>
      </c>
      <c r="L109" s="31">
        <v>8750</v>
      </c>
      <c r="M109" s="31">
        <v>9000</v>
      </c>
      <c r="N109" s="32">
        <v>-0.38571428571428601</v>
      </c>
      <c r="O109" s="32">
        <v>-0.40277777777777801</v>
      </c>
      <c r="P109" s="30">
        <v>1.45714285714286</v>
      </c>
      <c r="Q109" s="31">
        <v>76.785714285714306</v>
      </c>
    </row>
    <row r="110" spans="1:17" ht="15" customHeight="1" x14ac:dyDescent="0.2">
      <c r="A110" s="17" t="s">
        <v>284</v>
      </c>
      <c r="B110" s="18" t="s">
        <v>148</v>
      </c>
      <c r="C110" s="18" t="s">
        <v>267</v>
      </c>
      <c r="D110" s="20">
        <v>72</v>
      </c>
      <c r="E110" s="17" t="s">
        <v>507</v>
      </c>
      <c r="F110" s="19" t="s">
        <v>501</v>
      </c>
      <c r="G110" s="19" t="s">
        <v>508</v>
      </c>
      <c r="H110" s="19" t="s">
        <v>509</v>
      </c>
      <c r="I110" s="21">
        <v>91</v>
      </c>
      <c r="J110" s="21"/>
      <c r="K110" s="22">
        <v>4715.5</v>
      </c>
      <c r="L110" s="22">
        <v>9000</v>
      </c>
      <c r="M110" s="22">
        <v>9200</v>
      </c>
      <c r="N110" s="23">
        <v>-0.47605555555555601</v>
      </c>
      <c r="O110" s="23">
        <v>-0.487445652173913</v>
      </c>
      <c r="P110" s="21">
        <v>1.2638888888888899</v>
      </c>
      <c r="Q110" s="22">
        <v>65.4930555555556</v>
      </c>
    </row>
    <row r="111" spans="1:17" ht="15" customHeight="1" x14ac:dyDescent="0.2">
      <c r="A111" s="26" t="s">
        <v>285</v>
      </c>
      <c r="B111" s="27" t="s">
        <v>148</v>
      </c>
      <c r="C111" s="27" t="s">
        <v>267</v>
      </c>
      <c r="D111" s="29">
        <v>296</v>
      </c>
      <c r="E111" s="26" t="s">
        <v>507</v>
      </c>
      <c r="F111" s="28" t="s">
        <v>501</v>
      </c>
      <c r="G111" s="28" t="s">
        <v>508</v>
      </c>
      <c r="H111" s="28" t="s">
        <v>509</v>
      </c>
      <c r="I111" s="30">
        <v>165</v>
      </c>
      <c r="J111" s="30"/>
      <c r="K111" s="31">
        <v>9262.5</v>
      </c>
      <c r="L111" s="31">
        <v>25000</v>
      </c>
      <c r="M111" s="31">
        <v>25500</v>
      </c>
      <c r="N111" s="32">
        <v>-0.62949999999999995</v>
      </c>
      <c r="O111" s="32">
        <v>-0.63676470588235301</v>
      </c>
      <c r="P111" s="30">
        <v>0.55743243243243301</v>
      </c>
      <c r="Q111" s="31">
        <v>31.292229729729701</v>
      </c>
    </row>
    <row r="112" spans="1:17" ht="15" customHeight="1" x14ac:dyDescent="0.2">
      <c r="A112" s="17" t="s">
        <v>286</v>
      </c>
      <c r="B112" s="18" t="s">
        <v>148</v>
      </c>
      <c r="C112" s="18" t="s">
        <v>267</v>
      </c>
      <c r="D112" s="20">
        <v>50</v>
      </c>
      <c r="E112" s="17" t="s">
        <v>507</v>
      </c>
      <c r="F112" s="19" t="s">
        <v>501</v>
      </c>
      <c r="G112" s="19" t="s">
        <v>508</v>
      </c>
      <c r="H112" s="19" t="s">
        <v>509</v>
      </c>
      <c r="I112" s="21">
        <v>149</v>
      </c>
      <c r="J112" s="21"/>
      <c r="K112" s="22">
        <v>8937.5</v>
      </c>
      <c r="L112" s="22">
        <v>9000</v>
      </c>
      <c r="M112" s="22">
        <v>9050</v>
      </c>
      <c r="N112" s="23">
        <v>-6.9444444444444397E-3</v>
      </c>
      <c r="O112" s="23">
        <v>-1.24309392265193E-2</v>
      </c>
      <c r="P112" s="21">
        <v>2.98</v>
      </c>
      <c r="Q112" s="22">
        <v>178.75</v>
      </c>
    </row>
    <row r="113" spans="1:17" ht="15" customHeight="1" x14ac:dyDescent="0.2">
      <c r="A113" s="26" t="s">
        <v>287</v>
      </c>
      <c r="B113" s="27" t="s">
        <v>148</v>
      </c>
      <c r="C113" s="27" t="s">
        <v>267</v>
      </c>
      <c r="D113" s="29">
        <v>163</v>
      </c>
      <c r="E113" s="26" t="s">
        <v>507</v>
      </c>
      <c r="F113" s="28" t="s">
        <v>501</v>
      </c>
      <c r="G113" s="28" t="s">
        <v>508</v>
      </c>
      <c r="H113" s="28" t="s">
        <v>509</v>
      </c>
      <c r="I113" s="30">
        <v>335</v>
      </c>
      <c r="J113" s="30"/>
      <c r="K113" s="31">
        <v>19701</v>
      </c>
      <c r="L113" s="31">
        <v>24400</v>
      </c>
      <c r="M113" s="31">
        <v>25450</v>
      </c>
      <c r="N113" s="32">
        <v>-0.19258196721311499</v>
      </c>
      <c r="O113" s="32">
        <v>-0.22589390962671901</v>
      </c>
      <c r="P113" s="30">
        <v>2.05521472392638</v>
      </c>
      <c r="Q113" s="31">
        <v>120.86503067484701</v>
      </c>
    </row>
    <row r="114" spans="1:17" ht="15" customHeight="1" x14ac:dyDescent="0.2">
      <c r="A114" s="17" t="s">
        <v>289</v>
      </c>
      <c r="B114" s="18" t="s">
        <v>148</v>
      </c>
      <c r="C114" s="18" t="s">
        <v>267</v>
      </c>
      <c r="D114" s="20">
        <v>107</v>
      </c>
      <c r="E114" s="17" t="s">
        <v>507</v>
      </c>
      <c r="F114" s="19" t="s">
        <v>501</v>
      </c>
      <c r="G114" s="19" t="s">
        <v>508</v>
      </c>
      <c r="H114" s="19" t="s">
        <v>509</v>
      </c>
      <c r="I114" s="21">
        <v>225.5</v>
      </c>
      <c r="J114" s="21"/>
      <c r="K114" s="22">
        <v>12636.5</v>
      </c>
      <c r="L114" s="22">
        <v>18190</v>
      </c>
      <c r="M114" s="22">
        <v>20540</v>
      </c>
      <c r="N114" s="23">
        <v>-0.30530511269928501</v>
      </c>
      <c r="O114" s="23">
        <v>-0.38478578383641698</v>
      </c>
      <c r="P114" s="21">
        <v>2.1074766355140202</v>
      </c>
      <c r="Q114" s="22">
        <v>118.098130841122</v>
      </c>
    </row>
    <row r="115" spans="1:17" ht="15" customHeight="1" x14ac:dyDescent="0.2">
      <c r="A115" s="26" t="s">
        <v>292</v>
      </c>
      <c r="B115" s="27" t="s">
        <v>148</v>
      </c>
      <c r="C115" s="27" t="s">
        <v>267</v>
      </c>
      <c r="D115" s="29">
        <v>136</v>
      </c>
      <c r="E115" s="26" t="s">
        <v>507</v>
      </c>
      <c r="F115" s="28" t="s">
        <v>501</v>
      </c>
      <c r="G115" s="28" t="s">
        <v>508</v>
      </c>
      <c r="H115" s="28" t="s">
        <v>509</v>
      </c>
      <c r="I115" s="30">
        <v>281</v>
      </c>
      <c r="J115" s="30"/>
      <c r="K115" s="31">
        <v>16497</v>
      </c>
      <c r="L115" s="31">
        <v>19575</v>
      </c>
      <c r="M115" s="31">
        <v>19675</v>
      </c>
      <c r="N115" s="32">
        <v>-0.15724137931034499</v>
      </c>
      <c r="O115" s="32">
        <v>-0.16152477763659501</v>
      </c>
      <c r="P115" s="30">
        <v>2.0661764705882399</v>
      </c>
      <c r="Q115" s="31">
        <v>121.30147058823501</v>
      </c>
    </row>
    <row r="116" spans="1:17" ht="15" customHeight="1" x14ac:dyDescent="0.2">
      <c r="A116" s="17" t="s">
        <v>295</v>
      </c>
      <c r="B116" s="18" t="s">
        <v>148</v>
      </c>
      <c r="C116" s="18" t="s">
        <v>267</v>
      </c>
      <c r="D116" s="20">
        <v>68</v>
      </c>
      <c r="E116" s="17" t="s">
        <v>507</v>
      </c>
      <c r="F116" s="19" t="s">
        <v>501</v>
      </c>
      <c r="G116" s="19" t="s">
        <v>508</v>
      </c>
      <c r="H116" s="19" t="s">
        <v>509</v>
      </c>
      <c r="I116" s="21">
        <v>72</v>
      </c>
      <c r="J116" s="21"/>
      <c r="K116" s="22">
        <v>4181.5</v>
      </c>
      <c r="L116" s="22">
        <v>9860</v>
      </c>
      <c r="M116" s="22">
        <v>9960</v>
      </c>
      <c r="N116" s="23">
        <v>-0.57591277890466497</v>
      </c>
      <c r="O116" s="23">
        <v>-0.58017068273092398</v>
      </c>
      <c r="P116" s="21">
        <v>1.05882352941177</v>
      </c>
      <c r="Q116" s="22">
        <v>61.492647058823501</v>
      </c>
    </row>
    <row r="117" spans="1:17" ht="15" customHeight="1" x14ac:dyDescent="0.2">
      <c r="A117" s="26" t="s">
        <v>298</v>
      </c>
      <c r="B117" s="27" t="s">
        <v>148</v>
      </c>
      <c r="C117" s="27" t="s">
        <v>267</v>
      </c>
      <c r="D117" s="29">
        <v>98</v>
      </c>
      <c r="E117" s="26" t="s">
        <v>507</v>
      </c>
      <c r="F117" s="28" t="s">
        <v>501</v>
      </c>
      <c r="G117" s="28" t="s">
        <v>508</v>
      </c>
      <c r="H117" s="28" t="s">
        <v>509</v>
      </c>
      <c r="I117" s="30">
        <v>102.5</v>
      </c>
      <c r="J117" s="30"/>
      <c r="K117" s="31">
        <v>6150.5</v>
      </c>
      <c r="L117" s="31">
        <v>13200</v>
      </c>
      <c r="M117" s="31">
        <v>14700</v>
      </c>
      <c r="N117" s="32">
        <v>-0.53405303030302997</v>
      </c>
      <c r="O117" s="32">
        <v>-0.58159863945578205</v>
      </c>
      <c r="P117" s="30">
        <v>1.0459183673469401</v>
      </c>
      <c r="Q117" s="31">
        <v>62.7602040816327</v>
      </c>
    </row>
    <row r="118" spans="1:17" ht="15" customHeight="1" x14ac:dyDescent="0.2">
      <c r="A118" s="17" t="s">
        <v>300</v>
      </c>
      <c r="B118" s="18" t="s">
        <v>148</v>
      </c>
      <c r="C118" s="18" t="s">
        <v>267</v>
      </c>
      <c r="D118" s="20">
        <v>321</v>
      </c>
      <c r="E118" s="17" t="s">
        <v>507</v>
      </c>
      <c r="F118" s="19" t="s">
        <v>501</v>
      </c>
      <c r="G118" s="19" t="s">
        <v>508</v>
      </c>
      <c r="H118" s="19" t="s">
        <v>509</v>
      </c>
      <c r="I118" s="21">
        <v>531</v>
      </c>
      <c r="J118" s="21"/>
      <c r="K118" s="22">
        <v>31609</v>
      </c>
      <c r="L118" s="22">
        <v>64200</v>
      </c>
      <c r="M118" s="22">
        <v>64300</v>
      </c>
      <c r="N118" s="23">
        <v>-0.50764797507788195</v>
      </c>
      <c r="O118" s="23">
        <v>-0.50841368584758895</v>
      </c>
      <c r="P118" s="21">
        <v>1.65420560747664</v>
      </c>
      <c r="Q118" s="22">
        <v>98.470404984423695</v>
      </c>
    </row>
    <row r="119" spans="1:17" ht="15" customHeight="1" x14ac:dyDescent="0.2">
      <c r="A119" s="26" t="s">
        <v>302</v>
      </c>
      <c r="B119" s="27" t="s">
        <v>148</v>
      </c>
      <c r="C119" s="27" t="s">
        <v>267</v>
      </c>
      <c r="D119" s="29">
        <v>111</v>
      </c>
      <c r="E119" s="26" t="s">
        <v>507</v>
      </c>
      <c r="F119" s="28" t="s">
        <v>501</v>
      </c>
      <c r="G119" s="28" t="s">
        <v>508</v>
      </c>
      <c r="H119" s="28" t="s">
        <v>509</v>
      </c>
      <c r="I119" s="30">
        <v>169</v>
      </c>
      <c r="J119" s="30"/>
      <c r="K119" s="31">
        <v>9538</v>
      </c>
      <c r="L119" s="31">
        <v>13910</v>
      </c>
      <c r="M119" s="31">
        <v>14210</v>
      </c>
      <c r="N119" s="32">
        <v>-0.31430625449317001</v>
      </c>
      <c r="O119" s="32">
        <v>-0.328782547501759</v>
      </c>
      <c r="P119" s="30">
        <v>1.5225225225225201</v>
      </c>
      <c r="Q119" s="31">
        <v>85.927927927927897</v>
      </c>
    </row>
    <row r="120" spans="1:17" ht="15" customHeight="1" x14ac:dyDescent="0.2">
      <c r="A120" s="17" t="s">
        <v>304</v>
      </c>
      <c r="B120" s="18" t="s">
        <v>148</v>
      </c>
      <c r="C120" s="18" t="s">
        <v>267</v>
      </c>
      <c r="D120" s="20">
        <v>77</v>
      </c>
      <c r="E120" s="17" t="s">
        <v>507</v>
      </c>
      <c r="F120" s="19" t="s">
        <v>501</v>
      </c>
      <c r="G120" s="19" t="s">
        <v>508</v>
      </c>
      <c r="H120" s="19" t="s">
        <v>509</v>
      </c>
      <c r="I120" s="21">
        <v>105</v>
      </c>
      <c r="J120" s="21"/>
      <c r="K120" s="22">
        <v>6184.5</v>
      </c>
      <c r="L120" s="22">
        <v>11165</v>
      </c>
      <c r="M120" s="22">
        <v>11215</v>
      </c>
      <c r="N120" s="23">
        <v>-0.44608150470219399</v>
      </c>
      <c r="O120" s="23">
        <v>-0.44855104770396798</v>
      </c>
      <c r="P120" s="21">
        <v>1.36363636363636</v>
      </c>
      <c r="Q120" s="22">
        <v>80.318181818181799</v>
      </c>
    </row>
    <row r="121" spans="1:17" ht="15" customHeight="1" x14ac:dyDescent="0.2">
      <c r="A121" s="26" t="s">
        <v>306</v>
      </c>
      <c r="B121" s="27" t="s">
        <v>148</v>
      </c>
      <c r="C121" s="27" t="s">
        <v>267</v>
      </c>
      <c r="D121" s="29">
        <v>365</v>
      </c>
      <c r="E121" s="26" t="s">
        <v>507</v>
      </c>
      <c r="F121" s="28" t="s">
        <v>501</v>
      </c>
      <c r="G121" s="28" t="s">
        <v>508</v>
      </c>
      <c r="H121" s="28" t="s">
        <v>509</v>
      </c>
      <c r="I121" s="30">
        <v>347</v>
      </c>
      <c r="J121" s="30"/>
      <c r="K121" s="31">
        <v>19998</v>
      </c>
      <c r="L121" s="31">
        <v>30200</v>
      </c>
      <c r="M121" s="31">
        <v>30200</v>
      </c>
      <c r="N121" s="32">
        <v>-0.33781456953642403</v>
      </c>
      <c r="O121" s="32">
        <v>-0.33781456953642403</v>
      </c>
      <c r="P121" s="30">
        <v>0.95068493150684896</v>
      </c>
      <c r="Q121" s="31">
        <v>54.789041095890397</v>
      </c>
    </row>
    <row r="122" spans="1:17" ht="15" customHeight="1" x14ac:dyDescent="0.2">
      <c r="A122" s="17" t="s">
        <v>309</v>
      </c>
      <c r="B122" s="18" t="s">
        <v>148</v>
      </c>
      <c r="C122" s="18" t="s">
        <v>267</v>
      </c>
      <c r="D122" s="20">
        <v>270</v>
      </c>
      <c r="E122" s="17" t="s">
        <v>507</v>
      </c>
      <c r="F122" s="19" t="s">
        <v>501</v>
      </c>
      <c r="G122" s="19" t="s">
        <v>508</v>
      </c>
      <c r="H122" s="19" t="s">
        <v>509</v>
      </c>
      <c r="I122" s="21">
        <v>504.5</v>
      </c>
      <c r="J122" s="21"/>
      <c r="K122" s="22">
        <v>30723</v>
      </c>
      <c r="L122" s="22">
        <v>66500</v>
      </c>
      <c r="M122" s="22">
        <v>81000</v>
      </c>
      <c r="N122" s="23">
        <v>-0.53800000000000003</v>
      </c>
      <c r="O122" s="23">
        <v>-0.62070370370370398</v>
      </c>
      <c r="P122" s="21">
        <v>1.86851851851852</v>
      </c>
      <c r="Q122" s="22">
        <v>113.78888888888901</v>
      </c>
    </row>
    <row r="123" spans="1:17" ht="15" customHeight="1" x14ac:dyDescent="0.2">
      <c r="A123" s="35" t="s">
        <v>312</v>
      </c>
      <c r="B123" s="36" t="s">
        <v>313</v>
      </c>
      <c r="C123" s="36" t="s">
        <v>267</v>
      </c>
      <c r="D123" s="38">
        <v>170</v>
      </c>
      <c r="E123" s="35" t="s">
        <v>507</v>
      </c>
      <c r="F123" s="37" t="s">
        <v>501</v>
      </c>
      <c r="G123" s="37" t="s">
        <v>508</v>
      </c>
      <c r="H123" s="37" t="s">
        <v>509</v>
      </c>
      <c r="I123" s="39">
        <v>480</v>
      </c>
      <c r="J123" s="39"/>
      <c r="K123" s="40">
        <v>28199</v>
      </c>
      <c r="L123" s="40">
        <v>29750</v>
      </c>
      <c r="M123" s="40">
        <v>30000</v>
      </c>
      <c r="N123" s="41">
        <v>-5.2134453781512602E-2</v>
      </c>
      <c r="O123" s="41">
        <v>-6.00333333333333E-2</v>
      </c>
      <c r="P123" s="39">
        <v>2.8235294117647101</v>
      </c>
      <c r="Q123" s="40">
        <v>165.87647058823501</v>
      </c>
    </row>
    <row r="124" spans="1:17" ht="15" customHeight="1" x14ac:dyDescent="0.2">
      <c r="A124" s="35" t="s">
        <v>316</v>
      </c>
      <c r="B124" s="36" t="s">
        <v>313</v>
      </c>
      <c r="C124" s="36" t="s">
        <v>267</v>
      </c>
      <c r="D124" s="38">
        <v>234</v>
      </c>
      <c r="E124" s="35" t="s">
        <v>507</v>
      </c>
      <c r="F124" s="37" t="s">
        <v>501</v>
      </c>
      <c r="G124" s="37" t="s">
        <v>508</v>
      </c>
      <c r="H124" s="37" t="s">
        <v>509</v>
      </c>
      <c r="I124" s="39">
        <v>855.25</v>
      </c>
      <c r="J124" s="39"/>
      <c r="K124" s="40">
        <v>52674</v>
      </c>
      <c r="L124" s="40">
        <v>40950</v>
      </c>
      <c r="M124" s="40">
        <v>50300</v>
      </c>
      <c r="N124" s="41">
        <v>0.28630036630036598</v>
      </c>
      <c r="O124" s="41">
        <v>4.7196819085487098E-2</v>
      </c>
      <c r="P124" s="39">
        <v>3.6549145299145298</v>
      </c>
      <c r="Q124" s="40">
        <v>225.102564102564</v>
      </c>
    </row>
    <row r="125" spans="1:17" ht="15" customHeight="1" x14ac:dyDescent="0.2">
      <c r="A125" s="35" t="s">
        <v>319</v>
      </c>
      <c r="B125" s="36" t="s">
        <v>313</v>
      </c>
      <c r="C125" s="36" t="s">
        <v>267</v>
      </c>
      <c r="D125" s="38">
        <v>24</v>
      </c>
      <c r="E125" s="35" t="s">
        <v>507</v>
      </c>
      <c r="F125" s="37" t="s">
        <v>501</v>
      </c>
      <c r="G125" s="37" t="s">
        <v>508</v>
      </c>
      <c r="H125" s="37" t="s">
        <v>509</v>
      </c>
      <c r="I125" s="39">
        <v>153.5</v>
      </c>
      <c r="J125" s="39"/>
      <c r="K125" s="40">
        <v>9215</v>
      </c>
      <c r="L125" s="40">
        <v>4800</v>
      </c>
      <c r="M125" s="40">
        <v>4800</v>
      </c>
      <c r="N125" s="41">
        <v>0.91979166666666701</v>
      </c>
      <c r="O125" s="41">
        <v>0.91979166666666701</v>
      </c>
      <c r="P125" s="39">
        <v>6.3958333333333304</v>
      </c>
      <c r="Q125" s="40">
        <v>383.95833333333297</v>
      </c>
    </row>
    <row r="126" spans="1:17" ht="15" customHeight="1" x14ac:dyDescent="0.2">
      <c r="A126" s="35" t="s">
        <v>322</v>
      </c>
      <c r="B126" s="36" t="s">
        <v>313</v>
      </c>
      <c r="C126" s="36" t="s">
        <v>267</v>
      </c>
      <c r="D126" s="38">
        <v>219</v>
      </c>
      <c r="E126" s="35" t="s">
        <v>507</v>
      </c>
      <c r="F126" s="37" t="s">
        <v>501</v>
      </c>
      <c r="G126" s="37" t="s">
        <v>508</v>
      </c>
      <c r="H126" s="37" t="s">
        <v>509</v>
      </c>
      <c r="I126" s="39">
        <v>43.5</v>
      </c>
      <c r="J126" s="39">
        <v>1</v>
      </c>
      <c r="K126" s="40">
        <v>3014</v>
      </c>
      <c r="L126" s="40"/>
      <c r="M126" s="40"/>
      <c r="N126" s="41"/>
      <c r="O126" s="41"/>
      <c r="P126" s="39">
        <v>0.198630136986301</v>
      </c>
      <c r="Q126" s="40">
        <v>13.762557077625599</v>
      </c>
    </row>
    <row r="127" spans="1:17" ht="15" customHeight="1" x14ac:dyDescent="0.2">
      <c r="A127" s="35" t="s">
        <v>325</v>
      </c>
      <c r="B127" s="36" t="s">
        <v>313</v>
      </c>
      <c r="C127" s="36" t="s">
        <v>267</v>
      </c>
      <c r="D127" s="38">
        <v>146</v>
      </c>
      <c r="E127" s="35" t="s">
        <v>507</v>
      </c>
      <c r="F127" s="37" t="s">
        <v>501</v>
      </c>
      <c r="G127" s="37" t="s">
        <v>508</v>
      </c>
      <c r="H127" s="37" t="s">
        <v>509</v>
      </c>
      <c r="I127" s="39">
        <v>151</v>
      </c>
      <c r="J127" s="39"/>
      <c r="K127" s="40">
        <v>9913.25</v>
      </c>
      <c r="L127" s="40"/>
      <c r="M127" s="40"/>
      <c r="N127" s="41"/>
      <c r="O127" s="41"/>
      <c r="P127" s="39">
        <v>1.0342465753424701</v>
      </c>
      <c r="Q127" s="40">
        <v>67.898972602739704</v>
      </c>
    </row>
    <row r="128" spans="1:17" ht="15" customHeight="1" x14ac:dyDescent="0.2">
      <c r="A128" s="35" t="s">
        <v>327</v>
      </c>
      <c r="B128" s="36" t="s">
        <v>313</v>
      </c>
      <c r="C128" s="36" t="s">
        <v>267</v>
      </c>
      <c r="D128" s="38">
        <v>244</v>
      </c>
      <c r="E128" s="35" t="s">
        <v>507</v>
      </c>
      <c r="F128" s="37" t="s">
        <v>501</v>
      </c>
      <c r="G128" s="37" t="s">
        <v>508</v>
      </c>
      <c r="H128" s="37" t="s">
        <v>509</v>
      </c>
      <c r="I128" s="39">
        <v>763</v>
      </c>
      <c r="J128" s="39"/>
      <c r="K128" s="40">
        <v>48115.5</v>
      </c>
      <c r="L128" s="40">
        <v>40260</v>
      </c>
      <c r="M128" s="40">
        <v>45160</v>
      </c>
      <c r="N128" s="41">
        <v>0.19511922503725801</v>
      </c>
      <c r="O128" s="41">
        <v>6.5445084145261304E-2</v>
      </c>
      <c r="P128" s="39">
        <v>3.1270491803278699</v>
      </c>
      <c r="Q128" s="40">
        <v>197.194672131148</v>
      </c>
    </row>
    <row r="129" spans="1:17" ht="15" customHeight="1" x14ac:dyDescent="0.2">
      <c r="A129" s="35" t="s">
        <v>329</v>
      </c>
      <c r="B129" s="36" t="s">
        <v>313</v>
      </c>
      <c r="C129" s="36" t="s">
        <v>330</v>
      </c>
      <c r="D129" s="38">
        <v>186</v>
      </c>
      <c r="E129" s="35" t="s">
        <v>507</v>
      </c>
      <c r="F129" s="37" t="s">
        <v>501</v>
      </c>
      <c r="G129" s="37" t="s">
        <v>508</v>
      </c>
      <c r="H129" s="37" t="s">
        <v>509</v>
      </c>
      <c r="I129" s="39">
        <v>428</v>
      </c>
      <c r="J129" s="39"/>
      <c r="K129" s="40">
        <v>26982.5</v>
      </c>
      <c r="L129" s="40">
        <v>32550</v>
      </c>
      <c r="M129" s="40">
        <v>36150</v>
      </c>
      <c r="N129" s="41">
        <v>-0.17104454685099901</v>
      </c>
      <c r="O129" s="41">
        <v>-0.25359612724758002</v>
      </c>
      <c r="P129" s="39">
        <v>2.3010752688172</v>
      </c>
      <c r="Q129" s="40">
        <v>145.06720430107501</v>
      </c>
    </row>
    <row r="130" spans="1:17" ht="15" customHeight="1" x14ac:dyDescent="0.2">
      <c r="A130" s="35" t="s">
        <v>334</v>
      </c>
      <c r="B130" s="36" t="s">
        <v>313</v>
      </c>
      <c r="C130" s="36" t="s">
        <v>330</v>
      </c>
      <c r="D130" s="38">
        <v>20</v>
      </c>
      <c r="E130" s="35" t="s">
        <v>507</v>
      </c>
      <c r="F130" s="37" t="s">
        <v>501</v>
      </c>
      <c r="G130" s="37" t="s">
        <v>508</v>
      </c>
      <c r="H130" s="37" t="s">
        <v>509</v>
      </c>
      <c r="I130" s="39">
        <v>171</v>
      </c>
      <c r="J130" s="39"/>
      <c r="K130" s="40">
        <v>10619.25</v>
      </c>
      <c r="L130" s="40">
        <v>6000</v>
      </c>
      <c r="M130" s="40">
        <v>7000</v>
      </c>
      <c r="N130" s="41">
        <v>0.76987499999999998</v>
      </c>
      <c r="O130" s="41">
        <v>0.51703571428571404</v>
      </c>
      <c r="P130" s="39">
        <v>8.5500000000000007</v>
      </c>
      <c r="Q130" s="40">
        <v>530.96249999999998</v>
      </c>
    </row>
    <row r="131" spans="1:17" ht="15" customHeight="1" x14ac:dyDescent="0.2">
      <c r="A131" s="35" t="s">
        <v>338</v>
      </c>
      <c r="B131" s="36" t="s">
        <v>313</v>
      </c>
      <c r="C131" s="36" t="s">
        <v>267</v>
      </c>
      <c r="D131" s="38">
        <v>239</v>
      </c>
      <c r="E131" s="35" t="s">
        <v>507</v>
      </c>
      <c r="F131" s="37" t="s">
        <v>501</v>
      </c>
      <c r="G131" s="37" t="s">
        <v>508</v>
      </c>
      <c r="H131" s="37" t="s">
        <v>509</v>
      </c>
      <c r="I131" s="39">
        <v>114.25</v>
      </c>
      <c r="J131" s="39"/>
      <c r="K131" s="40">
        <v>7372.25</v>
      </c>
      <c r="L131" s="40"/>
      <c r="M131" s="40"/>
      <c r="N131" s="41"/>
      <c r="O131" s="41"/>
      <c r="P131" s="39">
        <v>0.47803347280334701</v>
      </c>
      <c r="Q131" s="40">
        <v>30.846234309623402</v>
      </c>
    </row>
    <row r="132" spans="1:17" ht="15" customHeight="1" x14ac:dyDescent="0.2">
      <c r="A132" s="35" t="s">
        <v>341</v>
      </c>
      <c r="B132" s="36" t="s">
        <v>313</v>
      </c>
      <c r="C132" s="36" t="s">
        <v>267</v>
      </c>
      <c r="D132" s="38">
        <v>201</v>
      </c>
      <c r="E132" s="35" t="s">
        <v>507</v>
      </c>
      <c r="F132" s="37" t="s">
        <v>501</v>
      </c>
      <c r="G132" s="37" t="s">
        <v>508</v>
      </c>
      <c r="H132" s="37" t="s">
        <v>509</v>
      </c>
      <c r="I132" s="39">
        <v>26.25</v>
      </c>
      <c r="J132" s="39"/>
      <c r="K132" s="40">
        <v>1653.75</v>
      </c>
      <c r="L132" s="40"/>
      <c r="M132" s="40"/>
      <c r="N132" s="41"/>
      <c r="O132" s="41"/>
      <c r="P132" s="39">
        <v>0.13059701492537301</v>
      </c>
      <c r="Q132" s="40">
        <v>8.2276119402985106</v>
      </c>
    </row>
    <row r="133" spans="1:17" ht="15" customHeight="1" x14ac:dyDescent="0.2">
      <c r="A133" s="35" t="s">
        <v>343</v>
      </c>
      <c r="B133" s="36" t="s">
        <v>313</v>
      </c>
      <c r="C133" s="36" t="s">
        <v>267</v>
      </c>
      <c r="D133" s="38">
        <v>166</v>
      </c>
      <c r="E133" s="35" t="s">
        <v>507</v>
      </c>
      <c r="F133" s="37" t="s">
        <v>501</v>
      </c>
      <c r="G133" s="37" t="s">
        <v>508</v>
      </c>
      <c r="H133" s="37" t="s">
        <v>509</v>
      </c>
      <c r="I133" s="39">
        <v>100</v>
      </c>
      <c r="J133" s="39"/>
      <c r="K133" s="40">
        <v>6420</v>
      </c>
      <c r="L133" s="40">
        <v>25398</v>
      </c>
      <c r="M133" s="40">
        <v>25398</v>
      </c>
      <c r="N133" s="41">
        <v>-0.74722419088117198</v>
      </c>
      <c r="O133" s="41">
        <v>-0.74722419088117198</v>
      </c>
      <c r="P133" s="39">
        <v>0.60240963855421703</v>
      </c>
      <c r="Q133" s="40">
        <v>38.674698795180703</v>
      </c>
    </row>
    <row r="134" spans="1:17" ht="15" customHeight="1" x14ac:dyDescent="0.2">
      <c r="A134" s="35" t="s">
        <v>346</v>
      </c>
      <c r="B134" s="36" t="s">
        <v>313</v>
      </c>
      <c r="C134" s="36" t="s">
        <v>267</v>
      </c>
      <c r="D134" s="38">
        <v>104</v>
      </c>
      <c r="E134" s="35" t="s">
        <v>507</v>
      </c>
      <c r="F134" s="37" t="s">
        <v>501</v>
      </c>
      <c r="G134" s="37" t="s">
        <v>508</v>
      </c>
      <c r="H134" s="37" t="s">
        <v>509</v>
      </c>
      <c r="I134" s="39">
        <v>3</v>
      </c>
      <c r="J134" s="39"/>
      <c r="K134" s="40">
        <v>197</v>
      </c>
      <c r="L134" s="40"/>
      <c r="M134" s="40"/>
      <c r="N134" s="41"/>
      <c r="O134" s="41"/>
      <c r="P134" s="39">
        <v>2.88461538461539E-2</v>
      </c>
      <c r="Q134" s="40">
        <v>1.8942307692307701</v>
      </c>
    </row>
    <row r="135" spans="1:17" ht="15" customHeight="1" x14ac:dyDescent="0.2">
      <c r="A135" s="26" t="s">
        <v>147</v>
      </c>
      <c r="B135" s="27" t="s">
        <v>148</v>
      </c>
      <c r="C135" s="27" t="s">
        <v>149</v>
      </c>
      <c r="D135" s="29">
        <v>234</v>
      </c>
      <c r="E135" s="26" t="s">
        <v>510</v>
      </c>
      <c r="F135" s="28" t="s">
        <v>501</v>
      </c>
      <c r="G135" s="28" t="s">
        <v>502</v>
      </c>
      <c r="H135" s="28" t="s">
        <v>511</v>
      </c>
      <c r="I135" s="30"/>
      <c r="J135" s="30"/>
      <c r="K135" s="31">
        <v>5128.2700000000004</v>
      </c>
      <c r="L135" s="31">
        <v>6500</v>
      </c>
      <c r="M135" s="31">
        <v>6500</v>
      </c>
      <c r="N135" s="32">
        <v>-0.21103538461538501</v>
      </c>
      <c r="O135" s="32">
        <v>-0.21103538461538501</v>
      </c>
      <c r="P135" s="30"/>
      <c r="Q135" s="31">
        <v>21.915683760683802</v>
      </c>
    </row>
    <row r="136" spans="1:17" ht="15" customHeight="1" x14ac:dyDescent="0.2">
      <c r="A136" s="17" t="s">
        <v>152</v>
      </c>
      <c r="B136" s="18" t="s">
        <v>148</v>
      </c>
      <c r="C136" s="18" t="s">
        <v>149</v>
      </c>
      <c r="D136" s="20">
        <v>258</v>
      </c>
      <c r="E136" s="17" t="s">
        <v>510</v>
      </c>
      <c r="F136" s="19" t="s">
        <v>501</v>
      </c>
      <c r="G136" s="19" t="s">
        <v>502</v>
      </c>
      <c r="H136" s="19" t="s">
        <v>511</v>
      </c>
      <c r="I136" s="21"/>
      <c r="J136" s="21"/>
      <c r="K136" s="22">
        <v>7757.5</v>
      </c>
      <c r="L136" s="22">
        <v>5440</v>
      </c>
      <c r="M136" s="22">
        <v>5440</v>
      </c>
      <c r="N136" s="23">
        <v>0.426011029411765</v>
      </c>
      <c r="O136" s="23">
        <v>0.426011029411765</v>
      </c>
      <c r="P136" s="21"/>
      <c r="Q136" s="22">
        <v>30.067829457364301</v>
      </c>
    </row>
    <row r="137" spans="1:17" ht="15" customHeight="1" x14ac:dyDescent="0.2">
      <c r="A137" s="26" t="s">
        <v>154</v>
      </c>
      <c r="B137" s="27" t="s">
        <v>148</v>
      </c>
      <c r="C137" s="27" t="s">
        <v>149</v>
      </c>
      <c r="D137" s="29">
        <v>56</v>
      </c>
      <c r="E137" s="26" t="s">
        <v>510</v>
      </c>
      <c r="F137" s="28" t="s">
        <v>501</v>
      </c>
      <c r="G137" s="28" t="s">
        <v>502</v>
      </c>
      <c r="H137" s="28" t="s">
        <v>511</v>
      </c>
      <c r="I137" s="30"/>
      <c r="J137" s="30"/>
      <c r="K137" s="31">
        <v>4209</v>
      </c>
      <c r="L137" s="31">
        <v>5350</v>
      </c>
      <c r="M137" s="31">
        <v>5350</v>
      </c>
      <c r="N137" s="32">
        <v>-0.21327102803738299</v>
      </c>
      <c r="O137" s="32">
        <v>-0.21327102803738299</v>
      </c>
      <c r="P137" s="30"/>
      <c r="Q137" s="31">
        <v>75.160714285714306</v>
      </c>
    </row>
    <row r="138" spans="1:17" ht="15" customHeight="1" x14ac:dyDescent="0.2">
      <c r="A138" s="17" t="s">
        <v>157</v>
      </c>
      <c r="B138" s="18" t="s">
        <v>148</v>
      </c>
      <c r="C138" s="18" t="s">
        <v>149</v>
      </c>
      <c r="D138" s="20">
        <v>149</v>
      </c>
      <c r="E138" s="17" t="s">
        <v>510</v>
      </c>
      <c r="F138" s="19" t="s">
        <v>501</v>
      </c>
      <c r="G138" s="19" t="s">
        <v>502</v>
      </c>
      <c r="H138" s="19" t="s">
        <v>511</v>
      </c>
      <c r="I138" s="21"/>
      <c r="J138" s="21"/>
      <c r="K138" s="22">
        <v>959</v>
      </c>
      <c r="L138" s="22">
        <v>3820</v>
      </c>
      <c r="M138" s="22">
        <v>3820</v>
      </c>
      <c r="N138" s="23">
        <v>-0.74895287958115198</v>
      </c>
      <c r="O138" s="23">
        <v>-0.74895287958115198</v>
      </c>
      <c r="P138" s="21"/>
      <c r="Q138" s="22">
        <v>6.4362416107382598</v>
      </c>
    </row>
    <row r="139" spans="1:17" ht="15" customHeight="1" x14ac:dyDescent="0.2">
      <c r="A139" s="26" t="s">
        <v>159</v>
      </c>
      <c r="B139" s="27" t="s">
        <v>148</v>
      </c>
      <c r="C139" s="27" t="s">
        <v>149</v>
      </c>
      <c r="D139" s="29">
        <v>117</v>
      </c>
      <c r="E139" s="26" t="s">
        <v>510</v>
      </c>
      <c r="F139" s="28" t="s">
        <v>501</v>
      </c>
      <c r="G139" s="28" t="s">
        <v>502</v>
      </c>
      <c r="H139" s="28" t="s">
        <v>511</v>
      </c>
      <c r="I139" s="30"/>
      <c r="J139" s="30"/>
      <c r="K139" s="31">
        <v>6703</v>
      </c>
      <c r="L139" s="31">
        <v>13150</v>
      </c>
      <c r="M139" s="31">
        <v>13150</v>
      </c>
      <c r="N139" s="32">
        <v>-0.49026615969581799</v>
      </c>
      <c r="O139" s="32">
        <v>-0.49026615969581799</v>
      </c>
      <c r="P139" s="30"/>
      <c r="Q139" s="31">
        <v>57.290598290598297</v>
      </c>
    </row>
    <row r="140" spans="1:17" ht="15" customHeight="1" x14ac:dyDescent="0.2">
      <c r="A140" s="17" t="s">
        <v>161</v>
      </c>
      <c r="B140" s="18" t="s">
        <v>148</v>
      </c>
      <c r="C140" s="18" t="s">
        <v>149</v>
      </c>
      <c r="D140" s="20">
        <v>162</v>
      </c>
      <c r="E140" s="17" t="s">
        <v>510</v>
      </c>
      <c r="F140" s="19" t="s">
        <v>501</v>
      </c>
      <c r="G140" s="19" t="s">
        <v>502</v>
      </c>
      <c r="H140" s="19" t="s">
        <v>511</v>
      </c>
      <c r="I140" s="21">
        <v>145.5</v>
      </c>
      <c r="J140" s="21"/>
      <c r="K140" s="22">
        <v>3184.25</v>
      </c>
      <c r="L140" s="22">
        <v>5800</v>
      </c>
      <c r="M140" s="22">
        <v>5800</v>
      </c>
      <c r="N140" s="23">
        <v>-0.450991379310345</v>
      </c>
      <c r="O140" s="23">
        <v>-0.450991379310345</v>
      </c>
      <c r="P140" s="21">
        <v>0.89814814814814803</v>
      </c>
      <c r="Q140" s="22">
        <v>19.655864197530899</v>
      </c>
    </row>
    <row r="141" spans="1:17" ht="15" customHeight="1" x14ac:dyDescent="0.2">
      <c r="A141" s="26" t="s">
        <v>165</v>
      </c>
      <c r="B141" s="27" t="s">
        <v>148</v>
      </c>
      <c r="C141" s="27" t="s">
        <v>149</v>
      </c>
      <c r="D141" s="29">
        <v>197</v>
      </c>
      <c r="E141" s="26" t="s">
        <v>510</v>
      </c>
      <c r="F141" s="28" t="s">
        <v>501</v>
      </c>
      <c r="G141" s="28" t="s">
        <v>502</v>
      </c>
      <c r="H141" s="28" t="s">
        <v>511</v>
      </c>
      <c r="I141" s="30"/>
      <c r="J141" s="30"/>
      <c r="K141" s="31">
        <v>7731</v>
      </c>
      <c r="L141" s="31">
        <v>6080</v>
      </c>
      <c r="M141" s="31">
        <v>7830</v>
      </c>
      <c r="N141" s="32">
        <v>0.27154605263157899</v>
      </c>
      <c r="O141" s="32">
        <v>-1.26436781609195E-2</v>
      </c>
      <c r="P141" s="30"/>
      <c r="Q141" s="31">
        <v>39.243654822335003</v>
      </c>
    </row>
    <row r="142" spans="1:17" ht="15" customHeight="1" x14ac:dyDescent="0.2">
      <c r="A142" s="17" t="s">
        <v>167</v>
      </c>
      <c r="B142" s="18" t="s">
        <v>148</v>
      </c>
      <c r="C142" s="18" t="s">
        <v>149</v>
      </c>
      <c r="D142" s="20">
        <v>119</v>
      </c>
      <c r="E142" s="17" t="s">
        <v>510</v>
      </c>
      <c r="F142" s="19" t="s">
        <v>501</v>
      </c>
      <c r="G142" s="19" t="s">
        <v>502</v>
      </c>
      <c r="H142" s="19" t="s">
        <v>511</v>
      </c>
      <c r="I142" s="21"/>
      <c r="J142" s="21"/>
      <c r="K142" s="22">
        <v>6900</v>
      </c>
      <c r="L142" s="22">
        <v>8538</v>
      </c>
      <c r="M142" s="22">
        <v>8538</v>
      </c>
      <c r="N142" s="23">
        <v>-0.191848208011244</v>
      </c>
      <c r="O142" s="23">
        <v>-0.191848208011244</v>
      </c>
      <c r="P142" s="21"/>
      <c r="Q142" s="22">
        <v>57.983193277310903</v>
      </c>
    </row>
    <row r="143" spans="1:17" ht="15" customHeight="1" x14ac:dyDescent="0.2">
      <c r="A143" s="26" t="s">
        <v>169</v>
      </c>
      <c r="B143" s="27" t="s">
        <v>148</v>
      </c>
      <c r="C143" s="27" t="s">
        <v>149</v>
      </c>
      <c r="D143" s="29">
        <v>211</v>
      </c>
      <c r="E143" s="26" t="s">
        <v>510</v>
      </c>
      <c r="F143" s="28" t="s">
        <v>501</v>
      </c>
      <c r="G143" s="28" t="s">
        <v>502</v>
      </c>
      <c r="H143" s="28" t="s">
        <v>511</v>
      </c>
      <c r="I143" s="30"/>
      <c r="J143" s="30"/>
      <c r="K143" s="31">
        <v>8108.75</v>
      </c>
      <c r="L143" s="31">
        <v>9330</v>
      </c>
      <c r="M143" s="31">
        <v>9330</v>
      </c>
      <c r="N143" s="32">
        <v>-0.13089496248660201</v>
      </c>
      <c r="O143" s="32">
        <v>-0.13089496248660201</v>
      </c>
      <c r="P143" s="30"/>
      <c r="Q143" s="31">
        <v>38.430094786729903</v>
      </c>
    </row>
    <row r="144" spans="1:17" ht="15" customHeight="1" x14ac:dyDescent="0.2">
      <c r="A144" s="17" t="s">
        <v>171</v>
      </c>
      <c r="B144" s="18" t="s">
        <v>148</v>
      </c>
      <c r="C144" s="18" t="s">
        <v>149</v>
      </c>
      <c r="D144" s="20">
        <v>211</v>
      </c>
      <c r="E144" s="17" t="s">
        <v>510</v>
      </c>
      <c r="F144" s="19" t="s">
        <v>501</v>
      </c>
      <c r="G144" s="19" t="s">
        <v>502</v>
      </c>
      <c r="H144" s="19" t="s">
        <v>511</v>
      </c>
      <c r="I144" s="21"/>
      <c r="J144" s="21"/>
      <c r="K144" s="22">
        <v>11835</v>
      </c>
      <c r="L144" s="22">
        <v>12700</v>
      </c>
      <c r="M144" s="22">
        <v>12700</v>
      </c>
      <c r="N144" s="23">
        <v>-6.8110236220472395E-2</v>
      </c>
      <c r="O144" s="23">
        <v>-6.8110236220472395E-2</v>
      </c>
      <c r="P144" s="21"/>
      <c r="Q144" s="22">
        <v>56.090047393364898</v>
      </c>
    </row>
    <row r="145" spans="1:17" ht="15" customHeight="1" x14ac:dyDescent="0.2">
      <c r="A145" s="26" t="s">
        <v>173</v>
      </c>
      <c r="B145" s="27" t="s">
        <v>148</v>
      </c>
      <c r="C145" s="27" t="s">
        <v>149</v>
      </c>
      <c r="D145" s="29">
        <v>256</v>
      </c>
      <c r="E145" s="26" t="s">
        <v>510</v>
      </c>
      <c r="F145" s="28" t="s">
        <v>501</v>
      </c>
      <c r="G145" s="28" t="s">
        <v>502</v>
      </c>
      <c r="H145" s="28" t="s">
        <v>511</v>
      </c>
      <c r="I145" s="30"/>
      <c r="J145" s="30"/>
      <c r="K145" s="31">
        <v>16803.75</v>
      </c>
      <c r="L145" s="31">
        <v>16160</v>
      </c>
      <c r="M145" s="31">
        <v>16760</v>
      </c>
      <c r="N145" s="32">
        <v>3.9836014851485198E-2</v>
      </c>
      <c r="O145" s="32">
        <v>2.6103818615751798E-3</v>
      </c>
      <c r="P145" s="30"/>
      <c r="Q145" s="31">
        <v>65.6396484375</v>
      </c>
    </row>
    <row r="146" spans="1:17" ht="15" customHeight="1" x14ac:dyDescent="0.2">
      <c r="A146" s="17" t="s">
        <v>175</v>
      </c>
      <c r="B146" s="18" t="s">
        <v>148</v>
      </c>
      <c r="C146" s="18" t="s">
        <v>149</v>
      </c>
      <c r="D146" s="20">
        <v>136</v>
      </c>
      <c r="E146" s="17" t="s">
        <v>510</v>
      </c>
      <c r="F146" s="19" t="s">
        <v>501</v>
      </c>
      <c r="G146" s="19" t="s">
        <v>502</v>
      </c>
      <c r="H146" s="19" t="s">
        <v>511</v>
      </c>
      <c r="I146" s="21"/>
      <c r="J146" s="21"/>
      <c r="K146" s="22">
        <v>21121.15</v>
      </c>
      <c r="L146" s="22">
        <v>12625</v>
      </c>
      <c r="M146" s="22">
        <v>18310</v>
      </c>
      <c r="N146" s="23">
        <v>0.672962376237624</v>
      </c>
      <c r="O146" s="23">
        <v>0.15353085745494299</v>
      </c>
      <c r="P146" s="21"/>
      <c r="Q146" s="22">
        <v>155.302573529412</v>
      </c>
    </row>
    <row r="147" spans="1:17" ht="15" customHeight="1" x14ac:dyDescent="0.2">
      <c r="A147" s="26" t="s">
        <v>177</v>
      </c>
      <c r="B147" s="27" t="s">
        <v>148</v>
      </c>
      <c r="C147" s="27" t="s">
        <v>149</v>
      </c>
      <c r="D147" s="29">
        <v>18</v>
      </c>
      <c r="E147" s="26" t="s">
        <v>510</v>
      </c>
      <c r="F147" s="28" t="s">
        <v>501</v>
      </c>
      <c r="G147" s="28" t="s">
        <v>502</v>
      </c>
      <c r="H147" s="28" t="s">
        <v>511</v>
      </c>
      <c r="I147" s="30"/>
      <c r="J147" s="30"/>
      <c r="K147" s="31">
        <v>8667</v>
      </c>
      <c r="L147" s="31">
        <v>6210</v>
      </c>
      <c r="M147" s="31">
        <v>6910</v>
      </c>
      <c r="N147" s="32">
        <v>0.39565217391304403</v>
      </c>
      <c r="O147" s="32">
        <v>0.25426917510853803</v>
      </c>
      <c r="P147" s="30"/>
      <c r="Q147" s="31">
        <v>481.5</v>
      </c>
    </row>
    <row r="148" spans="1:17" ht="15" customHeight="1" x14ac:dyDescent="0.2">
      <c r="A148" s="17" t="s">
        <v>179</v>
      </c>
      <c r="B148" s="18" t="s">
        <v>148</v>
      </c>
      <c r="C148" s="18" t="s">
        <v>180</v>
      </c>
      <c r="D148" s="20">
        <v>209</v>
      </c>
      <c r="E148" s="17" t="s">
        <v>510</v>
      </c>
      <c r="F148" s="19" t="s">
        <v>501</v>
      </c>
      <c r="G148" s="19" t="s">
        <v>502</v>
      </c>
      <c r="H148" s="19" t="s">
        <v>511</v>
      </c>
      <c r="I148" s="21">
        <v>1086.5</v>
      </c>
      <c r="J148" s="21">
        <v>19</v>
      </c>
      <c r="K148" s="22">
        <v>25629.119999999999</v>
      </c>
      <c r="L148" s="22">
        <v>18865</v>
      </c>
      <c r="M148" s="22">
        <v>27189</v>
      </c>
      <c r="N148" s="23">
        <v>0.35855393586005802</v>
      </c>
      <c r="O148" s="23">
        <v>-5.7371731214829601E-2</v>
      </c>
      <c r="P148" s="21">
        <v>5.1985645933014402</v>
      </c>
      <c r="Q148" s="22">
        <v>122.62736842105301</v>
      </c>
    </row>
    <row r="149" spans="1:17" ht="15" customHeight="1" x14ac:dyDescent="0.2">
      <c r="A149" s="26" t="s">
        <v>185</v>
      </c>
      <c r="B149" s="27" t="s">
        <v>148</v>
      </c>
      <c r="C149" s="27" t="s">
        <v>180</v>
      </c>
      <c r="D149" s="29">
        <v>117</v>
      </c>
      <c r="E149" s="26" t="s">
        <v>510</v>
      </c>
      <c r="F149" s="28" t="s">
        <v>501</v>
      </c>
      <c r="G149" s="28" t="s">
        <v>502</v>
      </c>
      <c r="H149" s="28" t="s">
        <v>511</v>
      </c>
      <c r="I149" s="30">
        <v>297</v>
      </c>
      <c r="J149" s="30">
        <v>37</v>
      </c>
      <c r="K149" s="31">
        <v>7558</v>
      </c>
      <c r="L149" s="31">
        <v>13300</v>
      </c>
      <c r="M149" s="31">
        <v>13300</v>
      </c>
      <c r="N149" s="32">
        <v>-0.43172932330827102</v>
      </c>
      <c r="O149" s="32">
        <v>-0.43172932330827102</v>
      </c>
      <c r="P149" s="30">
        <v>2.5384615384615401</v>
      </c>
      <c r="Q149" s="31">
        <v>64.598290598290603</v>
      </c>
    </row>
    <row r="150" spans="1:17" ht="15" customHeight="1" x14ac:dyDescent="0.2">
      <c r="A150" s="17" t="s">
        <v>190</v>
      </c>
      <c r="B150" s="18" t="s">
        <v>148</v>
      </c>
      <c r="C150" s="18" t="s">
        <v>180</v>
      </c>
      <c r="D150" s="20">
        <v>75</v>
      </c>
      <c r="E150" s="17" t="s">
        <v>510</v>
      </c>
      <c r="F150" s="19" t="s">
        <v>501</v>
      </c>
      <c r="G150" s="19" t="s">
        <v>502</v>
      </c>
      <c r="H150" s="19" t="s">
        <v>511</v>
      </c>
      <c r="I150" s="21">
        <v>211</v>
      </c>
      <c r="J150" s="21">
        <v>1</v>
      </c>
      <c r="K150" s="22">
        <v>6790.5</v>
      </c>
      <c r="L150" s="22">
        <v>12250</v>
      </c>
      <c r="M150" s="22">
        <v>13447.5</v>
      </c>
      <c r="N150" s="23">
        <v>-0.44567346938775498</v>
      </c>
      <c r="O150" s="23">
        <v>-0.49503625209146701</v>
      </c>
      <c r="P150" s="21">
        <v>2.8133333333333299</v>
      </c>
      <c r="Q150" s="22">
        <v>90.54</v>
      </c>
    </row>
    <row r="151" spans="1:17" ht="15" customHeight="1" x14ac:dyDescent="0.2">
      <c r="A151" s="26" t="s">
        <v>195</v>
      </c>
      <c r="B151" s="27" t="s">
        <v>148</v>
      </c>
      <c r="C151" s="27" t="s">
        <v>180</v>
      </c>
      <c r="D151" s="29">
        <v>49</v>
      </c>
      <c r="E151" s="26" t="s">
        <v>510</v>
      </c>
      <c r="F151" s="28" t="s">
        <v>501</v>
      </c>
      <c r="G151" s="28" t="s">
        <v>502</v>
      </c>
      <c r="H151" s="28" t="s">
        <v>511</v>
      </c>
      <c r="I151" s="30">
        <v>104</v>
      </c>
      <c r="J151" s="30"/>
      <c r="K151" s="31">
        <v>2899.5</v>
      </c>
      <c r="L151" s="31">
        <v>5450</v>
      </c>
      <c r="M151" s="31">
        <v>5450</v>
      </c>
      <c r="N151" s="32">
        <v>-0.467981651376147</v>
      </c>
      <c r="O151" s="32">
        <v>-0.467981651376147</v>
      </c>
      <c r="P151" s="30">
        <v>2.12244897959184</v>
      </c>
      <c r="Q151" s="31">
        <v>59.173469387755098</v>
      </c>
    </row>
    <row r="152" spans="1:17" ht="15" customHeight="1" x14ac:dyDescent="0.2">
      <c r="A152" s="17" t="s">
        <v>201</v>
      </c>
      <c r="B152" s="18" t="s">
        <v>148</v>
      </c>
      <c r="C152" s="18" t="s">
        <v>180</v>
      </c>
      <c r="D152" s="20">
        <v>170</v>
      </c>
      <c r="E152" s="17" t="s">
        <v>510</v>
      </c>
      <c r="F152" s="19" t="s">
        <v>501</v>
      </c>
      <c r="G152" s="19" t="s">
        <v>502</v>
      </c>
      <c r="H152" s="19" t="s">
        <v>511</v>
      </c>
      <c r="I152" s="21">
        <v>264</v>
      </c>
      <c r="J152" s="21"/>
      <c r="K152" s="22">
        <v>7711</v>
      </c>
      <c r="L152" s="22">
        <v>12100</v>
      </c>
      <c r="M152" s="22">
        <v>12017</v>
      </c>
      <c r="N152" s="23">
        <v>-0.36272727272727301</v>
      </c>
      <c r="O152" s="23">
        <v>-0.35832570525089502</v>
      </c>
      <c r="P152" s="21">
        <v>1.55294117647059</v>
      </c>
      <c r="Q152" s="22">
        <v>45.358823529411801</v>
      </c>
    </row>
    <row r="153" spans="1:17" ht="15" customHeight="1" x14ac:dyDescent="0.2">
      <c r="A153" s="26" t="s">
        <v>205</v>
      </c>
      <c r="B153" s="27" t="s">
        <v>148</v>
      </c>
      <c r="C153" s="27" t="s">
        <v>180</v>
      </c>
      <c r="D153" s="29">
        <v>296</v>
      </c>
      <c r="E153" s="26" t="s">
        <v>510</v>
      </c>
      <c r="F153" s="28" t="s">
        <v>501</v>
      </c>
      <c r="G153" s="28" t="s">
        <v>502</v>
      </c>
      <c r="H153" s="28" t="s">
        <v>511</v>
      </c>
      <c r="I153" s="30">
        <v>962</v>
      </c>
      <c r="J153" s="30"/>
      <c r="K153" s="31">
        <v>24769</v>
      </c>
      <c r="L153" s="31">
        <v>54560</v>
      </c>
      <c r="M153" s="31">
        <v>53331</v>
      </c>
      <c r="N153" s="32">
        <v>-0.54602272727272705</v>
      </c>
      <c r="O153" s="32">
        <v>-0.53556093079072198</v>
      </c>
      <c r="P153" s="30">
        <v>3.25</v>
      </c>
      <c r="Q153" s="31">
        <v>83.679054054054106</v>
      </c>
    </row>
    <row r="154" spans="1:17" ht="15" customHeight="1" x14ac:dyDescent="0.2">
      <c r="A154" s="17" t="s">
        <v>210</v>
      </c>
      <c r="B154" s="18" t="s">
        <v>148</v>
      </c>
      <c r="C154" s="18" t="s">
        <v>180</v>
      </c>
      <c r="D154" s="20">
        <v>83</v>
      </c>
      <c r="E154" s="17" t="s">
        <v>510</v>
      </c>
      <c r="F154" s="19" t="s">
        <v>501</v>
      </c>
      <c r="G154" s="19" t="s">
        <v>502</v>
      </c>
      <c r="H154" s="19" t="s">
        <v>511</v>
      </c>
      <c r="I154" s="21">
        <v>450</v>
      </c>
      <c r="J154" s="21"/>
      <c r="K154" s="22">
        <v>12604</v>
      </c>
      <c r="L154" s="22">
        <v>11700</v>
      </c>
      <c r="M154" s="22">
        <v>12114.5</v>
      </c>
      <c r="N154" s="23">
        <v>7.7264957264957301E-2</v>
      </c>
      <c r="O154" s="23">
        <v>4.0406124891658797E-2</v>
      </c>
      <c r="P154" s="21">
        <v>5.4216867469879499</v>
      </c>
      <c r="Q154" s="22">
        <v>151.85542168674701</v>
      </c>
    </row>
    <row r="155" spans="1:17" ht="15" customHeight="1" x14ac:dyDescent="0.2">
      <c r="A155" s="26" t="s">
        <v>214</v>
      </c>
      <c r="B155" s="27" t="s">
        <v>148</v>
      </c>
      <c r="C155" s="27" t="s">
        <v>180</v>
      </c>
      <c r="D155" s="29">
        <v>144</v>
      </c>
      <c r="E155" s="26" t="s">
        <v>510</v>
      </c>
      <c r="F155" s="28" t="s">
        <v>501</v>
      </c>
      <c r="G155" s="28" t="s">
        <v>502</v>
      </c>
      <c r="H155" s="28" t="s">
        <v>511</v>
      </c>
      <c r="I155" s="30">
        <v>143.5</v>
      </c>
      <c r="J155" s="30"/>
      <c r="K155" s="31">
        <v>4496.5</v>
      </c>
      <c r="L155" s="31">
        <v>9400</v>
      </c>
      <c r="M155" s="31">
        <v>10618</v>
      </c>
      <c r="N155" s="32">
        <v>-0.52164893617021302</v>
      </c>
      <c r="O155" s="32">
        <v>-0.576521002071953</v>
      </c>
      <c r="P155" s="30">
        <v>0.99652777777777801</v>
      </c>
      <c r="Q155" s="31">
        <v>31.2256944444444</v>
      </c>
    </row>
    <row r="156" spans="1:17" ht="15" customHeight="1" x14ac:dyDescent="0.2">
      <c r="A156" s="17" t="s">
        <v>219</v>
      </c>
      <c r="B156" s="18" t="s">
        <v>148</v>
      </c>
      <c r="C156" s="18" t="s">
        <v>180</v>
      </c>
      <c r="D156" s="20">
        <v>398</v>
      </c>
      <c r="E156" s="17" t="s">
        <v>510</v>
      </c>
      <c r="F156" s="19" t="s">
        <v>501</v>
      </c>
      <c r="G156" s="19" t="s">
        <v>502</v>
      </c>
      <c r="H156" s="19" t="s">
        <v>511</v>
      </c>
      <c r="I156" s="21">
        <v>238.5</v>
      </c>
      <c r="J156" s="21"/>
      <c r="K156" s="22">
        <v>5913</v>
      </c>
      <c r="L156" s="22">
        <v>34660</v>
      </c>
      <c r="M156" s="22">
        <v>35728</v>
      </c>
      <c r="N156" s="23">
        <v>-0.82939988459319103</v>
      </c>
      <c r="O156" s="23">
        <v>-0.83449955217196603</v>
      </c>
      <c r="P156" s="21">
        <v>0.59924623115577902</v>
      </c>
      <c r="Q156" s="22">
        <v>14.856783919598</v>
      </c>
    </row>
    <row r="157" spans="1:17" ht="15" customHeight="1" x14ac:dyDescent="0.2">
      <c r="A157" s="26" t="s">
        <v>224</v>
      </c>
      <c r="B157" s="27" t="s">
        <v>148</v>
      </c>
      <c r="C157" s="27" t="s">
        <v>180</v>
      </c>
      <c r="D157" s="29">
        <v>71</v>
      </c>
      <c r="E157" s="26" t="s">
        <v>510</v>
      </c>
      <c r="F157" s="28" t="s">
        <v>501</v>
      </c>
      <c r="G157" s="28" t="s">
        <v>502</v>
      </c>
      <c r="H157" s="28" t="s">
        <v>511</v>
      </c>
      <c r="I157" s="30">
        <v>231</v>
      </c>
      <c r="J157" s="30"/>
      <c r="K157" s="31">
        <v>6693</v>
      </c>
      <c r="L157" s="31">
        <v>6720</v>
      </c>
      <c r="M157" s="31">
        <v>8170</v>
      </c>
      <c r="N157" s="32">
        <v>-4.0178571428571399E-3</v>
      </c>
      <c r="O157" s="32">
        <v>-0.18078335373317</v>
      </c>
      <c r="P157" s="30">
        <v>3.2535211267605599</v>
      </c>
      <c r="Q157" s="31">
        <v>94.267605633802802</v>
      </c>
    </row>
    <row r="158" spans="1:17" ht="15" customHeight="1" x14ac:dyDescent="0.2">
      <c r="A158" s="17" t="s">
        <v>230</v>
      </c>
      <c r="B158" s="18" t="s">
        <v>148</v>
      </c>
      <c r="C158" s="18" t="s">
        <v>180</v>
      </c>
      <c r="D158" s="20">
        <v>139</v>
      </c>
      <c r="E158" s="17" t="s">
        <v>510</v>
      </c>
      <c r="F158" s="19" t="s">
        <v>501</v>
      </c>
      <c r="G158" s="19" t="s">
        <v>502</v>
      </c>
      <c r="H158" s="19" t="s">
        <v>511</v>
      </c>
      <c r="I158" s="21">
        <v>761.5</v>
      </c>
      <c r="J158" s="21"/>
      <c r="K158" s="22">
        <v>24211</v>
      </c>
      <c r="L158" s="22">
        <v>18900</v>
      </c>
      <c r="M158" s="22">
        <v>20923</v>
      </c>
      <c r="N158" s="23">
        <v>0.28100529100529098</v>
      </c>
      <c r="O158" s="23">
        <v>0.15714763657219299</v>
      </c>
      <c r="P158" s="21">
        <v>5.4784172661870496</v>
      </c>
      <c r="Q158" s="22">
        <v>174.17985611510801</v>
      </c>
    </row>
    <row r="159" spans="1:17" ht="15" customHeight="1" x14ac:dyDescent="0.2">
      <c r="A159" s="26" t="s">
        <v>236</v>
      </c>
      <c r="B159" s="27" t="s">
        <v>148</v>
      </c>
      <c r="C159" s="27" t="s">
        <v>180</v>
      </c>
      <c r="D159" s="29">
        <v>128</v>
      </c>
      <c r="E159" s="26" t="s">
        <v>510</v>
      </c>
      <c r="F159" s="28" t="s">
        <v>501</v>
      </c>
      <c r="G159" s="28" t="s">
        <v>502</v>
      </c>
      <c r="H159" s="28" t="s">
        <v>511</v>
      </c>
      <c r="I159" s="30">
        <v>161.5</v>
      </c>
      <c r="J159" s="30"/>
      <c r="K159" s="31">
        <v>5597</v>
      </c>
      <c r="L159" s="31">
        <v>5200</v>
      </c>
      <c r="M159" s="31">
        <v>6576</v>
      </c>
      <c r="N159" s="32">
        <v>7.63461538461538E-2</v>
      </c>
      <c r="O159" s="32">
        <v>-0.14887469586374699</v>
      </c>
      <c r="P159" s="30">
        <v>1.26171875</v>
      </c>
      <c r="Q159" s="31">
        <v>43.7265625</v>
      </c>
    </row>
    <row r="160" spans="1:17" ht="15" customHeight="1" x14ac:dyDescent="0.2">
      <c r="A160" s="17" t="s">
        <v>239</v>
      </c>
      <c r="B160" s="18" t="s">
        <v>148</v>
      </c>
      <c r="C160" s="18" t="s">
        <v>180</v>
      </c>
      <c r="D160" s="20">
        <v>92</v>
      </c>
      <c r="E160" s="17" t="s">
        <v>510</v>
      </c>
      <c r="F160" s="19" t="s">
        <v>501</v>
      </c>
      <c r="G160" s="19" t="s">
        <v>502</v>
      </c>
      <c r="H160" s="19" t="s">
        <v>511</v>
      </c>
      <c r="I160" s="21">
        <v>174.5</v>
      </c>
      <c r="J160" s="21"/>
      <c r="K160" s="22">
        <v>5630.5</v>
      </c>
      <c r="L160" s="22">
        <v>12690</v>
      </c>
      <c r="M160" s="22">
        <v>12690</v>
      </c>
      <c r="N160" s="23">
        <v>-0.55630417651694297</v>
      </c>
      <c r="O160" s="23">
        <v>-0.55630417651694297</v>
      </c>
      <c r="P160" s="21">
        <v>1.89673913043478</v>
      </c>
      <c r="Q160" s="22">
        <v>61.201086956521699</v>
      </c>
    </row>
    <row r="161" spans="1:17" ht="15" customHeight="1" x14ac:dyDescent="0.2">
      <c r="A161" s="26" t="s">
        <v>245</v>
      </c>
      <c r="B161" s="27" t="s">
        <v>148</v>
      </c>
      <c r="C161" s="27" t="s">
        <v>180</v>
      </c>
      <c r="D161" s="29">
        <v>31</v>
      </c>
      <c r="E161" s="26" t="s">
        <v>510</v>
      </c>
      <c r="F161" s="28" t="s">
        <v>501</v>
      </c>
      <c r="G161" s="28" t="s">
        <v>502</v>
      </c>
      <c r="H161" s="28" t="s">
        <v>511</v>
      </c>
      <c r="I161" s="30">
        <v>400.5</v>
      </c>
      <c r="J161" s="30">
        <v>1.5</v>
      </c>
      <c r="K161" s="31">
        <v>11913.5</v>
      </c>
      <c r="L161" s="31">
        <v>6800</v>
      </c>
      <c r="M161" s="31">
        <v>10340</v>
      </c>
      <c r="N161" s="32">
        <v>0.75198529411764703</v>
      </c>
      <c r="O161" s="32">
        <v>0.15217601547388801</v>
      </c>
      <c r="P161" s="30">
        <v>12.919354838709699</v>
      </c>
      <c r="Q161" s="31">
        <v>384.306451612903</v>
      </c>
    </row>
    <row r="162" spans="1:17" ht="15" customHeight="1" x14ac:dyDescent="0.2">
      <c r="A162" s="17" t="s">
        <v>249</v>
      </c>
      <c r="B162" s="18" t="s">
        <v>148</v>
      </c>
      <c r="C162" s="18" t="s">
        <v>180</v>
      </c>
      <c r="D162" s="20">
        <v>122</v>
      </c>
      <c r="E162" s="17" t="s">
        <v>510</v>
      </c>
      <c r="F162" s="19" t="s">
        <v>501</v>
      </c>
      <c r="G162" s="19" t="s">
        <v>502</v>
      </c>
      <c r="H162" s="19" t="s">
        <v>511</v>
      </c>
      <c r="I162" s="21">
        <v>390</v>
      </c>
      <c r="J162" s="21"/>
      <c r="K162" s="22">
        <v>12034.5</v>
      </c>
      <c r="L162" s="22">
        <v>15920</v>
      </c>
      <c r="M162" s="22">
        <v>20680</v>
      </c>
      <c r="N162" s="23">
        <v>-0.244064070351759</v>
      </c>
      <c r="O162" s="23">
        <v>-0.41806092843326897</v>
      </c>
      <c r="P162" s="21">
        <v>3.1967213114754101</v>
      </c>
      <c r="Q162" s="22">
        <v>98.643442622950801</v>
      </c>
    </row>
    <row r="163" spans="1:17" ht="15" customHeight="1" x14ac:dyDescent="0.2">
      <c r="A163" s="26" t="s">
        <v>254</v>
      </c>
      <c r="B163" s="27" t="s">
        <v>148</v>
      </c>
      <c r="C163" s="27" t="s">
        <v>180</v>
      </c>
      <c r="D163" s="29">
        <v>80</v>
      </c>
      <c r="E163" s="26" t="s">
        <v>510</v>
      </c>
      <c r="F163" s="28" t="s">
        <v>501</v>
      </c>
      <c r="G163" s="28" t="s">
        <v>502</v>
      </c>
      <c r="H163" s="28" t="s">
        <v>511</v>
      </c>
      <c r="I163" s="30">
        <v>169.25</v>
      </c>
      <c r="J163" s="30">
        <v>2.25</v>
      </c>
      <c r="K163" s="31">
        <v>5314.5</v>
      </c>
      <c r="L163" s="31">
        <v>10620</v>
      </c>
      <c r="M163" s="31">
        <v>11115</v>
      </c>
      <c r="N163" s="32">
        <v>-0.49957627118644099</v>
      </c>
      <c r="O163" s="32">
        <v>-0.52186234817813804</v>
      </c>
      <c r="P163" s="30">
        <v>2.1156250000000001</v>
      </c>
      <c r="Q163" s="31">
        <v>66.431250000000006</v>
      </c>
    </row>
    <row r="164" spans="1:17" ht="15" customHeight="1" x14ac:dyDescent="0.2">
      <c r="A164" s="17" t="s">
        <v>263</v>
      </c>
      <c r="B164" s="18" t="s">
        <v>148</v>
      </c>
      <c r="C164" s="18" t="s">
        <v>180</v>
      </c>
      <c r="D164" s="20">
        <v>55</v>
      </c>
      <c r="E164" s="17" t="s">
        <v>510</v>
      </c>
      <c r="F164" s="19" t="s">
        <v>501</v>
      </c>
      <c r="G164" s="19" t="s">
        <v>502</v>
      </c>
      <c r="H164" s="19" t="s">
        <v>511</v>
      </c>
      <c r="I164" s="21">
        <v>80</v>
      </c>
      <c r="J164" s="21"/>
      <c r="K164" s="22">
        <v>2443</v>
      </c>
      <c r="L164" s="22">
        <v>5515</v>
      </c>
      <c r="M164" s="22">
        <v>5515</v>
      </c>
      <c r="N164" s="23">
        <v>-0.55702629193109698</v>
      </c>
      <c r="O164" s="23">
        <v>-0.55702629193109698</v>
      </c>
      <c r="P164" s="21">
        <v>1.4545454545454599</v>
      </c>
      <c r="Q164" s="22">
        <v>44.4181818181818</v>
      </c>
    </row>
    <row r="165" spans="1:17" ht="15" customHeight="1" x14ac:dyDescent="0.2">
      <c r="A165" s="26" t="s">
        <v>266</v>
      </c>
      <c r="B165" s="27" t="s">
        <v>148</v>
      </c>
      <c r="C165" s="27" t="s">
        <v>267</v>
      </c>
      <c r="D165" s="29">
        <v>108</v>
      </c>
      <c r="E165" s="26" t="s">
        <v>510</v>
      </c>
      <c r="F165" s="28" t="s">
        <v>501</v>
      </c>
      <c r="G165" s="28" t="s">
        <v>502</v>
      </c>
      <c r="H165" s="28" t="s">
        <v>511</v>
      </c>
      <c r="I165" s="30">
        <v>312.5</v>
      </c>
      <c r="J165" s="30">
        <v>12</v>
      </c>
      <c r="K165" s="31">
        <v>11895</v>
      </c>
      <c r="L165" s="31">
        <v>14780</v>
      </c>
      <c r="M165" s="31">
        <v>17300</v>
      </c>
      <c r="N165" s="32">
        <v>-0.19519621109607599</v>
      </c>
      <c r="O165" s="32">
        <v>-0.31242774566474002</v>
      </c>
      <c r="P165" s="30">
        <v>2.8935185185185199</v>
      </c>
      <c r="Q165" s="31">
        <v>110.138888888889</v>
      </c>
    </row>
    <row r="166" spans="1:17" ht="15" customHeight="1" x14ac:dyDescent="0.2">
      <c r="A166" s="17" t="s">
        <v>270</v>
      </c>
      <c r="B166" s="18" t="s">
        <v>148</v>
      </c>
      <c r="C166" s="18" t="s">
        <v>267</v>
      </c>
      <c r="D166" s="20">
        <v>75</v>
      </c>
      <c r="E166" s="17" t="s">
        <v>510</v>
      </c>
      <c r="F166" s="19" t="s">
        <v>501</v>
      </c>
      <c r="G166" s="19" t="s">
        <v>502</v>
      </c>
      <c r="H166" s="19" t="s">
        <v>511</v>
      </c>
      <c r="I166" s="21">
        <v>249</v>
      </c>
      <c r="J166" s="21"/>
      <c r="K166" s="22">
        <v>8776.5</v>
      </c>
      <c r="L166" s="22">
        <v>20608</v>
      </c>
      <c r="M166" s="22">
        <v>20608</v>
      </c>
      <c r="N166" s="23">
        <v>-0.57412170031055898</v>
      </c>
      <c r="O166" s="23">
        <v>-0.57412170031055898</v>
      </c>
      <c r="P166" s="21">
        <v>3.32</v>
      </c>
      <c r="Q166" s="22">
        <v>117.02</v>
      </c>
    </row>
    <row r="167" spans="1:17" ht="15" customHeight="1" x14ac:dyDescent="0.2">
      <c r="A167" s="26" t="s">
        <v>272</v>
      </c>
      <c r="B167" s="27" t="s">
        <v>148</v>
      </c>
      <c r="C167" s="27" t="s">
        <v>267</v>
      </c>
      <c r="D167" s="29">
        <v>89</v>
      </c>
      <c r="E167" s="26" t="s">
        <v>510</v>
      </c>
      <c r="F167" s="28" t="s">
        <v>501</v>
      </c>
      <c r="G167" s="28" t="s">
        <v>502</v>
      </c>
      <c r="H167" s="28" t="s">
        <v>511</v>
      </c>
      <c r="I167" s="30">
        <v>596</v>
      </c>
      <c r="J167" s="30">
        <v>16.5</v>
      </c>
      <c r="K167" s="31">
        <v>20109.5</v>
      </c>
      <c r="L167" s="31">
        <v>35740</v>
      </c>
      <c r="M167" s="31">
        <v>39130</v>
      </c>
      <c r="N167" s="32">
        <v>-0.43733911583659801</v>
      </c>
      <c r="O167" s="32">
        <v>-0.48608484538717101</v>
      </c>
      <c r="P167" s="30">
        <v>6.69662921348315</v>
      </c>
      <c r="Q167" s="31">
        <v>225.94943820224699</v>
      </c>
    </row>
    <row r="168" spans="1:17" ht="15" customHeight="1" x14ac:dyDescent="0.2">
      <c r="A168" s="17" t="s">
        <v>275</v>
      </c>
      <c r="B168" s="18" t="s">
        <v>148</v>
      </c>
      <c r="C168" s="18" t="s">
        <v>267</v>
      </c>
      <c r="D168" s="20">
        <v>78</v>
      </c>
      <c r="E168" s="17" t="s">
        <v>510</v>
      </c>
      <c r="F168" s="19" t="s">
        <v>501</v>
      </c>
      <c r="G168" s="19" t="s">
        <v>502</v>
      </c>
      <c r="H168" s="19" t="s">
        <v>511</v>
      </c>
      <c r="I168" s="21">
        <v>97</v>
      </c>
      <c r="J168" s="21">
        <v>1</v>
      </c>
      <c r="K168" s="22">
        <v>3411.5</v>
      </c>
      <c r="L168" s="22">
        <v>17585</v>
      </c>
      <c r="M168" s="22">
        <v>17585</v>
      </c>
      <c r="N168" s="23">
        <v>-0.80599943133352303</v>
      </c>
      <c r="O168" s="23">
        <v>-0.80599943133352303</v>
      </c>
      <c r="P168" s="21">
        <v>1.2435897435897401</v>
      </c>
      <c r="Q168" s="22">
        <v>43.737179487179503</v>
      </c>
    </row>
    <row r="169" spans="1:17" ht="15" customHeight="1" x14ac:dyDescent="0.2">
      <c r="A169" s="26" t="s">
        <v>277</v>
      </c>
      <c r="B169" s="27" t="s">
        <v>148</v>
      </c>
      <c r="C169" s="27" t="s">
        <v>267</v>
      </c>
      <c r="D169" s="29">
        <v>158</v>
      </c>
      <c r="E169" s="26" t="s">
        <v>510</v>
      </c>
      <c r="F169" s="28" t="s">
        <v>501</v>
      </c>
      <c r="G169" s="28" t="s">
        <v>502</v>
      </c>
      <c r="H169" s="28" t="s">
        <v>511</v>
      </c>
      <c r="I169" s="30">
        <v>1098</v>
      </c>
      <c r="J169" s="30">
        <v>44.5</v>
      </c>
      <c r="K169" s="31">
        <v>31316</v>
      </c>
      <c r="L169" s="31">
        <v>23250</v>
      </c>
      <c r="M169" s="31">
        <v>44430</v>
      </c>
      <c r="N169" s="32">
        <v>0.34692473118279599</v>
      </c>
      <c r="O169" s="32">
        <v>-0.295160927301373</v>
      </c>
      <c r="P169" s="30">
        <v>6.9493670886076</v>
      </c>
      <c r="Q169" s="31">
        <v>198.20253164556999</v>
      </c>
    </row>
    <row r="170" spans="1:17" ht="15" customHeight="1" x14ac:dyDescent="0.2">
      <c r="A170" s="17" t="s">
        <v>280</v>
      </c>
      <c r="B170" s="18" t="s">
        <v>148</v>
      </c>
      <c r="C170" s="18" t="s">
        <v>267</v>
      </c>
      <c r="D170" s="20">
        <v>110</v>
      </c>
      <c r="E170" s="17" t="s">
        <v>510</v>
      </c>
      <c r="F170" s="19" t="s">
        <v>501</v>
      </c>
      <c r="G170" s="19" t="s">
        <v>502</v>
      </c>
      <c r="H170" s="19" t="s">
        <v>511</v>
      </c>
      <c r="I170" s="21">
        <v>82.5</v>
      </c>
      <c r="J170" s="21"/>
      <c r="K170" s="22">
        <v>2915</v>
      </c>
      <c r="L170" s="22">
        <v>15775</v>
      </c>
      <c r="M170" s="22">
        <v>16585</v>
      </c>
      <c r="N170" s="23">
        <v>-0.81521394611727405</v>
      </c>
      <c r="O170" s="23">
        <v>-0.82423876997286705</v>
      </c>
      <c r="P170" s="21">
        <v>0.75</v>
      </c>
      <c r="Q170" s="22">
        <v>26.5</v>
      </c>
    </row>
    <row r="171" spans="1:17" ht="15" customHeight="1" x14ac:dyDescent="0.2">
      <c r="A171" s="26" t="s">
        <v>285</v>
      </c>
      <c r="B171" s="27" t="s">
        <v>148</v>
      </c>
      <c r="C171" s="27" t="s">
        <v>267</v>
      </c>
      <c r="D171" s="29">
        <v>296</v>
      </c>
      <c r="E171" s="26" t="s">
        <v>510</v>
      </c>
      <c r="F171" s="28" t="s">
        <v>501</v>
      </c>
      <c r="G171" s="28" t="s">
        <v>502</v>
      </c>
      <c r="H171" s="28" t="s">
        <v>511</v>
      </c>
      <c r="I171" s="30">
        <v>436.5</v>
      </c>
      <c r="J171" s="30">
        <v>13</v>
      </c>
      <c r="K171" s="31">
        <v>12882</v>
      </c>
      <c r="L171" s="31">
        <v>12900</v>
      </c>
      <c r="M171" s="31">
        <v>20040</v>
      </c>
      <c r="N171" s="32">
        <v>-1.3953488372093E-3</v>
      </c>
      <c r="O171" s="32">
        <v>-0.35718562874251503</v>
      </c>
      <c r="P171" s="30">
        <v>1.4746621621621601</v>
      </c>
      <c r="Q171" s="31">
        <v>43.520270270270302</v>
      </c>
    </row>
    <row r="172" spans="1:17" ht="15" customHeight="1" x14ac:dyDescent="0.2">
      <c r="A172" s="17" t="s">
        <v>286</v>
      </c>
      <c r="B172" s="18" t="s">
        <v>148</v>
      </c>
      <c r="C172" s="18" t="s">
        <v>267</v>
      </c>
      <c r="D172" s="20">
        <v>50</v>
      </c>
      <c r="E172" s="17" t="s">
        <v>510</v>
      </c>
      <c r="F172" s="19" t="s">
        <v>501</v>
      </c>
      <c r="G172" s="19" t="s">
        <v>502</v>
      </c>
      <c r="H172" s="19" t="s">
        <v>511</v>
      </c>
      <c r="I172" s="21">
        <v>131.5</v>
      </c>
      <c r="J172" s="21">
        <v>4</v>
      </c>
      <c r="K172" s="22">
        <v>4762.5</v>
      </c>
      <c r="L172" s="22">
        <v>10200</v>
      </c>
      <c r="M172" s="22">
        <v>11310</v>
      </c>
      <c r="N172" s="23">
        <v>-0.53308823529411797</v>
      </c>
      <c r="O172" s="23">
        <v>-0.57891246684350095</v>
      </c>
      <c r="P172" s="21">
        <v>2.63</v>
      </c>
      <c r="Q172" s="22">
        <v>95.25</v>
      </c>
    </row>
    <row r="173" spans="1:17" ht="15" customHeight="1" x14ac:dyDescent="0.2">
      <c r="A173" s="26" t="s">
        <v>287</v>
      </c>
      <c r="B173" s="27" t="s">
        <v>148</v>
      </c>
      <c r="C173" s="27" t="s">
        <v>267</v>
      </c>
      <c r="D173" s="29">
        <v>163</v>
      </c>
      <c r="E173" s="26" t="s">
        <v>510</v>
      </c>
      <c r="F173" s="28" t="s">
        <v>501</v>
      </c>
      <c r="G173" s="28" t="s">
        <v>502</v>
      </c>
      <c r="H173" s="28" t="s">
        <v>511</v>
      </c>
      <c r="I173" s="30">
        <v>520</v>
      </c>
      <c r="J173" s="30">
        <v>12</v>
      </c>
      <c r="K173" s="31">
        <v>17320</v>
      </c>
      <c r="L173" s="31">
        <v>21500</v>
      </c>
      <c r="M173" s="31">
        <v>18940</v>
      </c>
      <c r="N173" s="32">
        <v>-0.19441860465116301</v>
      </c>
      <c r="O173" s="32">
        <v>-8.5533262935586094E-2</v>
      </c>
      <c r="P173" s="30">
        <v>3.19018404907975</v>
      </c>
      <c r="Q173" s="31">
        <v>106.257668711656</v>
      </c>
    </row>
    <row r="174" spans="1:17" ht="15" customHeight="1" x14ac:dyDescent="0.2">
      <c r="A174" s="17" t="s">
        <v>289</v>
      </c>
      <c r="B174" s="18" t="s">
        <v>148</v>
      </c>
      <c r="C174" s="18" t="s">
        <v>267</v>
      </c>
      <c r="D174" s="20">
        <v>107</v>
      </c>
      <c r="E174" s="17" t="s">
        <v>510</v>
      </c>
      <c r="F174" s="19" t="s">
        <v>501</v>
      </c>
      <c r="G174" s="19" t="s">
        <v>502</v>
      </c>
      <c r="H174" s="19" t="s">
        <v>511</v>
      </c>
      <c r="I174" s="21">
        <v>382.5</v>
      </c>
      <c r="J174" s="21">
        <v>7</v>
      </c>
      <c r="K174" s="22">
        <v>13156</v>
      </c>
      <c r="L174" s="22">
        <v>25825</v>
      </c>
      <c r="M174" s="22">
        <v>27925</v>
      </c>
      <c r="N174" s="23">
        <v>-0.49057115198451101</v>
      </c>
      <c r="O174" s="23">
        <v>-0.52888093106535405</v>
      </c>
      <c r="P174" s="21">
        <v>3.57476635514019</v>
      </c>
      <c r="Q174" s="22">
        <v>122.95327102803699</v>
      </c>
    </row>
    <row r="175" spans="1:17" ht="15" customHeight="1" x14ac:dyDescent="0.2">
      <c r="A175" s="26" t="s">
        <v>292</v>
      </c>
      <c r="B175" s="27" t="s">
        <v>148</v>
      </c>
      <c r="C175" s="27" t="s">
        <v>267</v>
      </c>
      <c r="D175" s="29">
        <v>136</v>
      </c>
      <c r="E175" s="26" t="s">
        <v>510</v>
      </c>
      <c r="F175" s="28" t="s">
        <v>501</v>
      </c>
      <c r="G175" s="28" t="s">
        <v>502</v>
      </c>
      <c r="H175" s="28" t="s">
        <v>511</v>
      </c>
      <c r="I175" s="30">
        <v>470.5</v>
      </c>
      <c r="J175" s="30"/>
      <c r="K175" s="31">
        <v>16111.5</v>
      </c>
      <c r="L175" s="31">
        <v>13206</v>
      </c>
      <c r="M175" s="31">
        <v>15488</v>
      </c>
      <c r="N175" s="32">
        <v>0.22001363016810499</v>
      </c>
      <c r="O175" s="32">
        <v>4.0256973140495901E-2</v>
      </c>
      <c r="P175" s="30">
        <v>3.4595588235294099</v>
      </c>
      <c r="Q175" s="31">
        <v>118.466911764706</v>
      </c>
    </row>
    <row r="176" spans="1:17" ht="15" customHeight="1" x14ac:dyDescent="0.2">
      <c r="A176" s="17" t="s">
        <v>295</v>
      </c>
      <c r="B176" s="18" t="s">
        <v>148</v>
      </c>
      <c r="C176" s="18" t="s">
        <v>267</v>
      </c>
      <c r="D176" s="20">
        <v>68</v>
      </c>
      <c r="E176" s="17" t="s">
        <v>510</v>
      </c>
      <c r="F176" s="19" t="s">
        <v>501</v>
      </c>
      <c r="G176" s="19" t="s">
        <v>502</v>
      </c>
      <c r="H176" s="19" t="s">
        <v>511</v>
      </c>
      <c r="I176" s="21">
        <v>185.5</v>
      </c>
      <c r="J176" s="21">
        <v>7</v>
      </c>
      <c r="K176" s="22">
        <v>7369</v>
      </c>
      <c r="L176" s="22">
        <v>12885</v>
      </c>
      <c r="M176" s="22">
        <v>14055</v>
      </c>
      <c r="N176" s="23">
        <v>-0.42809468374078402</v>
      </c>
      <c r="O176" s="23">
        <v>-0.47570259694059103</v>
      </c>
      <c r="P176" s="21">
        <v>2.7279411764705901</v>
      </c>
      <c r="Q176" s="22">
        <v>108.36764705882401</v>
      </c>
    </row>
    <row r="177" spans="1:17" ht="15" customHeight="1" x14ac:dyDescent="0.2">
      <c r="A177" s="26" t="s">
        <v>298</v>
      </c>
      <c r="B177" s="27" t="s">
        <v>148</v>
      </c>
      <c r="C177" s="27" t="s">
        <v>267</v>
      </c>
      <c r="D177" s="29">
        <v>98</v>
      </c>
      <c r="E177" s="26" t="s">
        <v>510</v>
      </c>
      <c r="F177" s="28" t="s">
        <v>501</v>
      </c>
      <c r="G177" s="28" t="s">
        <v>502</v>
      </c>
      <c r="H177" s="28" t="s">
        <v>511</v>
      </c>
      <c r="I177" s="30">
        <v>262.5</v>
      </c>
      <c r="J177" s="30"/>
      <c r="K177" s="31">
        <v>11833.5</v>
      </c>
      <c r="L177" s="31">
        <v>9150</v>
      </c>
      <c r="M177" s="31">
        <v>9150</v>
      </c>
      <c r="N177" s="32">
        <v>0.29327868852458999</v>
      </c>
      <c r="O177" s="32">
        <v>0.29327868852458999</v>
      </c>
      <c r="P177" s="30">
        <v>2.6785714285714302</v>
      </c>
      <c r="Q177" s="31">
        <v>120.75</v>
      </c>
    </row>
    <row r="178" spans="1:17" ht="15" customHeight="1" x14ac:dyDescent="0.2">
      <c r="A178" s="17" t="s">
        <v>300</v>
      </c>
      <c r="B178" s="18" t="s">
        <v>148</v>
      </c>
      <c r="C178" s="18" t="s">
        <v>267</v>
      </c>
      <c r="D178" s="20">
        <v>321</v>
      </c>
      <c r="E178" s="17" t="s">
        <v>510</v>
      </c>
      <c r="F178" s="19" t="s">
        <v>501</v>
      </c>
      <c r="G178" s="19" t="s">
        <v>502</v>
      </c>
      <c r="H178" s="19" t="s">
        <v>511</v>
      </c>
      <c r="I178" s="21">
        <v>1020</v>
      </c>
      <c r="J178" s="21">
        <v>46</v>
      </c>
      <c r="K178" s="22">
        <v>37974.25</v>
      </c>
      <c r="L178" s="22">
        <v>38820</v>
      </c>
      <c r="M178" s="22">
        <v>44224</v>
      </c>
      <c r="N178" s="23">
        <v>-2.1786450283359099E-2</v>
      </c>
      <c r="O178" s="23">
        <v>-0.14132032380607801</v>
      </c>
      <c r="P178" s="21">
        <v>3.1775700934579398</v>
      </c>
      <c r="Q178" s="22">
        <v>118.29984423675999</v>
      </c>
    </row>
    <row r="179" spans="1:17" ht="15" customHeight="1" x14ac:dyDescent="0.2">
      <c r="A179" s="26" t="s">
        <v>302</v>
      </c>
      <c r="B179" s="27" t="s">
        <v>148</v>
      </c>
      <c r="C179" s="27" t="s">
        <v>267</v>
      </c>
      <c r="D179" s="29">
        <v>111</v>
      </c>
      <c r="E179" s="26" t="s">
        <v>510</v>
      </c>
      <c r="F179" s="28" t="s">
        <v>501</v>
      </c>
      <c r="G179" s="28" t="s">
        <v>502</v>
      </c>
      <c r="H179" s="28" t="s">
        <v>511</v>
      </c>
      <c r="I179" s="30">
        <v>81</v>
      </c>
      <c r="J179" s="30"/>
      <c r="K179" s="31">
        <v>2949</v>
      </c>
      <c r="L179" s="31">
        <v>9000</v>
      </c>
      <c r="M179" s="31">
        <v>9000</v>
      </c>
      <c r="N179" s="32">
        <v>-0.67233333333333301</v>
      </c>
      <c r="O179" s="32">
        <v>-0.67233333333333301</v>
      </c>
      <c r="P179" s="30">
        <v>0.72972972972973005</v>
      </c>
      <c r="Q179" s="31">
        <v>26.5675675675676</v>
      </c>
    </row>
    <row r="180" spans="1:17" ht="15" customHeight="1" x14ac:dyDescent="0.2">
      <c r="A180" s="17" t="s">
        <v>304</v>
      </c>
      <c r="B180" s="18" t="s">
        <v>148</v>
      </c>
      <c r="C180" s="18" t="s">
        <v>267</v>
      </c>
      <c r="D180" s="20">
        <v>77</v>
      </c>
      <c r="E180" s="17" t="s">
        <v>510</v>
      </c>
      <c r="F180" s="19" t="s">
        <v>501</v>
      </c>
      <c r="G180" s="19" t="s">
        <v>502</v>
      </c>
      <c r="H180" s="19" t="s">
        <v>511</v>
      </c>
      <c r="I180" s="21">
        <v>93</v>
      </c>
      <c r="J180" s="21">
        <v>9</v>
      </c>
      <c r="K180" s="22">
        <v>3766</v>
      </c>
      <c r="L180" s="22">
        <v>3760</v>
      </c>
      <c r="M180" s="22">
        <v>4280</v>
      </c>
      <c r="N180" s="23">
        <v>1.5957446808510601E-3</v>
      </c>
      <c r="O180" s="23">
        <v>-0.12009345794392499</v>
      </c>
      <c r="P180" s="21">
        <v>1.2077922077922101</v>
      </c>
      <c r="Q180" s="22">
        <v>48.909090909090899</v>
      </c>
    </row>
    <row r="181" spans="1:17" ht="15" customHeight="1" x14ac:dyDescent="0.2">
      <c r="A181" s="26" t="s">
        <v>306</v>
      </c>
      <c r="B181" s="27" t="s">
        <v>148</v>
      </c>
      <c r="C181" s="27" t="s">
        <v>267</v>
      </c>
      <c r="D181" s="29">
        <v>365</v>
      </c>
      <c r="E181" s="26" t="s">
        <v>510</v>
      </c>
      <c r="F181" s="28" t="s">
        <v>501</v>
      </c>
      <c r="G181" s="28" t="s">
        <v>502</v>
      </c>
      <c r="H181" s="28" t="s">
        <v>511</v>
      </c>
      <c r="I181" s="30">
        <v>2167</v>
      </c>
      <c r="J181" s="30">
        <v>126</v>
      </c>
      <c r="K181" s="31">
        <v>78123</v>
      </c>
      <c r="L181" s="31">
        <v>76650</v>
      </c>
      <c r="M181" s="31">
        <v>83790</v>
      </c>
      <c r="N181" s="32">
        <v>1.92172211350294E-2</v>
      </c>
      <c r="O181" s="32">
        <v>-6.7633369137128502E-2</v>
      </c>
      <c r="P181" s="30">
        <v>5.9369863013698598</v>
      </c>
      <c r="Q181" s="31">
        <v>214.03561643835599</v>
      </c>
    </row>
    <row r="182" spans="1:17" ht="15" customHeight="1" x14ac:dyDescent="0.2">
      <c r="A182" s="17" t="s">
        <v>309</v>
      </c>
      <c r="B182" s="18" t="s">
        <v>148</v>
      </c>
      <c r="C182" s="18" t="s">
        <v>267</v>
      </c>
      <c r="D182" s="20">
        <v>270</v>
      </c>
      <c r="E182" s="17" t="s">
        <v>510</v>
      </c>
      <c r="F182" s="19" t="s">
        <v>501</v>
      </c>
      <c r="G182" s="19" t="s">
        <v>502</v>
      </c>
      <c r="H182" s="19" t="s">
        <v>511</v>
      </c>
      <c r="I182" s="21">
        <v>678.5</v>
      </c>
      <c r="J182" s="21">
        <v>5</v>
      </c>
      <c r="K182" s="22">
        <v>27494.5</v>
      </c>
      <c r="L182" s="22">
        <v>63020</v>
      </c>
      <c r="M182" s="22">
        <v>67110</v>
      </c>
      <c r="N182" s="23">
        <v>-0.5637178673437</v>
      </c>
      <c r="O182" s="23">
        <v>-0.59030695872448202</v>
      </c>
      <c r="P182" s="21">
        <v>2.51296296296296</v>
      </c>
      <c r="Q182" s="22">
        <v>101.831481481482</v>
      </c>
    </row>
    <row r="183" spans="1:17" ht="15" customHeight="1" x14ac:dyDescent="0.2">
      <c r="A183" s="35" t="s">
        <v>312</v>
      </c>
      <c r="B183" s="36" t="s">
        <v>313</v>
      </c>
      <c r="C183" s="36" t="s">
        <v>267</v>
      </c>
      <c r="D183" s="38">
        <v>170</v>
      </c>
      <c r="E183" s="35" t="s">
        <v>510</v>
      </c>
      <c r="F183" s="37" t="s">
        <v>501</v>
      </c>
      <c r="G183" s="37" t="s">
        <v>502</v>
      </c>
      <c r="H183" s="37" t="s">
        <v>511</v>
      </c>
      <c r="I183" s="39">
        <v>1516</v>
      </c>
      <c r="J183" s="39">
        <v>6</v>
      </c>
      <c r="K183" s="40">
        <v>71186.759999999995</v>
      </c>
      <c r="L183" s="40">
        <v>100467</v>
      </c>
      <c r="M183" s="40">
        <v>100967</v>
      </c>
      <c r="N183" s="41">
        <v>-0.29144136880766802</v>
      </c>
      <c r="O183" s="41">
        <v>-0.29495023126367997</v>
      </c>
      <c r="P183" s="39">
        <v>8.9176470588235297</v>
      </c>
      <c r="Q183" s="40">
        <v>418.74564705882398</v>
      </c>
    </row>
    <row r="184" spans="1:17" ht="15" customHeight="1" x14ac:dyDescent="0.2">
      <c r="A184" s="35" t="s">
        <v>316</v>
      </c>
      <c r="B184" s="36" t="s">
        <v>313</v>
      </c>
      <c r="C184" s="36" t="s">
        <v>267</v>
      </c>
      <c r="D184" s="38">
        <v>234</v>
      </c>
      <c r="E184" s="35" t="s">
        <v>510</v>
      </c>
      <c r="F184" s="37" t="s">
        <v>501</v>
      </c>
      <c r="G184" s="37" t="s">
        <v>502</v>
      </c>
      <c r="H184" s="37" t="s">
        <v>511</v>
      </c>
      <c r="I184" s="39">
        <v>2149.25</v>
      </c>
      <c r="J184" s="39"/>
      <c r="K184" s="40">
        <v>95456</v>
      </c>
      <c r="L184" s="40">
        <v>53163</v>
      </c>
      <c r="M184" s="40">
        <v>75888</v>
      </c>
      <c r="N184" s="41">
        <v>0.79553448827191797</v>
      </c>
      <c r="O184" s="41">
        <v>0.257853679106051</v>
      </c>
      <c r="P184" s="39">
        <v>9.1848290598290596</v>
      </c>
      <c r="Q184" s="40">
        <v>407.93162393162402</v>
      </c>
    </row>
    <row r="185" spans="1:17" ht="15" customHeight="1" x14ac:dyDescent="0.2">
      <c r="A185" s="35" t="s">
        <v>319</v>
      </c>
      <c r="B185" s="36" t="s">
        <v>313</v>
      </c>
      <c r="C185" s="36" t="s">
        <v>267</v>
      </c>
      <c r="D185" s="38">
        <v>24</v>
      </c>
      <c r="E185" s="35" t="s">
        <v>510</v>
      </c>
      <c r="F185" s="37" t="s">
        <v>501</v>
      </c>
      <c r="G185" s="37" t="s">
        <v>502</v>
      </c>
      <c r="H185" s="37" t="s">
        <v>511</v>
      </c>
      <c r="I185" s="39">
        <v>164.5</v>
      </c>
      <c r="J185" s="39"/>
      <c r="K185" s="40">
        <v>8973.5</v>
      </c>
      <c r="L185" s="40">
        <v>7125</v>
      </c>
      <c r="M185" s="40">
        <v>7125</v>
      </c>
      <c r="N185" s="41">
        <v>0.25943859649122802</v>
      </c>
      <c r="O185" s="41">
        <v>0.25943859649122802</v>
      </c>
      <c r="P185" s="39">
        <v>6.8541666666666696</v>
      </c>
      <c r="Q185" s="40">
        <v>373.89583333333297</v>
      </c>
    </row>
    <row r="186" spans="1:17" ht="15" customHeight="1" x14ac:dyDescent="0.2">
      <c r="A186" s="35" t="s">
        <v>322</v>
      </c>
      <c r="B186" s="36" t="s">
        <v>313</v>
      </c>
      <c r="C186" s="36" t="s">
        <v>267</v>
      </c>
      <c r="D186" s="38">
        <v>219</v>
      </c>
      <c r="E186" s="35" t="s">
        <v>510</v>
      </c>
      <c r="F186" s="37" t="s">
        <v>501</v>
      </c>
      <c r="G186" s="37" t="s">
        <v>502</v>
      </c>
      <c r="H186" s="37" t="s">
        <v>511</v>
      </c>
      <c r="I186" s="39">
        <v>3</v>
      </c>
      <c r="J186" s="39"/>
      <c r="K186" s="40">
        <v>204</v>
      </c>
      <c r="L186" s="40"/>
      <c r="M186" s="40"/>
      <c r="N186" s="41"/>
      <c r="O186" s="41"/>
      <c r="P186" s="39">
        <v>1.3698630136986301E-2</v>
      </c>
      <c r="Q186" s="40">
        <v>0.931506849315068</v>
      </c>
    </row>
    <row r="187" spans="1:17" ht="15" customHeight="1" x14ac:dyDescent="0.2">
      <c r="A187" s="35" t="s">
        <v>327</v>
      </c>
      <c r="B187" s="36" t="s">
        <v>313</v>
      </c>
      <c r="C187" s="36" t="s">
        <v>267</v>
      </c>
      <c r="D187" s="38">
        <v>244</v>
      </c>
      <c r="E187" s="35" t="s">
        <v>510</v>
      </c>
      <c r="F187" s="37" t="s">
        <v>501</v>
      </c>
      <c r="G187" s="37" t="s">
        <v>502</v>
      </c>
      <c r="H187" s="37" t="s">
        <v>511</v>
      </c>
      <c r="I187" s="39">
        <v>708</v>
      </c>
      <c r="J187" s="39"/>
      <c r="K187" s="40">
        <v>31475</v>
      </c>
      <c r="L187" s="40">
        <v>28400</v>
      </c>
      <c r="M187" s="40">
        <v>30400</v>
      </c>
      <c r="N187" s="41">
        <v>0.10827464788732399</v>
      </c>
      <c r="O187" s="41">
        <v>3.5361842105263198E-2</v>
      </c>
      <c r="P187" s="39">
        <v>2.9016393442622999</v>
      </c>
      <c r="Q187" s="40">
        <v>128.995901639344</v>
      </c>
    </row>
    <row r="188" spans="1:17" ht="15" customHeight="1" x14ac:dyDescent="0.2">
      <c r="A188" s="35" t="s">
        <v>329</v>
      </c>
      <c r="B188" s="36" t="s">
        <v>313</v>
      </c>
      <c r="C188" s="36" t="s">
        <v>330</v>
      </c>
      <c r="D188" s="38">
        <v>186</v>
      </c>
      <c r="E188" s="35" t="s">
        <v>510</v>
      </c>
      <c r="F188" s="37" t="s">
        <v>501</v>
      </c>
      <c r="G188" s="37" t="s">
        <v>502</v>
      </c>
      <c r="H188" s="37" t="s">
        <v>511</v>
      </c>
      <c r="I188" s="39">
        <v>1619</v>
      </c>
      <c r="J188" s="39">
        <v>1.25</v>
      </c>
      <c r="K188" s="40">
        <v>67299.13</v>
      </c>
      <c r="L188" s="40">
        <v>43000</v>
      </c>
      <c r="M188" s="40">
        <v>48100</v>
      </c>
      <c r="N188" s="41">
        <v>0.56509604651162804</v>
      </c>
      <c r="O188" s="41">
        <v>0.39915031185031202</v>
      </c>
      <c r="P188" s="39">
        <v>8.7043010752688197</v>
      </c>
      <c r="Q188" s="40">
        <v>361.82327956989297</v>
      </c>
    </row>
    <row r="189" spans="1:17" ht="15" customHeight="1" x14ac:dyDescent="0.2">
      <c r="A189" s="35" t="s">
        <v>334</v>
      </c>
      <c r="B189" s="36" t="s">
        <v>313</v>
      </c>
      <c r="C189" s="36" t="s">
        <v>330</v>
      </c>
      <c r="D189" s="38">
        <v>20</v>
      </c>
      <c r="E189" s="35" t="s">
        <v>510</v>
      </c>
      <c r="F189" s="37" t="s">
        <v>501</v>
      </c>
      <c r="G189" s="37" t="s">
        <v>502</v>
      </c>
      <c r="H189" s="37" t="s">
        <v>511</v>
      </c>
      <c r="I189" s="39">
        <v>186.5</v>
      </c>
      <c r="J189" s="39"/>
      <c r="K189" s="40">
        <v>8197.5</v>
      </c>
      <c r="L189" s="40">
        <v>4950</v>
      </c>
      <c r="M189" s="40">
        <v>4950</v>
      </c>
      <c r="N189" s="41">
        <v>0.65606060606060601</v>
      </c>
      <c r="O189" s="41">
        <v>0.65606060606060601</v>
      </c>
      <c r="P189" s="39">
        <v>9.3249999999999993</v>
      </c>
      <c r="Q189" s="40">
        <v>409.875</v>
      </c>
    </row>
    <row r="190" spans="1:17" ht="15" customHeight="1" x14ac:dyDescent="0.2">
      <c r="A190" s="17" t="s">
        <v>147</v>
      </c>
      <c r="B190" s="18" t="s">
        <v>148</v>
      </c>
      <c r="C190" s="18" t="s">
        <v>149</v>
      </c>
      <c r="D190" s="20">
        <v>234</v>
      </c>
      <c r="E190" s="17" t="s">
        <v>512</v>
      </c>
      <c r="F190" s="19" t="s">
        <v>501</v>
      </c>
      <c r="G190" s="19" t="s">
        <v>502</v>
      </c>
      <c r="H190" s="19" t="s">
        <v>513</v>
      </c>
      <c r="I190" s="21"/>
      <c r="J190" s="21"/>
      <c r="K190" s="22">
        <v>51832.47</v>
      </c>
      <c r="L190" s="22">
        <v>37860</v>
      </c>
      <c r="M190" s="22">
        <v>37860</v>
      </c>
      <c r="N190" s="23">
        <v>0.36905625990491298</v>
      </c>
      <c r="O190" s="23">
        <v>0.36905625990491298</v>
      </c>
      <c r="P190" s="21"/>
      <c r="Q190" s="22">
        <v>221.506282051282</v>
      </c>
    </row>
    <row r="191" spans="1:17" ht="15" customHeight="1" x14ac:dyDescent="0.2">
      <c r="A191" s="26" t="s">
        <v>152</v>
      </c>
      <c r="B191" s="27" t="s">
        <v>148</v>
      </c>
      <c r="C191" s="27" t="s">
        <v>149</v>
      </c>
      <c r="D191" s="29">
        <v>258</v>
      </c>
      <c r="E191" s="26" t="s">
        <v>512</v>
      </c>
      <c r="F191" s="28" t="s">
        <v>501</v>
      </c>
      <c r="G191" s="28" t="s">
        <v>502</v>
      </c>
      <c r="H191" s="28" t="s">
        <v>513</v>
      </c>
      <c r="I191" s="30"/>
      <c r="J191" s="30"/>
      <c r="K191" s="31">
        <v>38324.129999999997</v>
      </c>
      <c r="L191" s="31">
        <v>44625</v>
      </c>
      <c r="M191" s="31">
        <v>44625</v>
      </c>
      <c r="N191" s="32">
        <v>-0.14119596638655499</v>
      </c>
      <c r="O191" s="32">
        <v>-0.14119596638655499</v>
      </c>
      <c r="P191" s="30"/>
      <c r="Q191" s="31">
        <v>148.54313953488401</v>
      </c>
    </row>
    <row r="192" spans="1:17" ht="15" customHeight="1" x14ac:dyDescent="0.2">
      <c r="A192" s="17" t="s">
        <v>154</v>
      </c>
      <c r="B192" s="18" t="s">
        <v>148</v>
      </c>
      <c r="C192" s="18" t="s">
        <v>149</v>
      </c>
      <c r="D192" s="20">
        <v>56</v>
      </c>
      <c r="E192" s="17" t="s">
        <v>512</v>
      </c>
      <c r="F192" s="19" t="s">
        <v>501</v>
      </c>
      <c r="G192" s="19" t="s">
        <v>502</v>
      </c>
      <c r="H192" s="19" t="s">
        <v>513</v>
      </c>
      <c r="I192" s="21"/>
      <c r="J192" s="21"/>
      <c r="K192" s="22">
        <v>9872</v>
      </c>
      <c r="L192" s="22">
        <v>8960</v>
      </c>
      <c r="M192" s="22">
        <v>8960</v>
      </c>
      <c r="N192" s="23">
        <v>0.10178571428571399</v>
      </c>
      <c r="O192" s="23">
        <v>0.10178571428571399</v>
      </c>
      <c r="P192" s="21"/>
      <c r="Q192" s="22">
        <v>176.28571428571399</v>
      </c>
    </row>
    <row r="193" spans="1:17" ht="15" customHeight="1" x14ac:dyDescent="0.2">
      <c r="A193" s="26" t="s">
        <v>157</v>
      </c>
      <c r="B193" s="27" t="s">
        <v>148</v>
      </c>
      <c r="C193" s="27" t="s">
        <v>149</v>
      </c>
      <c r="D193" s="29">
        <v>149</v>
      </c>
      <c r="E193" s="26" t="s">
        <v>512</v>
      </c>
      <c r="F193" s="28" t="s">
        <v>501</v>
      </c>
      <c r="G193" s="28" t="s">
        <v>502</v>
      </c>
      <c r="H193" s="28" t="s">
        <v>513</v>
      </c>
      <c r="I193" s="30"/>
      <c r="J193" s="30"/>
      <c r="K193" s="31">
        <v>28821.5</v>
      </c>
      <c r="L193" s="31">
        <v>39100</v>
      </c>
      <c r="M193" s="31">
        <v>39100</v>
      </c>
      <c r="N193" s="32">
        <v>-0.262877237851662</v>
      </c>
      <c r="O193" s="32">
        <v>-0.262877237851662</v>
      </c>
      <c r="P193" s="30"/>
      <c r="Q193" s="31">
        <v>193.43288590604001</v>
      </c>
    </row>
    <row r="194" spans="1:17" ht="15" customHeight="1" x14ac:dyDescent="0.2">
      <c r="A194" s="17" t="s">
        <v>159</v>
      </c>
      <c r="B194" s="18" t="s">
        <v>148</v>
      </c>
      <c r="C194" s="18" t="s">
        <v>149</v>
      </c>
      <c r="D194" s="20">
        <v>117</v>
      </c>
      <c r="E194" s="17" t="s">
        <v>512</v>
      </c>
      <c r="F194" s="19" t="s">
        <v>501</v>
      </c>
      <c r="G194" s="19" t="s">
        <v>502</v>
      </c>
      <c r="H194" s="19" t="s">
        <v>513</v>
      </c>
      <c r="I194" s="21"/>
      <c r="J194" s="21"/>
      <c r="K194" s="22">
        <v>10199</v>
      </c>
      <c r="L194" s="22">
        <v>16200</v>
      </c>
      <c r="M194" s="22">
        <v>16200</v>
      </c>
      <c r="N194" s="23">
        <v>-0.37043209876543198</v>
      </c>
      <c r="O194" s="23">
        <v>-0.37043209876543198</v>
      </c>
      <c r="P194" s="21"/>
      <c r="Q194" s="22">
        <v>87.170940170940199</v>
      </c>
    </row>
    <row r="195" spans="1:17" ht="15" customHeight="1" x14ac:dyDescent="0.2">
      <c r="A195" s="26" t="s">
        <v>161</v>
      </c>
      <c r="B195" s="27" t="s">
        <v>148</v>
      </c>
      <c r="C195" s="27" t="s">
        <v>149</v>
      </c>
      <c r="D195" s="29">
        <v>162</v>
      </c>
      <c r="E195" s="26" t="s">
        <v>512</v>
      </c>
      <c r="F195" s="28" t="s">
        <v>501</v>
      </c>
      <c r="G195" s="28" t="s">
        <v>502</v>
      </c>
      <c r="H195" s="28" t="s">
        <v>513</v>
      </c>
      <c r="I195" s="30">
        <v>872</v>
      </c>
      <c r="J195" s="30"/>
      <c r="K195" s="31">
        <v>19353.5</v>
      </c>
      <c r="L195" s="31">
        <v>14600</v>
      </c>
      <c r="M195" s="31">
        <v>14600</v>
      </c>
      <c r="N195" s="32">
        <v>0.32558219178082198</v>
      </c>
      <c r="O195" s="32">
        <v>0.32558219178082198</v>
      </c>
      <c r="P195" s="30">
        <v>5.3827160493827204</v>
      </c>
      <c r="Q195" s="31">
        <v>119.46604938271599</v>
      </c>
    </row>
    <row r="196" spans="1:17" ht="15" customHeight="1" x14ac:dyDescent="0.2">
      <c r="A196" s="17" t="s">
        <v>165</v>
      </c>
      <c r="B196" s="18" t="s">
        <v>148</v>
      </c>
      <c r="C196" s="18" t="s">
        <v>149</v>
      </c>
      <c r="D196" s="20">
        <v>197</v>
      </c>
      <c r="E196" s="17" t="s">
        <v>512</v>
      </c>
      <c r="F196" s="19" t="s">
        <v>501</v>
      </c>
      <c r="G196" s="19" t="s">
        <v>502</v>
      </c>
      <c r="H196" s="19" t="s">
        <v>513</v>
      </c>
      <c r="I196" s="21"/>
      <c r="J196" s="21"/>
      <c r="K196" s="22">
        <v>50128.5</v>
      </c>
      <c r="L196" s="22">
        <v>55870</v>
      </c>
      <c r="M196" s="22">
        <v>67410</v>
      </c>
      <c r="N196" s="23">
        <v>-0.102765348129587</v>
      </c>
      <c r="O196" s="23">
        <v>-0.25636404094347998</v>
      </c>
      <c r="P196" s="21"/>
      <c r="Q196" s="22">
        <v>254.45939086294399</v>
      </c>
    </row>
    <row r="197" spans="1:17" ht="15" customHeight="1" x14ac:dyDescent="0.2">
      <c r="A197" s="26" t="s">
        <v>167</v>
      </c>
      <c r="B197" s="27" t="s">
        <v>148</v>
      </c>
      <c r="C197" s="27" t="s">
        <v>149</v>
      </c>
      <c r="D197" s="29">
        <v>119</v>
      </c>
      <c r="E197" s="26" t="s">
        <v>512</v>
      </c>
      <c r="F197" s="28" t="s">
        <v>501</v>
      </c>
      <c r="G197" s="28" t="s">
        <v>502</v>
      </c>
      <c r="H197" s="28" t="s">
        <v>513</v>
      </c>
      <c r="I197" s="30"/>
      <c r="J197" s="30"/>
      <c r="K197" s="31">
        <v>29981</v>
      </c>
      <c r="L197" s="31">
        <v>38180</v>
      </c>
      <c r="M197" s="31">
        <v>38670</v>
      </c>
      <c r="N197" s="32">
        <v>-0.214745940282871</v>
      </c>
      <c r="O197" s="32">
        <v>-0.224696146883889</v>
      </c>
      <c r="P197" s="30"/>
      <c r="Q197" s="31">
        <v>251.941176470588</v>
      </c>
    </row>
    <row r="198" spans="1:17" ht="15" customHeight="1" x14ac:dyDescent="0.2">
      <c r="A198" s="17" t="s">
        <v>169</v>
      </c>
      <c r="B198" s="18" t="s">
        <v>148</v>
      </c>
      <c r="C198" s="18" t="s">
        <v>149</v>
      </c>
      <c r="D198" s="20">
        <v>211</v>
      </c>
      <c r="E198" s="17" t="s">
        <v>512</v>
      </c>
      <c r="F198" s="19" t="s">
        <v>501</v>
      </c>
      <c r="G198" s="19" t="s">
        <v>502</v>
      </c>
      <c r="H198" s="19" t="s">
        <v>513</v>
      </c>
      <c r="I198" s="21"/>
      <c r="J198" s="21"/>
      <c r="K198" s="22">
        <v>33852.25</v>
      </c>
      <c r="L198" s="22">
        <v>71700</v>
      </c>
      <c r="M198" s="22">
        <v>71700</v>
      </c>
      <c r="N198" s="23">
        <v>-0.527862622036262</v>
      </c>
      <c r="O198" s="23">
        <v>-0.527862622036262</v>
      </c>
      <c r="P198" s="21"/>
      <c r="Q198" s="22">
        <v>160.43720379146899</v>
      </c>
    </row>
    <row r="199" spans="1:17" ht="15" customHeight="1" x14ac:dyDescent="0.2">
      <c r="A199" s="26" t="s">
        <v>171</v>
      </c>
      <c r="B199" s="27" t="s">
        <v>148</v>
      </c>
      <c r="C199" s="27" t="s">
        <v>149</v>
      </c>
      <c r="D199" s="29">
        <v>211</v>
      </c>
      <c r="E199" s="26" t="s">
        <v>512</v>
      </c>
      <c r="F199" s="28" t="s">
        <v>501</v>
      </c>
      <c r="G199" s="28" t="s">
        <v>502</v>
      </c>
      <c r="H199" s="28" t="s">
        <v>513</v>
      </c>
      <c r="I199" s="30"/>
      <c r="J199" s="30"/>
      <c r="K199" s="31">
        <v>65168.5</v>
      </c>
      <c r="L199" s="31">
        <v>80400</v>
      </c>
      <c r="M199" s="31">
        <v>84100</v>
      </c>
      <c r="N199" s="32">
        <v>-0.189446517412935</v>
      </c>
      <c r="O199" s="32">
        <v>-0.225107015457788</v>
      </c>
      <c r="P199" s="30"/>
      <c r="Q199" s="31">
        <v>308.85545023696699</v>
      </c>
    </row>
    <row r="200" spans="1:17" ht="15" customHeight="1" x14ac:dyDescent="0.2">
      <c r="A200" s="17" t="s">
        <v>173</v>
      </c>
      <c r="B200" s="18" t="s">
        <v>148</v>
      </c>
      <c r="C200" s="18" t="s">
        <v>149</v>
      </c>
      <c r="D200" s="20">
        <v>256</v>
      </c>
      <c r="E200" s="17" t="s">
        <v>512</v>
      </c>
      <c r="F200" s="19" t="s">
        <v>501</v>
      </c>
      <c r="G200" s="19" t="s">
        <v>502</v>
      </c>
      <c r="H200" s="19" t="s">
        <v>513</v>
      </c>
      <c r="I200" s="21"/>
      <c r="J200" s="21"/>
      <c r="K200" s="22">
        <v>142441</v>
      </c>
      <c r="L200" s="22">
        <v>114350</v>
      </c>
      <c r="M200" s="22">
        <v>118946</v>
      </c>
      <c r="N200" s="23">
        <v>0.245658067337123</v>
      </c>
      <c r="O200" s="23">
        <v>0.19752660871319799</v>
      </c>
      <c r="P200" s="21"/>
      <c r="Q200" s="22">
        <v>556.41015625</v>
      </c>
    </row>
    <row r="201" spans="1:17" ht="15" customHeight="1" x14ac:dyDescent="0.2">
      <c r="A201" s="26" t="s">
        <v>175</v>
      </c>
      <c r="B201" s="27" t="s">
        <v>148</v>
      </c>
      <c r="C201" s="27" t="s">
        <v>149</v>
      </c>
      <c r="D201" s="29">
        <v>136</v>
      </c>
      <c r="E201" s="26" t="s">
        <v>512</v>
      </c>
      <c r="F201" s="28" t="s">
        <v>501</v>
      </c>
      <c r="G201" s="28" t="s">
        <v>502</v>
      </c>
      <c r="H201" s="28" t="s">
        <v>513</v>
      </c>
      <c r="I201" s="30"/>
      <c r="J201" s="30"/>
      <c r="K201" s="31">
        <v>40673.760000000002</v>
      </c>
      <c r="L201" s="31">
        <v>46180</v>
      </c>
      <c r="M201" s="31">
        <v>48780</v>
      </c>
      <c r="N201" s="32">
        <v>-0.119234300563014</v>
      </c>
      <c r="O201" s="32">
        <v>-0.16617958179581799</v>
      </c>
      <c r="P201" s="30"/>
      <c r="Q201" s="31">
        <v>299.071764705882</v>
      </c>
    </row>
    <row r="202" spans="1:17" ht="15" customHeight="1" x14ac:dyDescent="0.2">
      <c r="A202" s="17" t="s">
        <v>179</v>
      </c>
      <c r="B202" s="18" t="s">
        <v>148</v>
      </c>
      <c r="C202" s="18" t="s">
        <v>180</v>
      </c>
      <c r="D202" s="20">
        <v>209</v>
      </c>
      <c r="E202" s="17" t="s">
        <v>512</v>
      </c>
      <c r="F202" s="19" t="s">
        <v>501</v>
      </c>
      <c r="G202" s="19" t="s">
        <v>502</v>
      </c>
      <c r="H202" s="19" t="s">
        <v>513</v>
      </c>
      <c r="I202" s="21">
        <v>4461</v>
      </c>
      <c r="J202" s="21">
        <v>1</v>
      </c>
      <c r="K202" s="22">
        <v>84983.82</v>
      </c>
      <c r="L202" s="22">
        <v>121140</v>
      </c>
      <c r="M202" s="22">
        <v>123844</v>
      </c>
      <c r="N202" s="23">
        <v>-0.29846607231302602</v>
      </c>
      <c r="O202" s="23">
        <v>-0.313783308032686</v>
      </c>
      <c r="P202" s="21">
        <v>21.344497607655502</v>
      </c>
      <c r="Q202" s="22">
        <v>406.621148325359</v>
      </c>
    </row>
    <row r="203" spans="1:17" ht="15" customHeight="1" x14ac:dyDescent="0.2">
      <c r="A203" s="26" t="s">
        <v>185</v>
      </c>
      <c r="B203" s="27" t="s">
        <v>148</v>
      </c>
      <c r="C203" s="27" t="s">
        <v>180</v>
      </c>
      <c r="D203" s="29">
        <v>117</v>
      </c>
      <c r="E203" s="26" t="s">
        <v>512</v>
      </c>
      <c r="F203" s="28" t="s">
        <v>501</v>
      </c>
      <c r="G203" s="28" t="s">
        <v>502</v>
      </c>
      <c r="H203" s="28" t="s">
        <v>513</v>
      </c>
      <c r="I203" s="30">
        <v>2754</v>
      </c>
      <c r="J203" s="30"/>
      <c r="K203" s="31">
        <v>66691</v>
      </c>
      <c r="L203" s="31">
        <v>85500</v>
      </c>
      <c r="M203" s="31">
        <v>91072</v>
      </c>
      <c r="N203" s="32">
        <v>-0.21998830409356701</v>
      </c>
      <c r="O203" s="32">
        <v>-0.267711261419536</v>
      </c>
      <c r="P203" s="30">
        <v>23.538461538461501</v>
      </c>
      <c r="Q203" s="31">
        <v>570.008547008547</v>
      </c>
    </row>
    <row r="204" spans="1:17" ht="15" customHeight="1" x14ac:dyDescent="0.2">
      <c r="A204" s="17" t="s">
        <v>190</v>
      </c>
      <c r="B204" s="18" t="s">
        <v>148</v>
      </c>
      <c r="C204" s="18" t="s">
        <v>180</v>
      </c>
      <c r="D204" s="20">
        <v>75</v>
      </c>
      <c r="E204" s="17" t="s">
        <v>512</v>
      </c>
      <c r="F204" s="19" t="s">
        <v>501</v>
      </c>
      <c r="G204" s="19" t="s">
        <v>502</v>
      </c>
      <c r="H204" s="19" t="s">
        <v>513</v>
      </c>
      <c r="I204" s="21">
        <v>1617</v>
      </c>
      <c r="J204" s="21"/>
      <c r="K204" s="22">
        <v>41214</v>
      </c>
      <c r="L204" s="22">
        <v>34540</v>
      </c>
      <c r="M204" s="22">
        <v>35841</v>
      </c>
      <c r="N204" s="23">
        <v>0.193225246091488</v>
      </c>
      <c r="O204" s="23">
        <v>0.14991211182723699</v>
      </c>
      <c r="P204" s="21">
        <v>21.56</v>
      </c>
      <c r="Q204" s="22">
        <v>549.52</v>
      </c>
    </row>
    <row r="205" spans="1:17" ht="15" customHeight="1" x14ac:dyDescent="0.2">
      <c r="A205" s="26" t="s">
        <v>195</v>
      </c>
      <c r="B205" s="27" t="s">
        <v>148</v>
      </c>
      <c r="C205" s="27" t="s">
        <v>180</v>
      </c>
      <c r="D205" s="29">
        <v>49</v>
      </c>
      <c r="E205" s="26" t="s">
        <v>512</v>
      </c>
      <c r="F205" s="28" t="s">
        <v>501</v>
      </c>
      <c r="G205" s="28" t="s">
        <v>502</v>
      </c>
      <c r="H205" s="28" t="s">
        <v>513</v>
      </c>
      <c r="I205" s="30">
        <v>870</v>
      </c>
      <c r="J205" s="30"/>
      <c r="K205" s="31">
        <v>22565</v>
      </c>
      <c r="L205" s="31">
        <v>13550</v>
      </c>
      <c r="M205" s="31">
        <v>13550</v>
      </c>
      <c r="N205" s="32">
        <v>0.66531365313653101</v>
      </c>
      <c r="O205" s="32">
        <v>0.66531365313653101</v>
      </c>
      <c r="P205" s="30">
        <v>17.755102040816301</v>
      </c>
      <c r="Q205" s="31">
        <v>460.51020408163299</v>
      </c>
    </row>
    <row r="206" spans="1:17" ht="15" customHeight="1" x14ac:dyDescent="0.2">
      <c r="A206" s="17" t="s">
        <v>201</v>
      </c>
      <c r="B206" s="18" t="s">
        <v>148</v>
      </c>
      <c r="C206" s="18" t="s">
        <v>180</v>
      </c>
      <c r="D206" s="20">
        <v>170</v>
      </c>
      <c r="E206" s="17" t="s">
        <v>512</v>
      </c>
      <c r="F206" s="19" t="s">
        <v>501</v>
      </c>
      <c r="G206" s="19" t="s">
        <v>502</v>
      </c>
      <c r="H206" s="19" t="s">
        <v>513</v>
      </c>
      <c r="I206" s="21">
        <v>1976.5</v>
      </c>
      <c r="J206" s="21"/>
      <c r="K206" s="22">
        <v>53390.5</v>
      </c>
      <c r="L206" s="22">
        <v>62140</v>
      </c>
      <c r="M206" s="22">
        <v>62140</v>
      </c>
      <c r="N206" s="23">
        <v>-0.14080302542645601</v>
      </c>
      <c r="O206" s="23">
        <v>-0.14080302542645601</v>
      </c>
      <c r="P206" s="21">
        <v>11.6264705882353</v>
      </c>
      <c r="Q206" s="22">
        <v>314.06176470588201</v>
      </c>
    </row>
    <row r="207" spans="1:17" ht="15" customHeight="1" x14ac:dyDescent="0.2">
      <c r="A207" s="26" t="s">
        <v>205</v>
      </c>
      <c r="B207" s="27" t="s">
        <v>148</v>
      </c>
      <c r="C207" s="27" t="s">
        <v>180</v>
      </c>
      <c r="D207" s="29">
        <v>296</v>
      </c>
      <c r="E207" s="26" t="s">
        <v>512</v>
      </c>
      <c r="F207" s="28" t="s">
        <v>501</v>
      </c>
      <c r="G207" s="28" t="s">
        <v>502</v>
      </c>
      <c r="H207" s="28" t="s">
        <v>513</v>
      </c>
      <c r="I207" s="30">
        <v>1862</v>
      </c>
      <c r="J207" s="30"/>
      <c r="K207" s="31">
        <v>46509</v>
      </c>
      <c r="L207" s="31">
        <v>108000</v>
      </c>
      <c r="M207" s="31">
        <v>109292</v>
      </c>
      <c r="N207" s="32">
        <v>-0.56936111111111098</v>
      </c>
      <c r="O207" s="32">
        <v>-0.57445192694799296</v>
      </c>
      <c r="P207" s="30">
        <v>6.2905405405405403</v>
      </c>
      <c r="Q207" s="31">
        <v>157.125</v>
      </c>
    </row>
    <row r="208" spans="1:17" ht="15" customHeight="1" x14ac:dyDescent="0.2">
      <c r="A208" s="17" t="s">
        <v>210</v>
      </c>
      <c r="B208" s="18" t="s">
        <v>148</v>
      </c>
      <c r="C208" s="18" t="s">
        <v>180</v>
      </c>
      <c r="D208" s="20">
        <v>83</v>
      </c>
      <c r="E208" s="17" t="s">
        <v>512</v>
      </c>
      <c r="F208" s="19" t="s">
        <v>501</v>
      </c>
      <c r="G208" s="19" t="s">
        <v>502</v>
      </c>
      <c r="H208" s="19" t="s">
        <v>513</v>
      </c>
      <c r="I208" s="21">
        <v>34</v>
      </c>
      <c r="J208" s="21"/>
      <c r="K208" s="22">
        <v>848</v>
      </c>
      <c r="L208" s="22"/>
      <c r="M208" s="22"/>
      <c r="N208" s="23"/>
      <c r="O208" s="23"/>
      <c r="P208" s="21">
        <v>0.40963855421686801</v>
      </c>
      <c r="Q208" s="22">
        <v>10.216867469879499</v>
      </c>
    </row>
    <row r="209" spans="1:17" ht="15" customHeight="1" x14ac:dyDescent="0.2">
      <c r="A209" s="26" t="s">
        <v>214</v>
      </c>
      <c r="B209" s="27" t="s">
        <v>148</v>
      </c>
      <c r="C209" s="27" t="s">
        <v>180</v>
      </c>
      <c r="D209" s="29">
        <v>144</v>
      </c>
      <c r="E209" s="26" t="s">
        <v>512</v>
      </c>
      <c r="F209" s="28" t="s">
        <v>501</v>
      </c>
      <c r="G209" s="28" t="s">
        <v>502</v>
      </c>
      <c r="H209" s="28" t="s">
        <v>513</v>
      </c>
      <c r="I209" s="30">
        <v>3139.5</v>
      </c>
      <c r="J209" s="30">
        <v>57.5</v>
      </c>
      <c r="K209" s="31">
        <v>83224.5</v>
      </c>
      <c r="L209" s="31">
        <v>110300</v>
      </c>
      <c r="M209" s="31">
        <v>123843</v>
      </c>
      <c r="N209" s="32">
        <v>-0.24547144152311901</v>
      </c>
      <c r="O209" s="32">
        <v>-0.327983818221458</v>
      </c>
      <c r="P209" s="30">
        <v>21.8020833333333</v>
      </c>
      <c r="Q209" s="31">
        <v>577.94791666666697</v>
      </c>
    </row>
    <row r="210" spans="1:17" ht="15" customHeight="1" x14ac:dyDescent="0.2">
      <c r="A210" s="17" t="s">
        <v>219</v>
      </c>
      <c r="B210" s="18" t="s">
        <v>148</v>
      </c>
      <c r="C210" s="18" t="s">
        <v>180</v>
      </c>
      <c r="D210" s="20">
        <v>398</v>
      </c>
      <c r="E210" s="17" t="s">
        <v>512</v>
      </c>
      <c r="F210" s="19" t="s">
        <v>501</v>
      </c>
      <c r="G210" s="19" t="s">
        <v>502</v>
      </c>
      <c r="H210" s="19" t="s">
        <v>513</v>
      </c>
      <c r="I210" s="21">
        <v>2482</v>
      </c>
      <c r="J210" s="21">
        <v>4</v>
      </c>
      <c r="K210" s="22">
        <v>62078.5</v>
      </c>
      <c r="L210" s="22">
        <v>38740</v>
      </c>
      <c r="M210" s="22">
        <v>38740</v>
      </c>
      <c r="N210" s="23">
        <v>0.60243933918430603</v>
      </c>
      <c r="O210" s="23">
        <v>0.60243933918430603</v>
      </c>
      <c r="P210" s="21">
        <v>6.2361809045226098</v>
      </c>
      <c r="Q210" s="22">
        <v>155.97613065326601</v>
      </c>
    </row>
    <row r="211" spans="1:17" ht="15" customHeight="1" x14ac:dyDescent="0.2">
      <c r="A211" s="26" t="s">
        <v>230</v>
      </c>
      <c r="B211" s="27" t="s">
        <v>148</v>
      </c>
      <c r="C211" s="27" t="s">
        <v>180</v>
      </c>
      <c r="D211" s="29">
        <v>139</v>
      </c>
      <c r="E211" s="26" t="s">
        <v>512</v>
      </c>
      <c r="F211" s="28" t="s">
        <v>501</v>
      </c>
      <c r="G211" s="28" t="s">
        <v>502</v>
      </c>
      <c r="H211" s="28" t="s">
        <v>513</v>
      </c>
      <c r="I211" s="30">
        <v>1826.5</v>
      </c>
      <c r="J211" s="30">
        <v>6</v>
      </c>
      <c r="K211" s="31">
        <v>49382</v>
      </c>
      <c r="L211" s="31">
        <v>62725</v>
      </c>
      <c r="M211" s="31">
        <v>53811</v>
      </c>
      <c r="N211" s="32">
        <v>-0.21272220007971299</v>
      </c>
      <c r="O211" s="32">
        <v>-8.2306591589080297E-2</v>
      </c>
      <c r="P211" s="30">
        <v>13.1402877697842</v>
      </c>
      <c r="Q211" s="31">
        <v>355.26618705035997</v>
      </c>
    </row>
    <row r="212" spans="1:17" ht="15" customHeight="1" x14ac:dyDescent="0.2">
      <c r="A212" s="17" t="s">
        <v>236</v>
      </c>
      <c r="B212" s="18" t="s">
        <v>148</v>
      </c>
      <c r="C212" s="18" t="s">
        <v>180</v>
      </c>
      <c r="D212" s="20">
        <v>128</v>
      </c>
      <c r="E212" s="17" t="s">
        <v>512</v>
      </c>
      <c r="F212" s="19" t="s">
        <v>501</v>
      </c>
      <c r="G212" s="19" t="s">
        <v>502</v>
      </c>
      <c r="H212" s="19" t="s">
        <v>513</v>
      </c>
      <c r="I212" s="21">
        <v>4024.5</v>
      </c>
      <c r="J212" s="21"/>
      <c r="K212" s="22">
        <v>99278.5</v>
      </c>
      <c r="L212" s="22">
        <v>53325</v>
      </c>
      <c r="M212" s="22">
        <v>58468</v>
      </c>
      <c r="N212" s="23">
        <v>0.86176277543366198</v>
      </c>
      <c r="O212" s="23">
        <v>0.69799719504686297</v>
      </c>
      <c r="P212" s="21">
        <v>31.44140625</v>
      </c>
      <c r="Q212" s="22">
        <v>775.61328125</v>
      </c>
    </row>
    <row r="213" spans="1:17" ht="15" customHeight="1" x14ac:dyDescent="0.2">
      <c r="A213" s="26" t="s">
        <v>239</v>
      </c>
      <c r="B213" s="27" t="s">
        <v>148</v>
      </c>
      <c r="C213" s="27" t="s">
        <v>180</v>
      </c>
      <c r="D213" s="29">
        <v>92</v>
      </c>
      <c r="E213" s="26" t="s">
        <v>512</v>
      </c>
      <c r="F213" s="28" t="s">
        <v>501</v>
      </c>
      <c r="G213" s="28" t="s">
        <v>502</v>
      </c>
      <c r="H213" s="28" t="s">
        <v>513</v>
      </c>
      <c r="I213" s="30">
        <v>521.75</v>
      </c>
      <c r="J213" s="30">
        <v>2.75</v>
      </c>
      <c r="K213" s="31">
        <v>15337</v>
      </c>
      <c r="L213" s="31">
        <v>16050</v>
      </c>
      <c r="M213" s="31">
        <v>16050</v>
      </c>
      <c r="N213" s="32">
        <v>-4.4423676012461097E-2</v>
      </c>
      <c r="O213" s="32">
        <v>-4.4423676012461097E-2</v>
      </c>
      <c r="P213" s="30">
        <v>5.6711956521739104</v>
      </c>
      <c r="Q213" s="31">
        <v>166.70652173913001</v>
      </c>
    </row>
    <row r="214" spans="1:17" ht="15" customHeight="1" x14ac:dyDescent="0.2">
      <c r="A214" s="17" t="s">
        <v>249</v>
      </c>
      <c r="B214" s="18" t="s">
        <v>148</v>
      </c>
      <c r="C214" s="18" t="s">
        <v>180</v>
      </c>
      <c r="D214" s="20">
        <v>122</v>
      </c>
      <c r="E214" s="17" t="s">
        <v>512</v>
      </c>
      <c r="F214" s="19" t="s">
        <v>501</v>
      </c>
      <c r="G214" s="19" t="s">
        <v>502</v>
      </c>
      <c r="H214" s="19" t="s">
        <v>513</v>
      </c>
      <c r="I214" s="21">
        <v>2025</v>
      </c>
      <c r="J214" s="21">
        <v>0.5</v>
      </c>
      <c r="K214" s="22">
        <v>57346.75</v>
      </c>
      <c r="L214" s="22">
        <v>55665</v>
      </c>
      <c r="M214" s="22">
        <v>57225</v>
      </c>
      <c r="N214" s="23">
        <v>3.02119823946825E-2</v>
      </c>
      <c r="O214" s="23">
        <v>2.1275666229794701E-3</v>
      </c>
      <c r="P214" s="21">
        <v>16.5983606557377</v>
      </c>
      <c r="Q214" s="22">
        <v>470.055327868853</v>
      </c>
    </row>
    <row r="215" spans="1:17" ht="15" customHeight="1" x14ac:dyDescent="0.2">
      <c r="A215" s="26" t="s">
        <v>254</v>
      </c>
      <c r="B215" s="27" t="s">
        <v>148</v>
      </c>
      <c r="C215" s="27" t="s">
        <v>180</v>
      </c>
      <c r="D215" s="29">
        <v>80</v>
      </c>
      <c r="E215" s="26" t="s">
        <v>512</v>
      </c>
      <c r="F215" s="28" t="s">
        <v>501</v>
      </c>
      <c r="G215" s="28" t="s">
        <v>502</v>
      </c>
      <c r="H215" s="28" t="s">
        <v>513</v>
      </c>
      <c r="I215" s="30">
        <v>1695</v>
      </c>
      <c r="J215" s="30">
        <v>8.5</v>
      </c>
      <c r="K215" s="31">
        <v>44370.5</v>
      </c>
      <c r="L215" s="31">
        <v>34205</v>
      </c>
      <c r="M215" s="31">
        <v>39485</v>
      </c>
      <c r="N215" s="32">
        <v>0.297193392778834</v>
      </c>
      <c r="O215" s="32">
        <v>0.123730530581233</v>
      </c>
      <c r="P215" s="30">
        <v>21.1875</v>
      </c>
      <c r="Q215" s="31">
        <v>554.63125000000002</v>
      </c>
    </row>
    <row r="216" spans="1:17" ht="15" customHeight="1" x14ac:dyDescent="0.2">
      <c r="A216" s="17" t="s">
        <v>263</v>
      </c>
      <c r="B216" s="18" t="s">
        <v>148</v>
      </c>
      <c r="C216" s="18" t="s">
        <v>180</v>
      </c>
      <c r="D216" s="20">
        <v>55</v>
      </c>
      <c r="E216" s="17" t="s">
        <v>512</v>
      </c>
      <c r="F216" s="19" t="s">
        <v>501</v>
      </c>
      <c r="G216" s="19" t="s">
        <v>502</v>
      </c>
      <c r="H216" s="19" t="s">
        <v>513</v>
      </c>
      <c r="I216" s="21">
        <v>274</v>
      </c>
      <c r="J216" s="21">
        <v>13</v>
      </c>
      <c r="K216" s="22">
        <v>8649.5</v>
      </c>
      <c r="L216" s="22"/>
      <c r="M216" s="22">
        <v>850</v>
      </c>
      <c r="N216" s="23"/>
      <c r="O216" s="23">
        <v>9.1758823529411799</v>
      </c>
      <c r="P216" s="21">
        <v>4.9818181818181797</v>
      </c>
      <c r="Q216" s="22">
        <v>157.26363636363601</v>
      </c>
    </row>
    <row r="217" spans="1:17" ht="15" customHeight="1" x14ac:dyDescent="0.2">
      <c r="A217" s="26" t="s">
        <v>266</v>
      </c>
      <c r="B217" s="27" t="s">
        <v>148</v>
      </c>
      <c r="C217" s="27" t="s">
        <v>267</v>
      </c>
      <c r="D217" s="29">
        <v>108</v>
      </c>
      <c r="E217" s="26" t="s">
        <v>512</v>
      </c>
      <c r="F217" s="28" t="s">
        <v>501</v>
      </c>
      <c r="G217" s="28" t="s">
        <v>502</v>
      </c>
      <c r="H217" s="28" t="s">
        <v>513</v>
      </c>
      <c r="I217" s="30">
        <v>3647.5</v>
      </c>
      <c r="J217" s="30">
        <v>147</v>
      </c>
      <c r="K217" s="31">
        <v>120082.91</v>
      </c>
      <c r="L217" s="31">
        <v>92270</v>
      </c>
      <c r="M217" s="31">
        <v>107770</v>
      </c>
      <c r="N217" s="32">
        <v>0.301429608756909</v>
      </c>
      <c r="O217" s="32">
        <v>0.114251739816275</v>
      </c>
      <c r="P217" s="30">
        <v>33.773148148148202</v>
      </c>
      <c r="Q217" s="31">
        <v>1111.8787962962999</v>
      </c>
    </row>
    <row r="218" spans="1:17" ht="15" customHeight="1" x14ac:dyDescent="0.2">
      <c r="A218" s="17" t="s">
        <v>272</v>
      </c>
      <c r="B218" s="18" t="s">
        <v>148</v>
      </c>
      <c r="C218" s="18" t="s">
        <v>267</v>
      </c>
      <c r="D218" s="20">
        <v>89</v>
      </c>
      <c r="E218" s="17" t="s">
        <v>512</v>
      </c>
      <c r="F218" s="19" t="s">
        <v>501</v>
      </c>
      <c r="G218" s="19" t="s">
        <v>502</v>
      </c>
      <c r="H218" s="19" t="s">
        <v>513</v>
      </c>
      <c r="I218" s="21">
        <v>863.5</v>
      </c>
      <c r="J218" s="21">
        <v>8</v>
      </c>
      <c r="K218" s="22">
        <v>25234.5</v>
      </c>
      <c r="L218" s="22">
        <v>51800</v>
      </c>
      <c r="M218" s="22">
        <v>53120</v>
      </c>
      <c r="N218" s="23">
        <v>-0.51284749034749</v>
      </c>
      <c r="O218" s="23">
        <v>-0.52495293674698795</v>
      </c>
      <c r="P218" s="21">
        <v>9.7022471910112404</v>
      </c>
      <c r="Q218" s="22">
        <v>283.53370786516899</v>
      </c>
    </row>
    <row r="219" spans="1:17" ht="15" customHeight="1" x14ac:dyDescent="0.2">
      <c r="A219" s="26" t="s">
        <v>275</v>
      </c>
      <c r="B219" s="27" t="s">
        <v>148</v>
      </c>
      <c r="C219" s="27" t="s">
        <v>267</v>
      </c>
      <c r="D219" s="29">
        <v>78</v>
      </c>
      <c r="E219" s="26" t="s">
        <v>512</v>
      </c>
      <c r="F219" s="28" t="s">
        <v>501</v>
      </c>
      <c r="G219" s="28" t="s">
        <v>502</v>
      </c>
      <c r="H219" s="28" t="s">
        <v>513</v>
      </c>
      <c r="I219" s="30">
        <v>4</v>
      </c>
      <c r="J219" s="30"/>
      <c r="K219" s="31">
        <v>200</v>
      </c>
      <c r="L219" s="31"/>
      <c r="M219" s="31"/>
      <c r="N219" s="32"/>
      <c r="O219" s="32"/>
      <c r="P219" s="30">
        <v>5.1282051282051301E-2</v>
      </c>
      <c r="Q219" s="31">
        <v>2.5641025641025599</v>
      </c>
    </row>
    <row r="220" spans="1:17" ht="15" customHeight="1" x14ac:dyDescent="0.2">
      <c r="A220" s="17" t="s">
        <v>277</v>
      </c>
      <c r="B220" s="18" t="s">
        <v>148</v>
      </c>
      <c r="C220" s="18" t="s">
        <v>267</v>
      </c>
      <c r="D220" s="20">
        <v>158</v>
      </c>
      <c r="E220" s="17" t="s">
        <v>512</v>
      </c>
      <c r="F220" s="19" t="s">
        <v>501</v>
      </c>
      <c r="G220" s="19" t="s">
        <v>502</v>
      </c>
      <c r="H220" s="19" t="s">
        <v>513</v>
      </c>
      <c r="I220" s="21">
        <v>937.5</v>
      </c>
      <c r="J220" s="21">
        <v>49.5</v>
      </c>
      <c r="K220" s="22">
        <v>24709.25</v>
      </c>
      <c r="L220" s="22">
        <v>31020</v>
      </c>
      <c r="M220" s="22">
        <v>42943</v>
      </c>
      <c r="N220" s="23">
        <v>-0.203441328175371</v>
      </c>
      <c r="O220" s="23">
        <v>-0.42460354423305302</v>
      </c>
      <c r="P220" s="21">
        <v>5.9335443037974702</v>
      </c>
      <c r="Q220" s="22">
        <v>156.38765822784799</v>
      </c>
    </row>
    <row r="221" spans="1:17" ht="15" customHeight="1" x14ac:dyDescent="0.2">
      <c r="A221" s="26" t="s">
        <v>280</v>
      </c>
      <c r="B221" s="27" t="s">
        <v>148</v>
      </c>
      <c r="C221" s="27" t="s">
        <v>267</v>
      </c>
      <c r="D221" s="29">
        <v>110</v>
      </c>
      <c r="E221" s="26" t="s">
        <v>512</v>
      </c>
      <c r="F221" s="28" t="s">
        <v>501</v>
      </c>
      <c r="G221" s="28" t="s">
        <v>502</v>
      </c>
      <c r="H221" s="28" t="s">
        <v>513</v>
      </c>
      <c r="I221" s="30">
        <v>749</v>
      </c>
      <c r="J221" s="30">
        <v>4</v>
      </c>
      <c r="K221" s="31">
        <v>21002</v>
      </c>
      <c r="L221" s="31">
        <v>28850</v>
      </c>
      <c r="M221" s="31">
        <v>31010</v>
      </c>
      <c r="N221" s="32">
        <v>-0.27202772963604899</v>
      </c>
      <c r="O221" s="32">
        <v>-0.32273460174137403</v>
      </c>
      <c r="P221" s="30">
        <v>6.8090909090909104</v>
      </c>
      <c r="Q221" s="31">
        <v>190.92727272727299</v>
      </c>
    </row>
    <row r="222" spans="1:17" ht="15" customHeight="1" x14ac:dyDescent="0.2">
      <c r="A222" s="17" t="s">
        <v>282</v>
      </c>
      <c r="B222" s="18" t="s">
        <v>148</v>
      </c>
      <c r="C222" s="18" t="s">
        <v>267</v>
      </c>
      <c r="D222" s="20">
        <v>70</v>
      </c>
      <c r="E222" s="17" t="s">
        <v>512</v>
      </c>
      <c r="F222" s="19" t="s">
        <v>501</v>
      </c>
      <c r="G222" s="19" t="s">
        <v>502</v>
      </c>
      <c r="H222" s="19" t="s">
        <v>513</v>
      </c>
      <c r="I222" s="21"/>
      <c r="J222" s="21"/>
      <c r="K222" s="22"/>
      <c r="L222" s="22"/>
      <c r="M222" s="22"/>
      <c r="N222" s="23"/>
      <c r="O222" s="23"/>
      <c r="P222" s="21"/>
      <c r="Q222" s="22"/>
    </row>
    <row r="223" spans="1:17" ht="15" customHeight="1" x14ac:dyDescent="0.2">
      <c r="A223" s="26" t="s">
        <v>285</v>
      </c>
      <c r="B223" s="27" t="s">
        <v>148</v>
      </c>
      <c r="C223" s="27" t="s">
        <v>267</v>
      </c>
      <c r="D223" s="29">
        <v>296</v>
      </c>
      <c r="E223" s="26" t="s">
        <v>512</v>
      </c>
      <c r="F223" s="28" t="s">
        <v>501</v>
      </c>
      <c r="G223" s="28" t="s">
        <v>502</v>
      </c>
      <c r="H223" s="28" t="s">
        <v>513</v>
      </c>
      <c r="I223" s="30">
        <v>645.5</v>
      </c>
      <c r="J223" s="30">
        <v>3</v>
      </c>
      <c r="K223" s="31">
        <v>17823</v>
      </c>
      <c r="L223" s="31">
        <v>109290</v>
      </c>
      <c r="M223" s="31">
        <v>109830</v>
      </c>
      <c r="N223" s="32">
        <v>-0.836920120779577</v>
      </c>
      <c r="O223" s="32">
        <v>-0.837721933897842</v>
      </c>
      <c r="P223" s="30">
        <v>2.1807432432432399</v>
      </c>
      <c r="Q223" s="31">
        <v>60.212837837837803</v>
      </c>
    </row>
    <row r="224" spans="1:17" ht="15" customHeight="1" x14ac:dyDescent="0.2">
      <c r="A224" s="17" t="s">
        <v>286</v>
      </c>
      <c r="B224" s="18" t="s">
        <v>148</v>
      </c>
      <c r="C224" s="18" t="s">
        <v>267</v>
      </c>
      <c r="D224" s="20">
        <v>50</v>
      </c>
      <c r="E224" s="17" t="s">
        <v>512</v>
      </c>
      <c r="F224" s="19" t="s">
        <v>501</v>
      </c>
      <c r="G224" s="19" t="s">
        <v>502</v>
      </c>
      <c r="H224" s="19" t="s">
        <v>513</v>
      </c>
      <c r="I224" s="21">
        <v>1010</v>
      </c>
      <c r="J224" s="21">
        <v>12</v>
      </c>
      <c r="K224" s="22">
        <v>28655</v>
      </c>
      <c r="L224" s="22">
        <v>30780</v>
      </c>
      <c r="M224" s="22">
        <v>32040</v>
      </c>
      <c r="N224" s="23">
        <v>-6.90383365821962E-2</v>
      </c>
      <c r="O224" s="23">
        <v>-0.10564918851435701</v>
      </c>
      <c r="P224" s="21">
        <v>20.2</v>
      </c>
      <c r="Q224" s="22">
        <v>573.1</v>
      </c>
    </row>
    <row r="225" spans="1:17" ht="15" customHeight="1" x14ac:dyDescent="0.2">
      <c r="A225" s="26" t="s">
        <v>287</v>
      </c>
      <c r="B225" s="27" t="s">
        <v>148</v>
      </c>
      <c r="C225" s="27" t="s">
        <v>267</v>
      </c>
      <c r="D225" s="29">
        <v>163</v>
      </c>
      <c r="E225" s="26" t="s">
        <v>512</v>
      </c>
      <c r="F225" s="28" t="s">
        <v>501</v>
      </c>
      <c r="G225" s="28" t="s">
        <v>502</v>
      </c>
      <c r="H225" s="28" t="s">
        <v>513</v>
      </c>
      <c r="I225" s="30">
        <v>2309.5</v>
      </c>
      <c r="J225" s="30">
        <v>109</v>
      </c>
      <c r="K225" s="31">
        <v>70146.5</v>
      </c>
      <c r="L225" s="31">
        <v>123400</v>
      </c>
      <c r="M225" s="31">
        <v>102722</v>
      </c>
      <c r="N225" s="32">
        <v>-0.43155186385737399</v>
      </c>
      <c r="O225" s="32">
        <v>-0.317122914273476</v>
      </c>
      <c r="P225" s="30">
        <v>14.168711656441699</v>
      </c>
      <c r="Q225" s="31">
        <v>430.346625766871</v>
      </c>
    </row>
    <row r="226" spans="1:17" ht="15" customHeight="1" x14ac:dyDescent="0.2">
      <c r="A226" s="17" t="s">
        <v>289</v>
      </c>
      <c r="B226" s="18" t="s">
        <v>148</v>
      </c>
      <c r="C226" s="18" t="s">
        <v>267</v>
      </c>
      <c r="D226" s="20">
        <v>107</v>
      </c>
      <c r="E226" s="17" t="s">
        <v>512</v>
      </c>
      <c r="F226" s="19" t="s">
        <v>501</v>
      </c>
      <c r="G226" s="19" t="s">
        <v>502</v>
      </c>
      <c r="H226" s="19" t="s">
        <v>513</v>
      </c>
      <c r="I226" s="21">
        <v>1168.5</v>
      </c>
      <c r="J226" s="21">
        <v>58</v>
      </c>
      <c r="K226" s="22">
        <v>33231</v>
      </c>
      <c r="L226" s="22">
        <v>110040</v>
      </c>
      <c r="M226" s="22">
        <v>113215</v>
      </c>
      <c r="N226" s="23">
        <v>-0.69800981461286804</v>
      </c>
      <c r="O226" s="23">
        <v>-0.70647882347745405</v>
      </c>
      <c r="P226" s="21">
        <v>10.9205607476636</v>
      </c>
      <c r="Q226" s="22">
        <v>310.57009345794398</v>
      </c>
    </row>
    <row r="227" spans="1:17" ht="15" customHeight="1" x14ac:dyDescent="0.2">
      <c r="A227" s="26" t="s">
        <v>292</v>
      </c>
      <c r="B227" s="27" t="s">
        <v>148</v>
      </c>
      <c r="C227" s="27" t="s">
        <v>267</v>
      </c>
      <c r="D227" s="29">
        <v>136</v>
      </c>
      <c r="E227" s="26" t="s">
        <v>512</v>
      </c>
      <c r="F227" s="28" t="s">
        <v>501</v>
      </c>
      <c r="G227" s="28" t="s">
        <v>502</v>
      </c>
      <c r="H227" s="28" t="s">
        <v>513</v>
      </c>
      <c r="I227" s="30">
        <v>1955</v>
      </c>
      <c r="J227" s="30">
        <v>15</v>
      </c>
      <c r="K227" s="31">
        <v>63370.5</v>
      </c>
      <c r="L227" s="31">
        <v>67077</v>
      </c>
      <c r="M227" s="31">
        <v>67077</v>
      </c>
      <c r="N227" s="32">
        <v>-5.5257390759873001E-2</v>
      </c>
      <c r="O227" s="32">
        <v>-5.5257390759873001E-2</v>
      </c>
      <c r="P227" s="30">
        <v>14.375</v>
      </c>
      <c r="Q227" s="31">
        <v>465.95955882352899</v>
      </c>
    </row>
    <row r="228" spans="1:17" ht="15" customHeight="1" x14ac:dyDescent="0.2">
      <c r="A228" s="17" t="s">
        <v>295</v>
      </c>
      <c r="B228" s="18" t="s">
        <v>148</v>
      </c>
      <c r="C228" s="18" t="s">
        <v>267</v>
      </c>
      <c r="D228" s="20">
        <v>68</v>
      </c>
      <c r="E228" s="17" t="s">
        <v>512</v>
      </c>
      <c r="F228" s="19" t="s">
        <v>501</v>
      </c>
      <c r="G228" s="19" t="s">
        <v>502</v>
      </c>
      <c r="H228" s="19" t="s">
        <v>513</v>
      </c>
      <c r="I228" s="21">
        <v>117</v>
      </c>
      <c r="J228" s="21">
        <v>6</v>
      </c>
      <c r="K228" s="22">
        <v>3588</v>
      </c>
      <c r="L228" s="22">
        <v>7113</v>
      </c>
      <c r="M228" s="22">
        <v>7113</v>
      </c>
      <c r="N228" s="23">
        <v>-0.495571488823281</v>
      </c>
      <c r="O228" s="23">
        <v>-0.495571488823281</v>
      </c>
      <c r="P228" s="21">
        <v>1.72058823529412</v>
      </c>
      <c r="Q228" s="22">
        <v>52.764705882352899</v>
      </c>
    </row>
    <row r="229" spans="1:17" ht="15" customHeight="1" x14ac:dyDescent="0.2">
      <c r="A229" s="26" t="s">
        <v>298</v>
      </c>
      <c r="B229" s="27" t="s">
        <v>148</v>
      </c>
      <c r="C229" s="27" t="s">
        <v>267</v>
      </c>
      <c r="D229" s="29">
        <v>98</v>
      </c>
      <c r="E229" s="26" t="s">
        <v>512</v>
      </c>
      <c r="F229" s="28" t="s">
        <v>501</v>
      </c>
      <c r="G229" s="28" t="s">
        <v>502</v>
      </c>
      <c r="H229" s="28" t="s">
        <v>513</v>
      </c>
      <c r="I229" s="30">
        <v>679</v>
      </c>
      <c r="J229" s="30"/>
      <c r="K229" s="31">
        <v>22091</v>
      </c>
      <c r="L229" s="31">
        <v>18890</v>
      </c>
      <c r="M229" s="31">
        <v>21890</v>
      </c>
      <c r="N229" s="32">
        <v>0.169454737956591</v>
      </c>
      <c r="O229" s="32">
        <v>9.1822750114207395E-3</v>
      </c>
      <c r="P229" s="30">
        <v>6.9285714285714297</v>
      </c>
      <c r="Q229" s="31">
        <v>225.41836734693899</v>
      </c>
    </row>
    <row r="230" spans="1:17" ht="15" customHeight="1" x14ac:dyDescent="0.2">
      <c r="A230" s="17" t="s">
        <v>300</v>
      </c>
      <c r="B230" s="18" t="s">
        <v>148</v>
      </c>
      <c r="C230" s="18" t="s">
        <v>267</v>
      </c>
      <c r="D230" s="20">
        <v>321</v>
      </c>
      <c r="E230" s="17" t="s">
        <v>512</v>
      </c>
      <c r="F230" s="19" t="s">
        <v>501</v>
      </c>
      <c r="G230" s="19" t="s">
        <v>502</v>
      </c>
      <c r="H230" s="19" t="s">
        <v>513</v>
      </c>
      <c r="I230" s="21">
        <v>4350</v>
      </c>
      <c r="J230" s="21"/>
      <c r="K230" s="22">
        <v>135710.5</v>
      </c>
      <c r="L230" s="22">
        <v>191150</v>
      </c>
      <c r="M230" s="22">
        <v>192900</v>
      </c>
      <c r="N230" s="23">
        <v>-0.29003138896154901</v>
      </c>
      <c r="O230" s="23">
        <v>-0.29647226542249899</v>
      </c>
      <c r="P230" s="21">
        <v>13.5514018691589</v>
      </c>
      <c r="Q230" s="22">
        <v>422.77414330218102</v>
      </c>
    </row>
    <row r="231" spans="1:17" ht="15" customHeight="1" x14ac:dyDescent="0.2">
      <c r="A231" s="26" t="s">
        <v>302</v>
      </c>
      <c r="B231" s="27" t="s">
        <v>148</v>
      </c>
      <c r="C231" s="27" t="s">
        <v>267</v>
      </c>
      <c r="D231" s="29">
        <v>111</v>
      </c>
      <c r="E231" s="26" t="s">
        <v>512</v>
      </c>
      <c r="F231" s="28" t="s">
        <v>501</v>
      </c>
      <c r="G231" s="28" t="s">
        <v>502</v>
      </c>
      <c r="H231" s="28" t="s">
        <v>513</v>
      </c>
      <c r="I231" s="30">
        <v>1063.5</v>
      </c>
      <c r="J231" s="30"/>
      <c r="K231" s="31">
        <v>32824</v>
      </c>
      <c r="L231" s="31">
        <v>31350</v>
      </c>
      <c r="M231" s="31">
        <v>36848</v>
      </c>
      <c r="N231" s="32">
        <v>4.7017543859649097E-2</v>
      </c>
      <c r="O231" s="32">
        <v>-0.109205384281372</v>
      </c>
      <c r="P231" s="30">
        <v>9.5810810810810807</v>
      </c>
      <c r="Q231" s="31">
        <v>295.71171171171198</v>
      </c>
    </row>
    <row r="232" spans="1:17" ht="15" customHeight="1" x14ac:dyDescent="0.2">
      <c r="A232" s="17" t="s">
        <v>304</v>
      </c>
      <c r="B232" s="18" t="s">
        <v>148</v>
      </c>
      <c r="C232" s="18" t="s">
        <v>267</v>
      </c>
      <c r="D232" s="20">
        <v>77</v>
      </c>
      <c r="E232" s="17" t="s">
        <v>512</v>
      </c>
      <c r="F232" s="19" t="s">
        <v>501</v>
      </c>
      <c r="G232" s="19" t="s">
        <v>502</v>
      </c>
      <c r="H232" s="19" t="s">
        <v>513</v>
      </c>
      <c r="I232" s="21">
        <v>41</v>
      </c>
      <c r="J232" s="21"/>
      <c r="K232" s="22">
        <v>1242</v>
      </c>
      <c r="L232" s="22">
        <v>12325</v>
      </c>
      <c r="M232" s="22">
        <v>12815</v>
      </c>
      <c r="N232" s="23">
        <v>-0.89922920892494895</v>
      </c>
      <c r="O232" s="23">
        <v>-0.90308232539992195</v>
      </c>
      <c r="P232" s="21">
        <v>0.53246753246753198</v>
      </c>
      <c r="Q232" s="22">
        <v>16.129870129870099</v>
      </c>
    </row>
    <row r="233" spans="1:17" ht="15" customHeight="1" x14ac:dyDescent="0.2">
      <c r="A233" s="26" t="s">
        <v>306</v>
      </c>
      <c r="B233" s="27" t="s">
        <v>148</v>
      </c>
      <c r="C233" s="27" t="s">
        <v>267</v>
      </c>
      <c r="D233" s="29">
        <v>365</v>
      </c>
      <c r="E233" s="26" t="s">
        <v>512</v>
      </c>
      <c r="F233" s="28" t="s">
        <v>501</v>
      </c>
      <c r="G233" s="28" t="s">
        <v>502</v>
      </c>
      <c r="H233" s="28" t="s">
        <v>513</v>
      </c>
      <c r="I233" s="30">
        <v>2919</v>
      </c>
      <c r="J233" s="30"/>
      <c r="K233" s="31">
        <v>96984.5</v>
      </c>
      <c r="L233" s="31">
        <v>94950</v>
      </c>
      <c r="M233" s="31">
        <v>96520</v>
      </c>
      <c r="N233" s="32">
        <v>2.1427066877303901E-2</v>
      </c>
      <c r="O233" s="32">
        <v>4.8124740986324101E-3</v>
      </c>
      <c r="P233" s="30">
        <v>7.9972602739726</v>
      </c>
      <c r="Q233" s="31">
        <v>265.71095890410999</v>
      </c>
    </row>
    <row r="234" spans="1:17" ht="15" customHeight="1" x14ac:dyDescent="0.2">
      <c r="A234" s="17" t="s">
        <v>309</v>
      </c>
      <c r="B234" s="18" t="s">
        <v>148</v>
      </c>
      <c r="C234" s="18" t="s">
        <v>267</v>
      </c>
      <c r="D234" s="20">
        <v>270</v>
      </c>
      <c r="E234" s="17" t="s">
        <v>512</v>
      </c>
      <c r="F234" s="19" t="s">
        <v>501</v>
      </c>
      <c r="G234" s="19" t="s">
        <v>502</v>
      </c>
      <c r="H234" s="19" t="s">
        <v>513</v>
      </c>
      <c r="I234" s="21">
        <v>3027</v>
      </c>
      <c r="J234" s="21">
        <v>1.5</v>
      </c>
      <c r="K234" s="22">
        <v>110765.25</v>
      </c>
      <c r="L234" s="22">
        <v>271830</v>
      </c>
      <c r="M234" s="22">
        <v>291758</v>
      </c>
      <c r="N234" s="23">
        <v>-0.59252014126476105</v>
      </c>
      <c r="O234" s="23">
        <v>-0.62035231253298995</v>
      </c>
      <c r="P234" s="21">
        <v>11.2111111111111</v>
      </c>
      <c r="Q234" s="22">
        <v>410.24166666666702</v>
      </c>
    </row>
    <row r="235" spans="1:17" ht="15" customHeight="1" x14ac:dyDescent="0.2">
      <c r="A235" s="35" t="s">
        <v>312</v>
      </c>
      <c r="B235" s="36" t="s">
        <v>313</v>
      </c>
      <c r="C235" s="36" t="s">
        <v>267</v>
      </c>
      <c r="D235" s="38">
        <v>170</v>
      </c>
      <c r="E235" s="35" t="s">
        <v>512</v>
      </c>
      <c r="F235" s="37" t="s">
        <v>501</v>
      </c>
      <c r="G235" s="37" t="s">
        <v>502</v>
      </c>
      <c r="H235" s="37" t="s">
        <v>513</v>
      </c>
      <c r="I235" s="39">
        <v>2639.5</v>
      </c>
      <c r="J235" s="39"/>
      <c r="K235" s="40">
        <v>112004.5</v>
      </c>
      <c r="L235" s="40">
        <v>116833</v>
      </c>
      <c r="M235" s="40">
        <v>117133</v>
      </c>
      <c r="N235" s="41">
        <v>-4.1328220622598097E-2</v>
      </c>
      <c r="O235" s="41">
        <v>-4.3783562275362203E-2</v>
      </c>
      <c r="P235" s="39">
        <v>15.5264705882353</v>
      </c>
      <c r="Q235" s="40">
        <v>658.85</v>
      </c>
    </row>
    <row r="236" spans="1:17" ht="15" customHeight="1" x14ac:dyDescent="0.2">
      <c r="A236" s="35" t="s">
        <v>316</v>
      </c>
      <c r="B236" s="36" t="s">
        <v>313</v>
      </c>
      <c r="C236" s="36" t="s">
        <v>267</v>
      </c>
      <c r="D236" s="38">
        <v>234</v>
      </c>
      <c r="E236" s="35" t="s">
        <v>512</v>
      </c>
      <c r="F236" s="37" t="s">
        <v>501</v>
      </c>
      <c r="G236" s="37" t="s">
        <v>502</v>
      </c>
      <c r="H236" s="37" t="s">
        <v>513</v>
      </c>
      <c r="I236" s="39">
        <v>3498.5</v>
      </c>
      <c r="J236" s="39"/>
      <c r="K236" s="40">
        <v>167884.75</v>
      </c>
      <c r="L236" s="40">
        <v>109938</v>
      </c>
      <c r="M236" s="40">
        <v>136288</v>
      </c>
      <c r="N236" s="41">
        <v>0.52708572104276996</v>
      </c>
      <c r="O236" s="41">
        <v>0.23183809286217399</v>
      </c>
      <c r="P236" s="39">
        <v>14.9508547008547</v>
      </c>
      <c r="Q236" s="40">
        <v>717.45619658119699</v>
      </c>
    </row>
    <row r="237" spans="1:17" ht="15" customHeight="1" x14ac:dyDescent="0.2">
      <c r="A237" s="35" t="s">
        <v>319</v>
      </c>
      <c r="B237" s="36" t="s">
        <v>313</v>
      </c>
      <c r="C237" s="36" t="s">
        <v>267</v>
      </c>
      <c r="D237" s="38">
        <v>24</v>
      </c>
      <c r="E237" s="35" t="s">
        <v>512</v>
      </c>
      <c r="F237" s="37" t="s">
        <v>501</v>
      </c>
      <c r="G237" s="37" t="s">
        <v>502</v>
      </c>
      <c r="H237" s="37" t="s">
        <v>513</v>
      </c>
      <c r="I237" s="39">
        <v>56</v>
      </c>
      <c r="J237" s="39"/>
      <c r="K237" s="40">
        <v>2268</v>
      </c>
      <c r="L237" s="40">
        <v>5000</v>
      </c>
      <c r="M237" s="40">
        <v>5000</v>
      </c>
      <c r="N237" s="41">
        <v>-0.5464</v>
      </c>
      <c r="O237" s="41">
        <v>-0.5464</v>
      </c>
      <c r="P237" s="39">
        <v>2.3333333333333299</v>
      </c>
      <c r="Q237" s="40">
        <v>94.5</v>
      </c>
    </row>
    <row r="238" spans="1:17" ht="15" customHeight="1" x14ac:dyDescent="0.2">
      <c r="A238" s="35" t="s">
        <v>327</v>
      </c>
      <c r="B238" s="36" t="s">
        <v>313</v>
      </c>
      <c r="C238" s="36" t="s">
        <v>267</v>
      </c>
      <c r="D238" s="38">
        <v>244</v>
      </c>
      <c r="E238" s="35" t="s">
        <v>512</v>
      </c>
      <c r="F238" s="37" t="s">
        <v>501</v>
      </c>
      <c r="G238" s="37" t="s">
        <v>502</v>
      </c>
      <c r="H238" s="37" t="s">
        <v>513</v>
      </c>
      <c r="I238" s="39">
        <v>3508.75</v>
      </c>
      <c r="J238" s="39"/>
      <c r="K238" s="40">
        <v>153773.75</v>
      </c>
      <c r="L238" s="40">
        <v>74554</v>
      </c>
      <c r="M238" s="40">
        <v>90954</v>
      </c>
      <c r="N238" s="41">
        <v>1.0625821552163499</v>
      </c>
      <c r="O238" s="41">
        <v>0.69067605602832205</v>
      </c>
      <c r="P238" s="39">
        <v>14.3801229508197</v>
      </c>
      <c r="Q238" s="40">
        <v>630.22028688524597</v>
      </c>
    </row>
    <row r="239" spans="1:17" ht="15" customHeight="1" x14ac:dyDescent="0.2">
      <c r="A239" s="35" t="s">
        <v>329</v>
      </c>
      <c r="B239" s="36" t="s">
        <v>313</v>
      </c>
      <c r="C239" s="36" t="s">
        <v>330</v>
      </c>
      <c r="D239" s="38">
        <v>186</v>
      </c>
      <c r="E239" s="35" t="s">
        <v>512</v>
      </c>
      <c r="F239" s="37" t="s">
        <v>501</v>
      </c>
      <c r="G239" s="37" t="s">
        <v>502</v>
      </c>
      <c r="H239" s="37" t="s">
        <v>513</v>
      </c>
      <c r="I239" s="39">
        <v>228.25</v>
      </c>
      <c r="J239" s="39"/>
      <c r="K239" s="40">
        <v>12122.25</v>
      </c>
      <c r="L239" s="40">
        <v>38250</v>
      </c>
      <c r="M239" s="40">
        <v>43250</v>
      </c>
      <c r="N239" s="41">
        <v>-0.68307843137254898</v>
      </c>
      <c r="O239" s="41">
        <v>-0.71971676300578002</v>
      </c>
      <c r="P239" s="39">
        <v>1.2271505376344101</v>
      </c>
      <c r="Q239" s="40">
        <v>65.173387096774206</v>
      </c>
    </row>
    <row r="240" spans="1:17" ht="15" customHeight="1" x14ac:dyDescent="0.2">
      <c r="A240" s="17" t="s">
        <v>147</v>
      </c>
      <c r="B240" s="18" t="s">
        <v>148</v>
      </c>
      <c r="C240" s="18" t="s">
        <v>149</v>
      </c>
      <c r="D240" s="20">
        <v>234</v>
      </c>
      <c r="E240" s="17" t="s">
        <v>514</v>
      </c>
      <c r="F240" s="19" t="s">
        <v>501</v>
      </c>
      <c r="G240" s="19" t="s">
        <v>502</v>
      </c>
      <c r="H240" s="19" t="s">
        <v>515</v>
      </c>
      <c r="I240" s="21"/>
      <c r="J240" s="21"/>
      <c r="K240" s="22">
        <v>9995.0499999999993</v>
      </c>
      <c r="L240" s="22">
        <v>12751</v>
      </c>
      <c r="M240" s="22">
        <v>12751</v>
      </c>
      <c r="N240" s="23">
        <v>-0.21613598933417</v>
      </c>
      <c r="O240" s="23">
        <v>-0.21613598933417</v>
      </c>
      <c r="P240" s="21"/>
      <c r="Q240" s="22">
        <v>42.713888888888903</v>
      </c>
    </row>
    <row r="241" spans="1:17" ht="15" customHeight="1" x14ac:dyDescent="0.2">
      <c r="A241" s="26" t="s">
        <v>152</v>
      </c>
      <c r="B241" s="27" t="s">
        <v>148</v>
      </c>
      <c r="C241" s="27" t="s">
        <v>149</v>
      </c>
      <c r="D241" s="29">
        <v>258</v>
      </c>
      <c r="E241" s="26" t="s">
        <v>514</v>
      </c>
      <c r="F241" s="28" t="s">
        <v>501</v>
      </c>
      <c r="G241" s="28" t="s">
        <v>502</v>
      </c>
      <c r="H241" s="28" t="s">
        <v>515</v>
      </c>
      <c r="I241" s="30"/>
      <c r="J241" s="30"/>
      <c r="K241" s="31">
        <v>29831.5</v>
      </c>
      <c r="L241" s="31">
        <v>42255</v>
      </c>
      <c r="M241" s="31">
        <v>42255</v>
      </c>
      <c r="N241" s="32">
        <v>-0.29401254289433199</v>
      </c>
      <c r="O241" s="32">
        <v>-0.29401254289433199</v>
      </c>
      <c r="P241" s="30"/>
      <c r="Q241" s="31">
        <v>115.625968992248</v>
      </c>
    </row>
    <row r="242" spans="1:17" ht="15" customHeight="1" x14ac:dyDescent="0.2">
      <c r="A242" s="17" t="s">
        <v>154</v>
      </c>
      <c r="B242" s="18" t="s">
        <v>148</v>
      </c>
      <c r="C242" s="18" t="s">
        <v>149</v>
      </c>
      <c r="D242" s="20">
        <v>56</v>
      </c>
      <c r="E242" s="17" t="s">
        <v>514</v>
      </c>
      <c r="F242" s="19" t="s">
        <v>501</v>
      </c>
      <c r="G242" s="19" t="s">
        <v>502</v>
      </c>
      <c r="H242" s="19" t="s">
        <v>515</v>
      </c>
      <c r="I242" s="21"/>
      <c r="J242" s="21"/>
      <c r="K242" s="22">
        <v>1485.5</v>
      </c>
      <c r="L242" s="22">
        <v>2000</v>
      </c>
      <c r="M242" s="22">
        <v>2000</v>
      </c>
      <c r="N242" s="23">
        <v>-0.25724999999999998</v>
      </c>
      <c r="O242" s="23">
        <v>-0.25724999999999998</v>
      </c>
      <c r="P242" s="21"/>
      <c r="Q242" s="22">
        <v>26.526785714285701</v>
      </c>
    </row>
    <row r="243" spans="1:17" ht="15" customHeight="1" x14ac:dyDescent="0.2">
      <c r="A243" s="26" t="s">
        <v>157</v>
      </c>
      <c r="B243" s="27" t="s">
        <v>148</v>
      </c>
      <c r="C243" s="27" t="s">
        <v>149</v>
      </c>
      <c r="D243" s="29">
        <v>149</v>
      </c>
      <c r="E243" s="26" t="s">
        <v>514</v>
      </c>
      <c r="F243" s="28" t="s">
        <v>501</v>
      </c>
      <c r="G243" s="28" t="s">
        <v>502</v>
      </c>
      <c r="H243" s="28" t="s">
        <v>515</v>
      </c>
      <c r="I243" s="30"/>
      <c r="J243" s="30"/>
      <c r="K243" s="31">
        <v>2982.25</v>
      </c>
      <c r="L243" s="31">
        <v>6650</v>
      </c>
      <c r="M243" s="31">
        <v>6650</v>
      </c>
      <c r="N243" s="32">
        <v>-0.551541353383459</v>
      </c>
      <c r="O243" s="32">
        <v>-0.551541353383459</v>
      </c>
      <c r="P243" s="30"/>
      <c r="Q243" s="31">
        <v>20.0151006711409</v>
      </c>
    </row>
    <row r="244" spans="1:17" ht="15" customHeight="1" x14ac:dyDescent="0.2">
      <c r="A244" s="17" t="s">
        <v>159</v>
      </c>
      <c r="B244" s="18" t="s">
        <v>148</v>
      </c>
      <c r="C244" s="18" t="s">
        <v>149</v>
      </c>
      <c r="D244" s="20">
        <v>117</v>
      </c>
      <c r="E244" s="17" t="s">
        <v>514</v>
      </c>
      <c r="F244" s="19" t="s">
        <v>501</v>
      </c>
      <c r="G244" s="19" t="s">
        <v>502</v>
      </c>
      <c r="H244" s="19" t="s">
        <v>515</v>
      </c>
      <c r="I244" s="21"/>
      <c r="J244" s="21"/>
      <c r="K244" s="22">
        <v>2062</v>
      </c>
      <c r="L244" s="22">
        <v>3640</v>
      </c>
      <c r="M244" s="22">
        <v>3640</v>
      </c>
      <c r="N244" s="23">
        <v>-0.43351648351648397</v>
      </c>
      <c r="O244" s="23">
        <v>-0.43351648351648397</v>
      </c>
      <c r="P244" s="21"/>
      <c r="Q244" s="22">
        <v>17.6239316239316</v>
      </c>
    </row>
    <row r="245" spans="1:17" ht="15" customHeight="1" x14ac:dyDescent="0.2">
      <c r="A245" s="26" t="s">
        <v>161</v>
      </c>
      <c r="B245" s="27" t="s">
        <v>148</v>
      </c>
      <c r="C245" s="27" t="s">
        <v>149</v>
      </c>
      <c r="D245" s="29">
        <v>162</v>
      </c>
      <c r="E245" s="26" t="s">
        <v>514</v>
      </c>
      <c r="F245" s="28" t="s">
        <v>501</v>
      </c>
      <c r="G245" s="28" t="s">
        <v>502</v>
      </c>
      <c r="H245" s="28" t="s">
        <v>515</v>
      </c>
      <c r="I245" s="30">
        <v>238</v>
      </c>
      <c r="J245" s="30"/>
      <c r="K245" s="31">
        <v>5424</v>
      </c>
      <c r="L245" s="31">
        <v>11700</v>
      </c>
      <c r="M245" s="31">
        <v>11700</v>
      </c>
      <c r="N245" s="32">
        <v>-0.53641025641025597</v>
      </c>
      <c r="O245" s="32">
        <v>-0.53641025641025597</v>
      </c>
      <c r="P245" s="30">
        <v>1.4691358024691401</v>
      </c>
      <c r="Q245" s="31">
        <v>33.481481481481502</v>
      </c>
    </row>
    <row r="246" spans="1:17" ht="15" customHeight="1" x14ac:dyDescent="0.2">
      <c r="A246" s="17" t="s">
        <v>165</v>
      </c>
      <c r="B246" s="18" t="s">
        <v>148</v>
      </c>
      <c r="C246" s="18" t="s">
        <v>149</v>
      </c>
      <c r="D246" s="20">
        <v>197</v>
      </c>
      <c r="E246" s="17" t="s">
        <v>514</v>
      </c>
      <c r="F246" s="19" t="s">
        <v>501</v>
      </c>
      <c r="G246" s="19" t="s">
        <v>502</v>
      </c>
      <c r="H246" s="19" t="s">
        <v>515</v>
      </c>
      <c r="I246" s="21"/>
      <c r="J246" s="21"/>
      <c r="K246" s="22">
        <v>10087.5</v>
      </c>
      <c r="L246" s="22">
        <v>12300</v>
      </c>
      <c r="M246" s="22">
        <v>12860</v>
      </c>
      <c r="N246" s="23">
        <v>-0.17987804878048799</v>
      </c>
      <c r="O246" s="23">
        <v>-0.21559097978227099</v>
      </c>
      <c r="P246" s="21"/>
      <c r="Q246" s="22">
        <v>51.205583756345199</v>
      </c>
    </row>
    <row r="247" spans="1:17" ht="15" customHeight="1" x14ac:dyDescent="0.2">
      <c r="A247" s="26" t="s">
        <v>167</v>
      </c>
      <c r="B247" s="27" t="s">
        <v>148</v>
      </c>
      <c r="C247" s="27" t="s">
        <v>149</v>
      </c>
      <c r="D247" s="29">
        <v>119</v>
      </c>
      <c r="E247" s="26" t="s">
        <v>514</v>
      </c>
      <c r="F247" s="28" t="s">
        <v>501</v>
      </c>
      <c r="G247" s="28" t="s">
        <v>502</v>
      </c>
      <c r="H247" s="28" t="s">
        <v>515</v>
      </c>
      <c r="I247" s="30"/>
      <c r="J247" s="30"/>
      <c r="K247" s="31">
        <v>4602</v>
      </c>
      <c r="L247" s="31">
        <v>5130</v>
      </c>
      <c r="M247" s="31">
        <v>5130</v>
      </c>
      <c r="N247" s="32">
        <v>-0.102923976608187</v>
      </c>
      <c r="O247" s="32">
        <v>-0.102923976608187</v>
      </c>
      <c r="P247" s="30"/>
      <c r="Q247" s="31">
        <v>38.672268907563002</v>
      </c>
    </row>
    <row r="248" spans="1:17" ht="15" customHeight="1" x14ac:dyDescent="0.2">
      <c r="A248" s="17" t="s">
        <v>169</v>
      </c>
      <c r="B248" s="18" t="s">
        <v>148</v>
      </c>
      <c r="C248" s="18" t="s">
        <v>149</v>
      </c>
      <c r="D248" s="20">
        <v>211</v>
      </c>
      <c r="E248" s="17" t="s">
        <v>514</v>
      </c>
      <c r="F248" s="19" t="s">
        <v>501</v>
      </c>
      <c r="G248" s="19" t="s">
        <v>502</v>
      </c>
      <c r="H248" s="19" t="s">
        <v>515</v>
      </c>
      <c r="I248" s="21"/>
      <c r="J248" s="21"/>
      <c r="K248" s="22">
        <v>5609.75</v>
      </c>
      <c r="L248" s="22">
        <v>10400</v>
      </c>
      <c r="M248" s="22">
        <v>10400</v>
      </c>
      <c r="N248" s="23">
        <v>-0.46060096153846197</v>
      </c>
      <c r="O248" s="23">
        <v>-0.46060096153846197</v>
      </c>
      <c r="P248" s="21"/>
      <c r="Q248" s="22">
        <v>26.586492890995299</v>
      </c>
    </row>
    <row r="249" spans="1:17" ht="15" customHeight="1" x14ac:dyDescent="0.2">
      <c r="A249" s="26" t="s">
        <v>171</v>
      </c>
      <c r="B249" s="27" t="s">
        <v>148</v>
      </c>
      <c r="C249" s="27" t="s">
        <v>149</v>
      </c>
      <c r="D249" s="29">
        <v>211</v>
      </c>
      <c r="E249" s="26" t="s">
        <v>514</v>
      </c>
      <c r="F249" s="28" t="s">
        <v>501</v>
      </c>
      <c r="G249" s="28" t="s">
        <v>502</v>
      </c>
      <c r="H249" s="28" t="s">
        <v>515</v>
      </c>
      <c r="I249" s="30"/>
      <c r="J249" s="30"/>
      <c r="K249" s="31">
        <v>47229</v>
      </c>
      <c r="L249" s="31">
        <v>44800</v>
      </c>
      <c r="M249" s="31">
        <v>48150</v>
      </c>
      <c r="N249" s="32">
        <v>5.4218750000000003E-2</v>
      </c>
      <c r="O249" s="32">
        <v>-1.9127725856697801E-2</v>
      </c>
      <c r="P249" s="30"/>
      <c r="Q249" s="31">
        <v>223.83412322274901</v>
      </c>
    </row>
    <row r="250" spans="1:17" ht="15" customHeight="1" x14ac:dyDescent="0.2">
      <c r="A250" s="17" t="s">
        <v>173</v>
      </c>
      <c r="B250" s="18" t="s">
        <v>148</v>
      </c>
      <c r="C250" s="18" t="s">
        <v>149</v>
      </c>
      <c r="D250" s="20">
        <v>256</v>
      </c>
      <c r="E250" s="17" t="s">
        <v>514</v>
      </c>
      <c r="F250" s="19" t="s">
        <v>501</v>
      </c>
      <c r="G250" s="19" t="s">
        <v>502</v>
      </c>
      <c r="H250" s="19" t="s">
        <v>515</v>
      </c>
      <c r="I250" s="21"/>
      <c r="J250" s="21"/>
      <c r="K250" s="22">
        <v>16515.5</v>
      </c>
      <c r="L250" s="22">
        <v>16000</v>
      </c>
      <c r="M250" s="22">
        <v>16100</v>
      </c>
      <c r="N250" s="23">
        <v>3.2218749999999997E-2</v>
      </c>
      <c r="O250" s="23">
        <v>2.5807453416149099E-2</v>
      </c>
      <c r="P250" s="21"/>
      <c r="Q250" s="22">
        <v>64.513671875</v>
      </c>
    </row>
    <row r="251" spans="1:17" ht="15" customHeight="1" x14ac:dyDescent="0.2">
      <c r="A251" s="26" t="s">
        <v>175</v>
      </c>
      <c r="B251" s="27" t="s">
        <v>148</v>
      </c>
      <c r="C251" s="27" t="s">
        <v>149</v>
      </c>
      <c r="D251" s="29">
        <v>136</v>
      </c>
      <c r="E251" s="26" t="s">
        <v>514</v>
      </c>
      <c r="F251" s="28" t="s">
        <v>501</v>
      </c>
      <c r="G251" s="28" t="s">
        <v>502</v>
      </c>
      <c r="H251" s="28" t="s">
        <v>515</v>
      </c>
      <c r="I251" s="30"/>
      <c r="J251" s="30"/>
      <c r="K251" s="31">
        <v>9421.18</v>
      </c>
      <c r="L251" s="31">
        <v>8500</v>
      </c>
      <c r="M251" s="31">
        <v>8500</v>
      </c>
      <c r="N251" s="32">
        <v>0.108374117647059</v>
      </c>
      <c r="O251" s="32">
        <v>0.108374117647059</v>
      </c>
      <c r="P251" s="30"/>
      <c r="Q251" s="31">
        <v>69.273382352941198</v>
      </c>
    </row>
    <row r="252" spans="1:17" ht="15" customHeight="1" x14ac:dyDescent="0.2">
      <c r="A252" s="17" t="s">
        <v>179</v>
      </c>
      <c r="B252" s="18" t="s">
        <v>148</v>
      </c>
      <c r="C252" s="18" t="s">
        <v>180</v>
      </c>
      <c r="D252" s="20">
        <v>209</v>
      </c>
      <c r="E252" s="17" t="s">
        <v>514</v>
      </c>
      <c r="F252" s="19" t="s">
        <v>501</v>
      </c>
      <c r="G252" s="19" t="s">
        <v>502</v>
      </c>
      <c r="H252" s="19" t="s">
        <v>515</v>
      </c>
      <c r="I252" s="21">
        <v>825</v>
      </c>
      <c r="J252" s="21">
        <v>14</v>
      </c>
      <c r="K252" s="22">
        <v>16227.22</v>
      </c>
      <c r="L252" s="22">
        <v>15000</v>
      </c>
      <c r="M252" s="22">
        <v>15000</v>
      </c>
      <c r="N252" s="23">
        <v>8.1814666666666605E-2</v>
      </c>
      <c r="O252" s="23">
        <v>8.1814666666666605E-2</v>
      </c>
      <c r="P252" s="21">
        <v>3.9473684210526301</v>
      </c>
      <c r="Q252" s="22">
        <v>77.642200956937799</v>
      </c>
    </row>
    <row r="253" spans="1:17" ht="15" customHeight="1" x14ac:dyDescent="0.2">
      <c r="A253" s="26" t="s">
        <v>185</v>
      </c>
      <c r="B253" s="27" t="s">
        <v>148</v>
      </c>
      <c r="C253" s="27" t="s">
        <v>180</v>
      </c>
      <c r="D253" s="29">
        <v>117</v>
      </c>
      <c r="E253" s="26" t="s">
        <v>514</v>
      </c>
      <c r="F253" s="28" t="s">
        <v>501</v>
      </c>
      <c r="G253" s="28" t="s">
        <v>502</v>
      </c>
      <c r="H253" s="28" t="s">
        <v>515</v>
      </c>
      <c r="I253" s="30">
        <v>231</v>
      </c>
      <c r="J253" s="30"/>
      <c r="K253" s="31">
        <v>5878.5</v>
      </c>
      <c r="L253" s="31">
        <v>9400</v>
      </c>
      <c r="M253" s="31">
        <v>9400</v>
      </c>
      <c r="N253" s="32">
        <v>-0.37462765957446797</v>
      </c>
      <c r="O253" s="32">
        <v>-0.37462765957446797</v>
      </c>
      <c r="P253" s="30">
        <v>1.97435897435897</v>
      </c>
      <c r="Q253" s="31">
        <v>50.243589743589702</v>
      </c>
    </row>
    <row r="254" spans="1:17" ht="15" customHeight="1" x14ac:dyDescent="0.2">
      <c r="A254" s="17" t="s">
        <v>190</v>
      </c>
      <c r="B254" s="18" t="s">
        <v>148</v>
      </c>
      <c r="C254" s="18" t="s">
        <v>180</v>
      </c>
      <c r="D254" s="20">
        <v>75</v>
      </c>
      <c r="E254" s="17" t="s">
        <v>514</v>
      </c>
      <c r="F254" s="19" t="s">
        <v>501</v>
      </c>
      <c r="G254" s="19" t="s">
        <v>502</v>
      </c>
      <c r="H254" s="19" t="s">
        <v>515</v>
      </c>
      <c r="I254" s="21">
        <v>278.5</v>
      </c>
      <c r="J254" s="21"/>
      <c r="K254" s="22">
        <v>8821</v>
      </c>
      <c r="L254" s="22">
        <v>6950</v>
      </c>
      <c r="M254" s="22">
        <v>6950</v>
      </c>
      <c r="N254" s="23">
        <v>0.269208633093525</v>
      </c>
      <c r="O254" s="23">
        <v>0.269208633093525</v>
      </c>
      <c r="P254" s="21">
        <v>3.7133333333333298</v>
      </c>
      <c r="Q254" s="22">
        <v>117.613333333333</v>
      </c>
    </row>
    <row r="255" spans="1:17" ht="15" customHeight="1" x14ac:dyDescent="0.2">
      <c r="A255" s="26" t="s">
        <v>195</v>
      </c>
      <c r="B255" s="27" t="s">
        <v>148</v>
      </c>
      <c r="C255" s="27" t="s">
        <v>180</v>
      </c>
      <c r="D255" s="29">
        <v>49</v>
      </c>
      <c r="E255" s="26" t="s">
        <v>514</v>
      </c>
      <c r="F255" s="28" t="s">
        <v>501</v>
      </c>
      <c r="G255" s="28" t="s">
        <v>502</v>
      </c>
      <c r="H255" s="28" t="s">
        <v>515</v>
      </c>
      <c r="I255" s="30">
        <v>327</v>
      </c>
      <c r="J255" s="30"/>
      <c r="K255" s="31">
        <v>9448.5</v>
      </c>
      <c r="L255" s="31">
        <v>4375</v>
      </c>
      <c r="M255" s="31">
        <v>4375</v>
      </c>
      <c r="N255" s="32">
        <v>1.1596571428571401</v>
      </c>
      <c r="O255" s="32">
        <v>1.1596571428571401</v>
      </c>
      <c r="P255" s="30">
        <v>6.6734693877550999</v>
      </c>
      <c r="Q255" s="31">
        <v>192.82653061224499</v>
      </c>
    </row>
    <row r="256" spans="1:17" ht="15" customHeight="1" x14ac:dyDescent="0.2">
      <c r="A256" s="17" t="s">
        <v>201</v>
      </c>
      <c r="B256" s="18" t="s">
        <v>148</v>
      </c>
      <c r="C256" s="18" t="s">
        <v>180</v>
      </c>
      <c r="D256" s="20">
        <v>170</v>
      </c>
      <c r="E256" s="17" t="s">
        <v>514</v>
      </c>
      <c r="F256" s="19" t="s">
        <v>501</v>
      </c>
      <c r="G256" s="19" t="s">
        <v>502</v>
      </c>
      <c r="H256" s="19" t="s">
        <v>515</v>
      </c>
      <c r="I256" s="21">
        <v>573</v>
      </c>
      <c r="J256" s="21"/>
      <c r="K256" s="22">
        <v>16373</v>
      </c>
      <c r="L256" s="22">
        <v>15450</v>
      </c>
      <c r="M256" s="22">
        <v>15450</v>
      </c>
      <c r="N256" s="23">
        <v>5.9741100323624598E-2</v>
      </c>
      <c r="O256" s="23">
        <v>5.9741100323624598E-2</v>
      </c>
      <c r="P256" s="21">
        <v>3.3705882352941199</v>
      </c>
      <c r="Q256" s="22">
        <v>96.311764705882396</v>
      </c>
    </row>
    <row r="257" spans="1:17" ht="15" customHeight="1" x14ac:dyDescent="0.2">
      <c r="A257" s="26" t="s">
        <v>205</v>
      </c>
      <c r="B257" s="27" t="s">
        <v>148</v>
      </c>
      <c r="C257" s="27" t="s">
        <v>180</v>
      </c>
      <c r="D257" s="29">
        <v>296</v>
      </c>
      <c r="E257" s="26" t="s">
        <v>514</v>
      </c>
      <c r="F257" s="28" t="s">
        <v>501</v>
      </c>
      <c r="G257" s="28" t="s">
        <v>502</v>
      </c>
      <c r="H257" s="28" t="s">
        <v>515</v>
      </c>
      <c r="I257" s="30">
        <v>469</v>
      </c>
      <c r="J257" s="30"/>
      <c r="K257" s="31">
        <v>12283</v>
      </c>
      <c r="L257" s="31">
        <v>11700</v>
      </c>
      <c r="M257" s="31">
        <v>11775</v>
      </c>
      <c r="N257" s="32">
        <v>4.9829059829059802E-2</v>
      </c>
      <c r="O257" s="32">
        <v>4.3142250530785603E-2</v>
      </c>
      <c r="P257" s="30">
        <v>1.5844594594594601</v>
      </c>
      <c r="Q257" s="31">
        <v>41.4966216216216</v>
      </c>
    </row>
    <row r="258" spans="1:17" ht="15" customHeight="1" x14ac:dyDescent="0.2">
      <c r="A258" s="17" t="s">
        <v>210</v>
      </c>
      <c r="B258" s="18" t="s">
        <v>148</v>
      </c>
      <c r="C258" s="18" t="s">
        <v>180</v>
      </c>
      <c r="D258" s="20">
        <v>83</v>
      </c>
      <c r="E258" s="17" t="s">
        <v>514</v>
      </c>
      <c r="F258" s="19" t="s">
        <v>501</v>
      </c>
      <c r="G258" s="19" t="s">
        <v>502</v>
      </c>
      <c r="H258" s="19" t="s">
        <v>515</v>
      </c>
      <c r="I258" s="21">
        <v>188</v>
      </c>
      <c r="J258" s="21"/>
      <c r="K258" s="22">
        <v>5435</v>
      </c>
      <c r="L258" s="22">
        <v>6800</v>
      </c>
      <c r="M258" s="22">
        <v>6800</v>
      </c>
      <c r="N258" s="23">
        <v>-0.20073529411764701</v>
      </c>
      <c r="O258" s="23">
        <v>-0.20073529411764701</v>
      </c>
      <c r="P258" s="21">
        <v>2.26506024096386</v>
      </c>
      <c r="Q258" s="22">
        <v>65.481927710843394</v>
      </c>
    </row>
    <row r="259" spans="1:17" ht="15" customHeight="1" x14ac:dyDescent="0.2">
      <c r="A259" s="26" t="s">
        <v>214</v>
      </c>
      <c r="B259" s="27" t="s">
        <v>148</v>
      </c>
      <c r="C259" s="27" t="s">
        <v>180</v>
      </c>
      <c r="D259" s="29">
        <v>144</v>
      </c>
      <c r="E259" s="26" t="s">
        <v>514</v>
      </c>
      <c r="F259" s="28" t="s">
        <v>501</v>
      </c>
      <c r="G259" s="28" t="s">
        <v>502</v>
      </c>
      <c r="H259" s="28" t="s">
        <v>515</v>
      </c>
      <c r="I259" s="30">
        <v>373.75</v>
      </c>
      <c r="J259" s="30">
        <v>3.75</v>
      </c>
      <c r="K259" s="31">
        <v>10888</v>
      </c>
      <c r="L259" s="31">
        <v>13900</v>
      </c>
      <c r="M259" s="31">
        <v>20455</v>
      </c>
      <c r="N259" s="32">
        <v>-0.216690647482014</v>
      </c>
      <c r="O259" s="32">
        <v>-0.46770960645318999</v>
      </c>
      <c r="P259" s="30">
        <v>2.5954861111111098</v>
      </c>
      <c r="Q259" s="31">
        <v>75.6111111111111</v>
      </c>
    </row>
    <row r="260" spans="1:17" ht="15" customHeight="1" x14ac:dyDescent="0.2">
      <c r="A260" s="17" t="s">
        <v>219</v>
      </c>
      <c r="B260" s="18" t="s">
        <v>148</v>
      </c>
      <c r="C260" s="18" t="s">
        <v>180</v>
      </c>
      <c r="D260" s="20">
        <v>398</v>
      </c>
      <c r="E260" s="17" t="s">
        <v>514</v>
      </c>
      <c r="F260" s="19" t="s">
        <v>501</v>
      </c>
      <c r="G260" s="19" t="s">
        <v>502</v>
      </c>
      <c r="H260" s="19" t="s">
        <v>515</v>
      </c>
      <c r="I260" s="21">
        <v>380</v>
      </c>
      <c r="J260" s="21"/>
      <c r="K260" s="22">
        <v>11258.5</v>
      </c>
      <c r="L260" s="22">
        <v>9310</v>
      </c>
      <c r="M260" s="22">
        <v>9310</v>
      </c>
      <c r="N260" s="23">
        <v>0.20929108485499501</v>
      </c>
      <c r="O260" s="23">
        <v>0.20929108485499501</v>
      </c>
      <c r="P260" s="21">
        <v>0.95477386934673403</v>
      </c>
      <c r="Q260" s="22">
        <v>28.287688442211099</v>
      </c>
    </row>
    <row r="261" spans="1:17" ht="15" customHeight="1" x14ac:dyDescent="0.2">
      <c r="A261" s="26" t="s">
        <v>230</v>
      </c>
      <c r="B261" s="27" t="s">
        <v>148</v>
      </c>
      <c r="C261" s="27" t="s">
        <v>180</v>
      </c>
      <c r="D261" s="29">
        <v>139</v>
      </c>
      <c r="E261" s="26" t="s">
        <v>514</v>
      </c>
      <c r="F261" s="28" t="s">
        <v>501</v>
      </c>
      <c r="G261" s="28" t="s">
        <v>502</v>
      </c>
      <c r="H261" s="28" t="s">
        <v>515</v>
      </c>
      <c r="I261" s="30">
        <v>414</v>
      </c>
      <c r="J261" s="30"/>
      <c r="K261" s="31">
        <v>12268.5</v>
      </c>
      <c r="L261" s="31">
        <v>6450</v>
      </c>
      <c r="M261" s="31">
        <v>6533</v>
      </c>
      <c r="N261" s="32">
        <v>0.90209302325581397</v>
      </c>
      <c r="O261" s="32">
        <v>0.87792744527781996</v>
      </c>
      <c r="P261" s="30">
        <v>2.97841726618705</v>
      </c>
      <c r="Q261" s="31">
        <v>88.262589928057594</v>
      </c>
    </row>
    <row r="262" spans="1:17" ht="15" customHeight="1" x14ac:dyDescent="0.2">
      <c r="A262" s="17" t="s">
        <v>236</v>
      </c>
      <c r="B262" s="18" t="s">
        <v>148</v>
      </c>
      <c r="C262" s="18" t="s">
        <v>180</v>
      </c>
      <c r="D262" s="20">
        <v>128</v>
      </c>
      <c r="E262" s="17" t="s">
        <v>514</v>
      </c>
      <c r="F262" s="19" t="s">
        <v>501</v>
      </c>
      <c r="G262" s="19" t="s">
        <v>502</v>
      </c>
      <c r="H262" s="19" t="s">
        <v>515</v>
      </c>
      <c r="I262" s="21">
        <v>439</v>
      </c>
      <c r="J262" s="21"/>
      <c r="K262" s="22">
        <v>13910</v>
      </c>
      <c r="L262" s="22">
        <v>6250</v>
      </c>
      <c r="M262" s="22">
        <v>7465</v>
      </c>
      <c r="N262" s="23">
        <v>1.2256</v>
      </c>
      <c r="O262" s="23">
        <v>0.86336235766912295</v>
      </c>
      <c r="P262" s="21">
        <v>3.4296875</v>
      </c>
      <c r="Q262" s="22">
        <v>108.671875</v>
      </c>
    </row>
    <row r="263" spans="1:17" ht="15" customHeight="1" x14ac:dyDescent="0.2">
      <c r="A263" s="26" t="s">
        <v>239</v>
      </c>
      <c r="B263" s="27" t="s">
        <v>148</v>
      </c>
      <c r="C263" s="27" t="s">
        <v>180</v>
      </c>
      <c r="D263" s="29">
        <v>92</v>
      </c>
      <c r="E263" s="26" t="s">
        <v>514</v>
      </c>
      <c r="F263" s="28" t="s">
        <v>501</v>
      </c>
      <c r="G263" s="28" t="s">
        <v>502</v>
      </c>
      <c r="H263" s="28" t="s">
        <v>515</v>
      </c>
      <c r="I263" s="30">
        <v>125</v>
      </c>
      <c r="J263" s="30"/>
      <c r="K263" s="31">
        <v>4060</v>
      </c>
      <c r="L263" s="31">
        <v>5120</v>
      </c>
      <c r="M263" s="31">
        <v>5120</v>
      </c>
      <c r="N263" s="32">
        <v>-0.20703125</v>
      </c>
      <c r="O263" s="32">
        <v>-0.20703125</v>
      </c>
      <c r="P263" s="30">
        <v>1.35869565217391</v>
      </c>
      <c r="Q263" s="31">
        <v>44.130434782608702</v>
      </c>
    </row>
    <row r="264" spans="1:17" ht="15" customHeight="1" x14ac:dyDescent="0.2">
      <c r="A264" s="17" t="s">
        <v>249</v>
      </c>
      <c r="B264" s="18" t="s">
        <v>148</v>
      </c>
      <c r="C264" s="18" t="s">
        <v>180</v>
      </c>
      <c r="D264" s="20">
        <v>122</v>
      </c>
      <c r="E264" s="17" t="s">
        <v>514</v>
      </c>
      <c r="F264" s="19" t="s">
        <v>501</v>
      </c>
      <c r="G264" s="19" t="s">
        <v>502</v>
      </c>
      <c r="H264" s="19" t="s">
        <v>515</v>
      </c>
      <c r="I264" s="21">
        <v>508.5</v>
      </c>
      <c r="J264" s="21"/>
      <c r="K264" s="22">
        <v>16173.5</v>
      </c>
      <c r="L264" s="22">
        <v>15875</v>
      </c>
      <c r="M264" s="22">
        <v>17510</v>
      </c>
      <c r="N264" s="23">
        <v>1.88031496062992E-2</v>
      </c>
      <c r="O264" s="23">
        <v>-7.6327812678469401E-2</v>
      </c>
      <c r="P264" s="21">
        <v>4.1680327868852496</v>
      </c>
      <c r="Q264" s="22">
        <v>132.569672131148</v>
      </c>
    </row>
    <row r="265" spans="1:17" ht="15" customHeight="1" x14ac:dyDescent="0.2">
      <c r="A265" s="26" t="s">
        <v>254</v>
      </c>
      <c r="B265" s="27" t="s">
        <v>148</v>
      </c>
      <c r="C265" s="27" t="s">
        <v>180</v>
      </c>
      <c r="D265" s="29">
        <v>80</v>
      </c>
      <c r="E265" s="26" t="s">
        <v>514</v>
      </c>
      <c r="F265" s="28" t="s">
        <v>501</v>
      </c>
      <c r="G265" s="28" t="s">
        <v>502</v>
      </c>
      <c r="H265" s="28" t="s">
        <v>515</v>
      </c>
      <c r="I265" s="30">
        <v>277</v>
      </c>
      <c r="J265" s="30"/>
      <c r="K265" s="31">
        <v>9423.5</v>
      </c>
      <c r="L265" s="31">
        <v>4250</v>
      </c>
      <c r="M265" s="31">
        <v>4895</v>
      </c>
      <c r="N265" s="32">
        <v>1.21729411764706</v>
      </c>
      <c r="O265" s="32">
        <v>0.92512768130745704</v>
      </c>
      <c r="P265" s="30">
        <v>3.4624999999999999</v>
      </c>
      <c r="Q265" s="31">
        <v>117.79375</v>
      </c>
    </row>
    <row r="266" spans="1:17" ht="15" customHeight="1" x14ac:dyDescent="0.2">
      <c r="A266" s="17" t="s">
        <v>259</v>
      </c>
      <c r="B266" s="18" t="s">
        <v>148</v>
      </c>
      <c r="C266" s="18" t="s">
        <v>180</v>
      </c>
      <c r="D266" s="20"/>
      <c r="E266" s="17" t="s">
        <v>514</v>
      </c>
      <c r="F266" s="19" t="s">
        <v>501</v>
      </c>
      <c r="G266" s="19" t="s">
        <v>502</v>
      </c>
      <c r="H266" s="19" t="s">
        <v>515</v>
      </c>
      <c r="I266" s="21">
        <v>2</v>
      </c>
      <c r="J266" s="21"/>
      <c r="K266" s="22">
        <v>72</v>
      </c>
      <c r="L266" s="22">
        <v>360</v>
      </c>
      <c r="M266" s="22">
        <v>360</v>
      </c>
      <c r="N266" s="23">
        <v>-0.8</v>
      </c>
      <c r="O266" s="23">
        <v>-0.8</v>
      </c>
      <c r="P266" s="21"/>
      <c r="Q266" s="22"/>
    </row>
    <row r="267" spans="1:17" ht="15" customHeight="1" x14ac:dyDescent="0.2">
      <c r="A267" s="26" t="s">
        <v>263</v>
      </c>
      <c r="B267" s="27" t="s">
        <v>148</v>
      </c>
      <c r="C267" s="27" t="s">
        <v>180</v>
      </c>
      <c r="D267" s="29">
        <v>55</v>
      </c>
      <c r="E267" s="26" t="s">
        <v>514</v>
      </c>
      <c r="F267" s="28" t="s">
        <v>501</v>
      </c>
      <c r="G267" s="28" t="s">
        <v>502</v>
      </c>
      <c r="H267" s="28" t="s">
        <v>515</v>
      </c>
      <c r="I267" s="30">
        <v>87</v>
      </c>
      <c r="J267" s="30"/>
      <c r="K267" s="31">
        <v>3009.5</v>
      </c>
      <c r="L267" s="31">
        <v>3150</v>
      </c>
      <c r="M267" s="31">
        <v>3300</v>
      </c>
      <c r="N267" s="32">
        <v>-4.4603174603174603E-2</v>
      </c>
      <c r="O267" s="32">
        <v>-8.8030303030303E-2</v>
      </c>
      <c r="P267" s="30">
        <v>1.58181818181818</v>
      </c>
      <c r="Q267" s="31">
        <v>54.718181818181797</v>
      </c>
    </row>
    <row r="268" spans="1:17" ht="15" customHeight="1" x14ac:dyDescent="0.2">
      <c r="A268" s="17" t="s">
        <v>266</v>
      </c>
      <c r="B268" s="18" t="s">
        <v>148</v>
      </c>
      <c r="C268" s="18" t="s">
        <v>267</v>
      </c>
      <c r="D268" s="20">
        <v>108</v>
      </c>
      <c r="E268" s="17" t="s">
        <v>514</v>
      </c>
      <c r="F268" s="19" t="s">
        <v>501</v>
      </c>
      <c r="G268" s="19" t="s">
        <v>502</v>
      </c>
      <c r="H268" s="19" t="s">
        <v>515</v>
      </c>
      <c r="I268" s="21">
        <v>379</v>
      </c>
      <c r="J268" s="21"/>
      <c r="K268" s="22">
        <v>13665</v>
      </c>
      <c r="L268" s="22">
        <v>22500</v>
      </c>
      <c r="M268" s="22">
        <v>22590</v>
      </c>
      <c r="N268" s="23">
        <v>-0.392666666666667</v>
      </c>
      <c r="O268" s="23">
        <v>-0.39508632138114202</v>
      </c>
      <c r="P268" s="21">
        <v>3.50925925925926</v>
      </c>
      <c r="Q268" s="22">
        <v>126.527777777778</v>
      </c>
    </row>
    <row r="269" spans="1:17" ht="15" customHeight="1" x14ac:dyDescent="0.2">
      <c r="A269" s="26" t="s">
        <v>270</v>
      </c>
      <c r="B269" s="27" t="s">
        <v>148</v>
      </c>
      <c r="C269" s="27" t="s">
        <v>267</v>
      </c>
      <c r="D269" s="29">
        <v>75</v>
      </c>
      <c r="E269" s="26" t="s">
        <v>514</v>
      </c>
      <c r="F269" s="28" t="s">
        <v>501</v>
      </c>
      <c r="G269" s="28" t="s">
        <v>502</v>
      </c>
      <c r="H269" s="28" t="s">
        <v>515</v>
      </c>
      <c r="I269" s="30">
        <v>112</v>
      </c>
      <c r="J269" s="30">
        <v>5.5</v>
      </c>
      <c r="K269" s="31">
        <v>3698.5</v>
      </c>
      <c r="L269" s="31">
        <v>3110</v>
      </c>
      <c r="M269" s="31">
        <v>3550</v>
      </c>
      <c r="N269" s="32">
        <v>0.189228295819936</v>
      </c>
      <c r="O269" s="32">
        <v>4.1830985915493002E-2</v>
      </c>
      <c r="P269" s="30">
        <v>1.4933333333333301</v>
      </c>
      <c r="Q269" s="31">
        <v>49.313333333333297</v>
      </c>
    </row>
    <row r="270" spans="1:17" ht="15" customHeight="1" x14ac:dyDescent="0.2">
      <c r="A270" s="17" t="s">
        <v>272</v>
      </c>
      <c r="B270" s="18" t="s">
        <v>148</v>
      </c>
      <c r="C270" s="18" t="s">
        <v>267</v>
      </c>
      <c r="D270" s="20">
        <v>89</v>
      </c>
      <c r="E270" s="17" t="s">
        <v>514</v>
      </c>
      <c r="F270" s="19" t="s">
        <v>501</v>
      </c>
      <c r="G270" s="19" t="s">
        <v>502</v>
      </c>
      <c r="H270" s="19" t="s">
        <v>515</v>
      </c>
      <c r="I270" s="21">
        <v>290</v>
      </c>
      <c r="J270" s="21"/>
      <c r="K270" s="22">
        <v>10065</v>
      </c>
      <c r="L270" s="22">
        <v>6960</v>
      </c>
      <c r="M270" s="22">
        <v>7380</v>
      </c>
      <c r="N270" s="23">
        <v>0.44612068965517199</v>
      </c>
      <c r="O270" s="23">
        <v>0.36382113821138201</v>
      </c>
      <c r="P270" s="21">
        <v>3.2584269662921401</v>
      </c>
      <c r="Q270" s="22">
        <v>113.08988764044901</v>
      </c>
    </row>
    <row r="271" spans="1:17" ht="15" customHeight="1" x14ac:dyDescent="0.2">
      <c r="A271" s="26" t="s">
        <v>275</v>
      </c>
      <c r="B271" s="27" t="s">
        <v>148</v>
      </c>
      <c r="C271" s="27" t="s">
        <v>267</v>
      </c>
      <c r="D271" s="29">
        <v>78</v>
      </c>
      <c r="E271" s="26" t="s">
        <v>514</v>
      </c>
      <c r="F271" s="28" t="s">
        <v>501</v>
      </c>
      <c r="G271" s="28" t="s">
        <v>502</v>
      </c>
      <c r="H271" s="28" t="s">
        <v>515</v>
      </c>
      <c r="I271" s="30">
        <v>94.5</v>
      </c>
      <c r="J271" s="30"/>
      <c r="K271" s="31">
        <v>3108.5</v>
      </c>
      <c r="L271" s="31">
        <v>6850</v>
      </c>
      <c r="M271" s="31">
        <v>6850</v>
      </c>
      <c r="N271" s="32">
        <v>-0.54620437956204404</v>
      </c>
      <c r="O271" s="32">
        <v>-0.54620437956204404</v>
      </c>
      <c r="P271" s="30">
        <v>1.2115384615384599</v>
      </c>
      <c r="Q271" s="31">
        <v>39.852564102564102</v>
      </c>
    </row>
    <row r="272" spans="1:17" ht="15" customHeight="1" x14ac:dyDescent="0.2">
      <c r="A272" s="17" t="s">
        <v>277</v>
      </c>
      <c r="B272" s="18" t="s">
        <v>148</v>
      </c>
      <c r="C272" s="18" t="s">
        <v>267</v>
      </c>
      <c r="D272" s="20">
        <v>158</v>
      </c>
      <c r="E272" s="17" t="s">
        <v>514</v>
      </c>
      <c r="F272" s="19" t="s">
        <v>501</v>
      </c>
      <c r="G272" s="19" t="s">
        <v>502</v>
      </c>
      <c r="H272" s="19" t="s">
        <v>515</v>
      </c>
      <c r="I272" s="21">
        <v>155</v>
      </c>
      <c r="J272" s="21"/>
      <c r="K272" s="22">
        <v>5231</v>
      </c>
      <c r="L272" s="22">
        <v>5250</v>
      </c>
      <c r="M272" s="22">
        <v>6120</v>
      </c>
      <c r="N272" s="23">
        <v>-3.6190476190476198E-3</v>
      </c>
      <c r="O272" s="23">
        <v>-0.14526143790849699</v>
      </c>
      <c r="P272" s="21">
        <v>0.981012658227848</v>
      </c>
      <c r="Q272" s="22">
        <v>33.1075949367089</v>
      </c>
    </row>
    <row r="273" spans="1:17" ht="15" customHeight="1" x14ac:dyDescent="0.2">
      <c r="A273" s="26" t="s">
        <v>280</v>
      </c>
      <c r="B273" s="27" t="s">
        <v>148</v>
      </c>
      <c r="C273" s="27" t="s">
        <v>267</v>
      </c>
      <c r="D273" s="29">
        <v>110</v>
      </c>
      <c r="E273" s="26" t="s">
        <v>514</v>
      </c>
      <c r="F273" s="28" t="s">
        <v>501</v>
      </c>
      <c r="G273" s="28" t="s">
        <v>502</v>
      </c>
      <c r="H273" s="28" t="s">
        <v>515</v>
      </c>
      <c r="I273" s="30">
        <v>177.5</v>
      </c>
      <c r="J273" s="30">
        <v>18.5</v>
      </c>
      <c r="K273" s="31">
        <v>6188.5</v>
      </c>
      <c r="L273" s="31">
        <v>11285</v>
      </c>
      <c r="M273" s="31">
        <v>11585</v>
      </c>
      <c r="N273" s="32">
        <v>-0.45161719096145297</v>
      </c>
      <c r="O273" s="32">
        <v>-0.46581786793267199</v>
      </c>
      <c r="P273" s="30">
        <v>1.61363636363636</v>
      </c>
      <c r="Q273" s="31">
        <v>56.259090909090901</v>
      </c>
    </row>
    <row r="274" spans="1:17" ht="15" customHeight="1" x14ac:dyDescent="0.2">
      <c r="A274" s="17" t="s">
        <v>284</v>
      </c>
      <c r="B274" s="18" t="s">
        <v>148</v>
      </c>
      <c r="C274" s="18" t="s">
        <v>267</v>
      </c>
      <c r="D274" s="20">
        <v>72</v>
      </c>
      <c r="E274" s="17" t="s">
        <v>514</v>
      </c>
      <c r="F274" s="19" t="s">
        <v>501</v>
      </c>
      <c r="G274" s="19" t="s">
        <v>502</v>
      </c>
      <c r="H274" s="19" t="s">
        <v>515</v>
      </c>
      <c r="I274" s="21"/>
      <c r="J274" s="21"/>
      <c r="K274" s="22"/>
      <c r="L274" s="22"/>
      <c r="M274" s="22"/>
      <c r="N274" s="23"/>
      <c r="O274" s="23"/>
      <c r="P274" s="21"/>
      <c r="Q274" s="22"/>
    </row>
    <row r="275" spans="1:17" ht="15" customHeight="1" x14ac:dyDescent="0.2">
      <c r="A275" s="26" t="s">
        <v>286</v>
      </c>
      <c r="B275" s="27" t="s">
        <v>148</v>
      </c>
      <c r="C275" s="27" t="s">
        <v>267</v>
      </c>
      <c r="D275" s="29">
        <v>50</v>
      </c>
      <c r="E275" s="26" t="s">
        <v>514</v>
      </c>
      <c r="F275" s="28" t="s">
        <v>501</v>
      </c>
      <c r="G275" s="28" t="s">
        <v>502</v>
      </c>
      <c r="H275" s="28" t="s">
        <v>515</v>
      </c>
      <c r="I275" s="30">
        <v>91</v>
      </c>
      <c r="J275" s="30"/>
      <c r="K275" s="31">
        <v>3287</v>
      </c>
      <c r="L275" s="31">
        <v>4500</v>
      </c>
      <c r="M275" s="31">
        <v>4500</v>
      </c>
      <c r="N275" s="32">
        <v>-0.26955555555555599</v>
      </c>
      <c r="O275" s="32">
        <v>-0.26955555555555599</v>
      </c>
      <c r="P275" s="30">
        <v>1.82</v>
      </c>
      <c r="Q275" s="31">
        <v>65.739999999999995</v>
      </c>
    </row>
    <row r="276" spans="1:17" ht="15" customHeight="1" x14ac:dyDescent="0.2">
      <c r="A276" s="17" t="s">
        <v>287</v>
      </c>
      <c r="B276" s="18" t="s">
        <v>148</v>
      </c>
      <c r="C276" s="18" t="s">
        <v>267</v>
      </c>
      <c r="D276" s="20">
        <v>163</v>
      </c>
      <c r="E276" s="17" t="s">
        <v>514</v>
      </c>
      <c r="F276" s="19" t="s">
        <v>501</v>
      </c>
      <c r="G276" s="19" t="s">
        <v>502</v>
      </c>
      <c r="H276" s="19" t="s">
        <v>515</v>
      </c>
      <c r="I276" s="21">
        <v>421</v>
      </c>
      <c r="J276" s="21">
        <v>4</v>
      </c>
      <c r="K276" s="22">
        <v>13477.82</v>
      </c>
      <c r="L276" s="22">
        <v>21400</v>
      </c>
      <c r="M276" s="22">
        <v>21796</v>
      </c>
      <c r="N276" s="23">
        <v>-0.37019532710280401</v>
      </c>
      <c r="O276" s="23">
        <v>-0.38163791521380103</v>
      </c>
      <c r="P276" s="21">
        <v>2.5828220858895699</v>
      </c>
      <c r="Q276" s="22">
        <v>82.686012269938601</v>
      </c>
    </row>
    <row r="277" spans="1:17" ht="15" customHeight="1" x14ac:dyDescent="0.2">
      <c r="A277" s="26" t="s">
        <v>289</v>
      </c>
      <c r="B277" s="27" t="s">
        <v>148</v>
      </c>
      <c r="C277" s="27" t="s">
        <v>267</v>
      </c>
      <c r="D277" s="29">
        <v>107</v>
      </c>
      <c r="E277" s="26" t="s">
        <v>514</v>
      </c>
      <c r="F277" s="28" t="s">
        <v>501</v>
      </c>
      <c r="G277" s="28" t="s">
        <v>502</v>
      </c>
      <c r="H277" s="28" t="s">
        <v>515</v>
      </c>
      <c r="I277" s="30">
        <v>289</v>
      </c>
      <c r="J277" s="30">
        <v>2</v>
      </c>
      <c r="K277" s="31">
        <v>9800</v>
      </c>
      <c r="L277" s="31">
        <v>21300</v>
      </c>
      <c r="M277" s="31">
        <v>22040</v>
      </c>
      <c r="N277" s="32">
        <v>-0.539906103286385</v>
      </c>
      <c r="O277" s="32">
        <v>-0.55535390199637003</v>
      </c>
      <c r="P277" s="30">
        <v>2.7009345794392501</v>
      </c>
      <c r="Q277" s="31">
        <v>91.588785046729001</v>
      </c>
    </row>
    <row r="278" spans="1:17" ht="15" customHeight="1" x14ac:dyDescent="0.2">
      <c r="A278" s="17" t="s">
        <v>292</v>
      </c>
      <c r="B278" s="18" t="s">
        <v>148</v>
      </c>
      <c r="C278" s="18" t="s">
        <v>267</v>
      </c>
      <c r="D278" s="20">
        <v>136</v>
      </c>
      <c r="E278" s="17" t="s">
        <v>514</v>
      </c>
      <c r="F278" s="19" t="s">
        <v>501</v>
      </c>
      <c r="G278" s="19" t="s">
        <v>502</v>
      </c>
      <c r="H278" s="19" t="s">
        <v>515</v>
      </c>
      <c r="I278" s="21">
        <v>627.5</v>
      </c>
      <c r="J278" s="21"/>
      <c r="K278" s="22">
        <v>21073.5</v>
      </c>
      <c r="L278" s="22">
        <v>39340</v>
      </c>
      <c r="M278" s="22">
        <v>39790</v>
      </c>
      <c r="N278" s="23">
        <v>-0.46432384341637001</v>
      </c>
      <c r="O278" s="23">
        <v>-0.47038200552902698</v>
      </c>
      <c r="P278" s="21">
        <v>4.6139705882352899</v>
      </c>
      <c r="Q278" s="22">
        <v>154.95220588235301</v>
      </c>
    </row>
    <row r="279" spans="1:17" ht="15" customHeight="1" x14ac:dyDescent="0.2">
      <c r="A279" s="26" t="s">
        <v>295</v>
      </c>
      <c r="B279" s="27" t="s">
        <v>148</v>
      </c>
      <c r="C279" s="27" t="s">
        <v>267</v>
      </c>
      <c r="D279" s="29">
        <v>68</v>
      </c>
      <c r="E279" s="26" t="s">
        <v>514</v>
      </c>
      <c r="F279" s="28" t="s">
        <v>501</v>
      </c>
      <c r="G279" s="28" t="s">
        <v>502</v>
      </c>
      <c r="H279" s="28" t="s">
        <v>515</v>
      </c>
      <c r="I279" s="30">
        <v>59</v>
      </c>
      <c r="J279" s="30">
        <v>2</v>
      </c>
      <c r="K279" s="31">
        <v>2258.5</v>
      </c>
      <c r="L279" s="31">
        <v>4350</v>
      </c>
      <c r="M279" s="31">
        <v>4350</v>
      </c>
      <c r="N279" s="32">
        <v>-0.48080459770114897</v>
      </c>
      <c r="O279" s="32">
        <v>-0.48080459770114897</v>
      </c>
      <c r="P279" s="30">
        <v>0.86764705882352899</v>
      </c>
      <c r="Q279" s="31">
        <v>33.213235294117602</v>
      </c>
    </row>
    <row r="280" spans="1:17" ht="15" customHeight="1" x14ac:dyDescent="0.2">
      <c r="A280" s="17" t="s">
        <v>298</v>
      </c>
      <c r="B280" s="18" t="s">
        <v>148</v>
      </c>
      <c r="C280" s="18" t="s">
        <v>267</v>
      </c>
      <c r="D280" s="20">
        <v>98</v>
      </c>
      <c r="E280" s="17" t="s">
        <v>514</v>
      </c>
      <c r="F280" s="19" t="s">
        <v>501</v>
      </c>
      <c r="G280" s="19" t="s">
        <v>502</v>
      </c>
      <c r="H280" s="19" t="s">
        <v>515</v>
      </c>
      <c r="I280" s="21">
        <v>114</v>
      </c>
      <c r="J280" s="21"/>
      <c r="K280" s="22">
        <v>4742</v>
      </c>
      <c r="L280" s="22">
        <v>8370</v>
      </c>
      <c r="M280" s="22">
        <v>9170</v>
      </c>
      <c r="N280" s="23">
        <v>-0.43345280764635602</v>
      </c>
      <c r="O280" s="23">
        <v>-0.48287895310796097</v>
      </c>
      <c r="P280" s="21">
        <v>1.16326530612245</v>
      </c>
      <c r="Q280" s="22">
        <v>48.387755102040799</v>
      </c>
    </row>
    <row r="281" spans="1:17" ht="15" customHeight="1" x14ac:dyDescent="0.2">
      <c r="A281" s="26" t="s">
        <v>300</v>
      </c>
      <c r="B281" s="27" t="s">
        <v>148</v>
      </c>
      <c r="C281" s="27" t="s">
        <v>267</v>
      </c>
      <c r="D281" s="29">
        <v>321</v>
      </c>
      <c r="E281" s="26" t="s">
        <v>514</v>
      </c>
      <c r="F281" s="28" t="s">
        <v>501</v>
      </c>
      <c r="G281" s="28" t="s">
        <v>502</v>
      </c>
      <c r="H281" s="28" t="s">
        <v>515</v>
      </c>
      <c r="I281" s="30">
        <v>900.5</v>
      </c>
      <c r="J281" s="30">
        <v>1</v>
      </c>
      <c r="K281" s="31">
        <v>31518</v>
      </c>
      <c r="L281" s="31">
        <v>50640</v>
      </c>
      <c r="M281" s="31">
        <v>50830</v>
      </c>
      <c r="N281" s="32">
        <v>-0.37760663507108999</v>
      </c>
      <c r="O281" s="32">
        <v>-0.37993311036789301</v>
      </c>
      <c r="P281" s="30">
        <v>2.8052959501557599</v>
      </c>
      <c r="Q281" s="31">
        <v>98.186915887850503</v>
      </c>
    </row>
    <row r="282" spans="1:17" ht="15" customHeight="1" x14ac:dyDescent="0.2">
      <c r="A282" s="17" t="s">
        <v>302</v>
      </c>
      <c r="B282" s="18" t="s">
        <v>148</v>
      </c>
      <c r="C282" s="18" t="s">
        <v>267</v>
      </c>
      <c r="D282" s="20">
        <v>111</v>
      </c>
      <c r="E282" s="17" t="s">
        <v>514</v>
      </c>
      <c r="F282" s="19" t="s">
        <v>501</v>
      </c>
      <c r="G282" s="19" t="s">
        <v>502</v>
      </c>
      <c r="H282" s="19" t="s">
        <v>515</v>
      </c>
      <c r="I282" s="21">
        <v>256.5</v>
      </c>
      <c r="J282" s="21"/>
      <c r="K282" s="22">
        <v>9569</v>
      </c>
      <c r="L282" s="22">
        <v>9176</v>
      </c>
      <c r="M282" s="22">
        <v>9601</v>
      </c>
      <c r="N282" s="23">
        <v>4.2829119442022702E-2</v>
      </c>
      <c r="O282" s="23">
        <v>-3.33298614727633E-3</v>
      </c>
      <c r="P282" s="21">
        <v>2.3108108108108101</v>
      </c>
      <c r="Q282" s="22">
        <v>86.207207207207205</v>
      </c>
    </row>
    <row r="283" spans="1:17" ht="15" customHeight="1" x14ac:dyDescent="0.2">
      <c r="A283" s="26" t="s">
        <v>304</v>
      </c>
      <c r="B283" s="27" t="s">
        <v>148</v>
      </c>
      <c r="C283" s="27" t="s">
        <v>267</v>
      </c>
      <c r="D283" s="29">
        <v>77</v>
      </c>
      <c r="E283" s="26" t="s">
        <v>514</v>
      </c>
      <c r="F283" s="28" t="s">
        <v>501</v>
      </c>
      <c r="G283" s="28" t="s">
        <v>502</v>
      </c>
      <c r="H283" s="28" t="s">
        <v>515</v>
      </c>
      <c r="I283" s="30">
        <v>73</v>
      </c>
      <c r="J283" s="30"/>
      <c r="K283" s="31">
        <v>3080</v>
      </c>
      <c r="L283" s="31">
        <v>12054</v>
      </c>
      <c r="M283" s="31">
        <v>12154</v>
      </c>
      <c r="N283" s="32">
        <v>-0.744483159117305</v>
      </c>
      <c r="O283" s="32">
        <v>-0.74658548625966803</v>
      </c>
      <c r="P283" s="30">
        <v>0.94805194805194803</v>
      </c>
      <c r="Q283" s="31">
        <v>40</v>
      </c>
    </row>
    <row r="284" spans="1:17" ht="15" customHeight="1" x14ac:dyDescent="0.2">
      <c r="A284" s="17" t="s">
        <v>306</v>
      </c>
      <c r="B284" s="18" t="s">
        <v>148</v>
      </c>
      <c r="C284" s="18" t="s">
        <v>267</v>
      </c>
      <c r="D284" s="20">
        <v>365</v>
      </c>
      <c r="E284" s="17" t="s">
        <v>514</v>
      </c>
      <c r="F284" s="19" t="s">
        <v>501</v>
      </c>
      <c r="G284" s="19" t="s">
        <v>502</v>
      </c>
      <c r="H284" s="19" t="s">
        <v>515</v>
      </c>
      <c r="I284" s="21"/>
      <c r="J284" s="21"/>
      <c r="K284" s="22">
        <v>27669</v>
      </c>
      <c r="L284" s="22">
        <v>27000</v>
      </c>
      <c r="M284" s="22">
        <v>27000</v>
      </c>
      <c r="N284" s="23">
        <v>2.4777777777777801E-2</v>
      </c>
      <c r="O284" s="23">
        <v>2.4777777777777801E-2</v>
      </c>
      <c r="P284" s="21"/>
      <c r="Q284" s="22">
        <v>75.805479452054797</v>
      </c>
    </row>
    <row r="285" spans="1:17" ht="15" customHeight="1" x14ac:dyDescent="0.2">
      <c r="A285" s="26" t="s">
        <v>309</v>
      </c>
      <c r="B285" s="27" t="s">
        <v>148</v>
      </c>
      <c r="C285" s="27" t="s">
        <v>267</v>
      </c>
      <c r="D285" s="29">
        <v>270</v>
      </c>
      <c r="E285" s="26" t="s">
        <v>514</v>
      </c>
      <c r="F285" s="28" t="s">
        <v>501</v>
      </c>
      <c r="G285" s="28" t="s">
        <v>502</v>
      </c>
      <c r="H285" s="28" t="s">
        <v>515</v>
      </c>
      <c r="I285" s="30">
        <v>1085.5</v>
      </c>
      <c r="J285" s="30">
        <v>63</v>
      </c>
      <c r="K285" s="31">
        <v>41968</v>
      </c>
      <c r="L285" s="31">
        <v>54450</v>
      </c>
      <c r="M285" s="31">
        <v>56815</v>
      </c>
      <c r="N285" s="32">
        <v>-0.229237832874197</v>
      </c>
      <c r="O285" s="32">
        <v>-0.26132183402270498</v>
      </c>
      <c r="P285" s="30">
        <v>4.0203703703703697</v>
      </c>
      <c r="Q285" s="31">
        <v>155.43703703703699</v>
      </c>
    </row>
    <row r="286" spans="1:17" ht="15" customHeight="1" x14ac:dyDescent="0.2">
      <c r="A286" s="35" t="s">
        <v>312</v>
      </c>
      <c r="B286" s="36" t="s">
        <v>313</v>
      </c>
      <c r="C286" s="36" t="s">
        <v>267</v>
      </c>
      <c r="D286" s="38">
        <v>170</v>
      </c>
      <c r="E286" s="35" t="s">
        <v>514</v>
      </c>
      <c r="F286" s="37" t="s">
        <v>501</v>
      </c>
      <c r="G286" s="37" t="s">
        <v>502</v>
      </c>
      <c r="H286" s="37" t="s">
        <v>515</v>
      </c>
      <c r="I286" s="39">
        <v>808</v>
      </c>
      <c r="J286" s="39">
        <v>21</v>
      </c>
      <c r="K286" s="40">
        <v>37993.5</v>
      </c>
      <c r="L286" s="40">
        <v>48144</v>
      </c>
      <c r="M286" s="40">
        <v>48994</v>
      </c>
      <c r="N286" s="41">
        <v>-0.21083624127617201</v>
      </c>
      <c r="O286" s="41">
        <v>-0.22452749316242801</v>
      </c>
      <c r="P286" s="39">
        <v>4.75294117647059</v>
      </c>
      <c r="Q286" s="40">
        <v>223.49117647058799</v>
      </c>
    </row>
    <row r="287" spans="1:17" ht="15" customHeight="1" x14ac:dyDescent="0.2">
      <c r="A287" s="35" t="s">
        <v>316</v>
      </c>
      <c r="B287" s="36" t="s">
        <v>313</v>
      </c>
      <c r="C287" s="36" t="s">
        <v>267</v>
      </c>
      <c r="D287" s="38">
        <v>234</v>
      </c>
      <c r="E287" s="35" t="s">
        <v>514</v>
      </c>
      <c r="F287" s="37" t="s">
        <v>501</v>
      </c>
      <c r="G287" s="37" t="s">
        <v>502</v>
      </c>
      <c r="H287" s="37" t="s">
        <v>515</v>
      </c>
      <c r="I287" s="39">
        <v>935.25</v>
      </c>
      <c r="J287" s="39"/>
      <c r="K287" s="40">
        <v>41039</v>
      </c>
      <c r="L287" s="40">
        <v>51050</v>
      </c>
      <c r="M287" s="40">
        <v>52600</v>
      </c>
      <c r="N287" s="41">
        <v>-0.196101860920666</v>
      </c>
      <c r="O287" s="41">
        <v>-0.21979087452471499</v>
      </c>
      <c r="P287" s="39">
        <v>3.99679487179487</v>
      </c>
      <c r="Q287" s="40">
        <v>175.380341880342</v>
      </c>
    </row>
    <row r="288" spans="1:17" ht="15" customHeight="1" x14ac:dyDescent="0.2">
      <c r="A288" s="35" t="s">
        <v>319</v>
      </c>
      <c r="B288" s="36" t="s">
        <v>313</v>
      </c>
      <c r="C288" s="36" t="s">
        <v>267</v>
      </c>
      <c r="D288" s="38">
        <v>24</v>
      </c>
      <c r="E288" s="35" t="s">
        <v>514</v>
      </c>
      <c r="F288" s="37" t="s">
        <v>501</v>
      </c>
      <c r="G288" s="37" t="s">
        <v>502</v>
      </c>
      <c r="H288" s="37" t="s">
        <v>515</v>
      </c>
      <c r="I288" s="39">
        <v>70</v>
      </c>
      <c r="J288" s="39"/>
      <c r="K288" s="40">
        <v>3928</v>
      </c>
      <c r="L288" s="40">
        <v>4100</v>
      </c>
      <c r="M288" s="40">
        <v>4100</v>
      </c>
      <c r="N288" s="41">
        <v>-4.1951219512195097E-2</v>
      </c>
      <c r="O288" s="41">
        <v>-4.1951219512195097E-2</v>
      </c>
      <c r="P288" s="39">
        <v>2.9166666666666701</v>
      </c>
      <c r="Q288" s="40">
        <v>163.666666666667</v>
      </c>
    </row>
    <row r="289" spans="1:17" ht="15" customHeight="1" x14ac:dyDescent="0.2">
      <c r="A289" s="35" t="s">
        <v>327</v>
      </c>
      <c r="B289" s="36" t="s">
        <v>313</v>
      </c>
      <c r="C289" s="36" t="s">
        <v>267</v>
      </c>
      <c r="D289" s="38">
        <v>244</v>
      </c>
      <c r="E289" s="35" t="s">
        <v>514</v>
      </c>
      <c r="F289" s="37" t="s">
        <v>501</v>
      </c>
      <c r="G289" s="37" t="s">
        <v>502</v>
      </c>
      <c r="H289" s="37" t="s">
        <v>515</v>
      </c>
      <c r="I289" s="39">
        <v>1455.5</v>
      </c>
      <c r="J289" s="39"/>
      <c r="K289" s="40">
        <v>66406.5</v>
      </c>
      <c r="L289" s="40">
        <v>59715</v>
      </c>
      <c r="M289" s="40">
        <v>59715</v>
      </c>
      <c r="N289" s="41">
        <v>0.11205727204220101</v>
      </c>
      <c r="O289" s="41">
        <v>0.11205727204220101</v>
      </c>
      <c r="P289" s="39">
        <v>5.9651639344262302</v>
      </c>
      <c r="Q289" s="40">
        <v>272.15778688524603</v>
      </c>
    </row>
    <row r="290" spans="1:17" ht="15" customHeight="1" x14ac:dyDescent="0.2">
      <c r="A290" s="35" t="s">
        <v>329</v>
      </c>
      <c r="B290" s="36" t="s">
        <v>313</v>
      </c>
      <c r="C290" s="36" t="s">
        <v>330</v>
      </c>
      <c r="D290" s="38">
        <v>186</v>
      </c>
      <c r="E290" s="35" t="s">
        <v>514</v>
      </c>
      <c r="F290" s="37" t="s">
        <v>501</v>
      </c>
      <c r="G290" s="37" t="s">
        <v>502</v>
      </c>
      <c r="H290" s="37" t="s">
        <v>515</v>
      </c>
      <c r="I290" s="39">
        <v>393.75</v>
      </c>
      <c r="J290" s="39"/>
      <c r="K290" s="40">
        <v>16891</v>
      </c>
      <c r="L290" s="40">
        <v>41100</v>
      </c>
      <c r="M290" s="40">
        <v>41200</v>
      </c>
      <c r="N290" s="41">
        <v>-0.58902676399026799</v>
      </c>
      <c r="O290" s="41">
        <v>-0.59002427184466</v>
      </c>
      <c r="P290" s="39">
        <v>2.1169354838709702</v>
      </c>
      <c r="Q290" s="40">
        <v>90.811827956989305</v>
      </c>
    </row>
    <row r="291" spans="1:17" ht="15" customHeight="1" x14ac:dyDescent="0.2">
      <c r="A291" s="26" t="s">
        <v>147</v>
      </c>
      <c r="B291" s="27" t="s">
        <v>148</v>
      </c>
      <c r="C291" s="27" t="s">
        <v>149</v>
      </c>
      <c r="D291" s="29">
        <v>234</v>
      </c>
      <c r="E291" s="26" t="s">
        <v>516</v>
      </c>
      <c r="F291" s="28" t="s">
        <v>501</v>
      </c>
      <c r="G291" s="28" t="s">
        <v>502</v>
      </c>
      <c r="H291" s="28" t="s">
        <v>517</v>
      </c>
      <c r="I291" s="30"/>
      <c r="J291" s="30"/>
      <c r="K291" s="31">
        <v>3190.16</v>
      </c>
      <c r="L291" s="31">
        <v>9000</v>
      </c>
      <c r="M291" s="31">
        <v>9000</v>
      </c>
      <c r="N291" s="32">
        <v>-0.64553777777777799</v>
      </c>
      <c r="O291" s="32">
        <v>-0.64553777777777799</v>
      </c>
      <c r="P291" s="30"/>
      <c r="Q291" s="31">
        <v>13.633162393162401</v>
      </c>
    </row>
    <row r="292" spans="1:17" ht="15" customHeight="1" x14ac:dyDescent="0.2">
      <c r="A292" s="17" t="s">
        <v>152</v>
      </c>
      <c r="B292" s="18" t="s">
        <v>148</v>
      </c>
      <c r="C292" s="18" t="s">
        <v>149</v>
      </c>
      <c r="D292" s="20">
        <v>258</v>
      </c>
      <c r="E292" s="17" t="s">
        <v>516</v>
      </c>
      <c r="F292" s="19" t="s">
        <v>501</v>
      </c>
      <c r="G292" s="19" t="s">
        <v>502</v>
      </c>
      <c r="H292" s="19" t="s">
        <v>517</v>
      </c>
      <c r="I292" s="21"/>
      <c r="J292" s="21"/>
      <c r="K292" s="22">
        <v>2454</v>
      </c>
      <c r="L292" s="22">
        <v>3400</v>
      </c>
      <c r="M292" s="22">
        <v>3400</v>
      </c>
      <c r="N292" s="23">
        <v>-0.27823529411764703</v>
      </c>
      <c r="O292" s="23">
        <v>-0.27823529411764703</v>
      </c>
      <c r="P292" s="21"/>
      <c r="Q292" s="22">
        <v>9.5116279069767398</v>
      </c>
    </row>
    <row r="293" spans="1:17" ht="15" customHeight="1" x14ac:dyDescent="0.2">
      <c r="A293" s="26" t="s">
        <v>159</v>
      </c>
      <c r="B293" s="27" t="s">
        <v>148</v>
      </c>
      <c r="C293" s="27" t="s">
        <v>149</v>
      </c>
      <c r="D293" s="29">
        <v>117</v>
      </c>
      <c r="E293" s="26" t="s">
        <v>516</v>
      </c>
      <c r="F293" s="28" t="s">
        <v>501</v>
      </c>
      <c r="G293" s="28" t="s">
        <v>502</v>
      </c>
      <c r="H293" s="28" t="s">
        <v>517</v>
      </c>
      <c r="I293" s="30"/>
      <c r="J293" s="30"/>
      <c r="K293" s="31">
        <v>2115</v>
      </c>
      <c r="L293" s="31"/>
      <c r="M293" s="31">
        <v>5650</v>
      </c>
      <c r="N293" s="32"/>
      <c r="O293" s="32">
        <v>-0.625663716814159</v>
      </c>
      <c r="P293" s="30"/>
      <c r="Q293" s="31">
        <v>18.076923076923102</v>
      </c>
    </row>
    <row r="294" spans="1:17" ht="15" customHeight="1" x14ac:dyDescent="0.2">
      <c r="A294" s="17" t="s">
        <v>161</v>
      </c>
      <c r="B294" s="18" t="s">
        <v>148</v>
      </c>
      <c r="C294" s="18" t="s">
        <v>149</v>
      </c>
      <c r="D294" s="20">
        <v>162</v>
      </c>
      <c r="E294" s="17" t="s">
        <v>516</v>
      </c>
      <c r="F294" s="19" t="s">
        <v>501</v>
      </c>
      <c r="G294" s="19" t="s">
        <v>502</v>
      </c>
      <c r="H294" s="19" t="s">
        <v>517</v>
      </c>
      <c r="I294" s="21">
        <v>50</v>
      </c>
      <c r="J294" s="21"/>
      <c r="K294" s="22">
        <v>984</v>
      </c>
      <c r="L294" s="22">
        <v>2700</v>
      </c>
      <c r="M294" s="22">
        <v>2700</v>
      </c>
      <c r="N294" s="23">
        <v>-0.63555555555555598</v>
      </c>
      <c r="O294" s="23">
        <v>-0.63555555555555598</v>
      </c>
      <c r="P294" s="21">
        <v>0.30864197530864201</v>
      </c>
      <c r="Q294" s="22">
        <v>6.07407407407407</v>
      </c>
    </row>
    <row r="295" spans="1:17" ht="15" customHeight="1" x14ac:dyDescent="0.2">
      <c r="A295" s="26" t="s">
        <v>165</v>
      </c>
      <c r="B295" s="27" t="s">
        <v>148</v>
      </c>
      <c r="C295" s="27" t="s">
        <v>149</v>
      </c>
      <c r="D295" s="29">
        <v>197</v>
      </c>
      <c r="E295" s="26" t="s">
        <v>516</v>
      </c>
      <c r="F295" s="28" t="s">
        <v>501</v>
      </c>
      <c r="G295" s="28" t="s">
        <v>502</v>
      </c>
      <c r="H295" s="28" t="s">
        <v>517</v>
      </c>
      <c r="I295" s="30"/>
      <c r="J295" s="30"/>
      <c r="K295" s="31">
        <v>520.5</v>
      </c>
      <c r="L295" s="31">
        <v>520</v>
      </c>
      <c r="M295" s="31">
        <v>520</v>
      </c>
      <c r="N295" s="32">
        <v>9.6153846153846203E-4</v>
      </c>
      <c r="O295" s="32">
        <v>9.6153846153846203E-4</v>
      </c>
      <c r="P295" s="30"/>
      <c r="Q295" s="31">
        <v>2.6421319796954301</v>
      </c>
    </row>
    <row r="296" spans="1:17" ht="15" customHeight="1" x14ac:dyDescent="0.2">
      <c r="A296" s="17" t="s">
        <v>167</v>
      </c>
      <c r="B296" s="18" t="s">
        <v>148</v>
      </c>
      <c r="C296" s="18" t="s">
        <v>149</v>
      </c>
      <c r="D296" s="20">
        <v>119</v>
      </c>
      <c r="E296" s="17" t="s">
        <v>516</v>
      </c>
      <c r="F296" s="19" t="s">
        <v>501</v>
      </c>
      <c r="G296" s="19" t="s">
        <v>502</v>
      </c>
      <c r="H296" s="19" t="s">
        <v>517</v>
      </c>
      <c r="I296" s="21"/>
      <c r="J296" s="21"/>
      <c r="K296" s="22">
        <v>2012</v>
      </c>
      <c r="L296" s="22">
        <v>2012</v>
      </c>
      <c r="M296" s="22">
        <v>2012</v>
      </c>
      <c r="N296" s="23">
        <v>0</v>
      </c>
      <c r="O296" s="23">
        <v>0</v>
      </c>
      <c r="P296" s="21"/>
      <c r="Q296" s="22">
        <v>16.907563025210099</v>
      </c>
    </row>
    <row r="297" spans="1:17" ht="15" customHeight="1" x14ac:dyDescent="0.2">
      <c r="A297" s="26" t="s">
        <v>169</v>
      </c>
      <c r="B297" s="27" t="s">
        <v>148</v>
      </c>
      <c r="C297" s="27" t="s">
        <v>149</v>
      </c>
      <c r="D297" s="29">
        <v>211</v>
      </c>
      <c r="E297" s="26" t="s">
        <v>516</v>
      </c>
      <c r="F297" s="28" t="s">
        <v>501</v>
      </c>
      <c r="G297" s="28" t="s">
        <v>502</v>
      </c>
      <c r="H297" s="28" t="s">
        <v>517</v>
      </c>
      <c r="I297" s="30"/>
      <c r="J297" s="30"/>
      <c r="K297" s="31">
        <v>952</v>
      </c>
      <c r="L297" s="31">
        <v>6625</v>
      </c>
      <c r="M297" s="31">
        <v>6625</v>
      </c>
      <c r="N297" s="32">
        <v>-0.856301886792453</v>
      </c>
      <c r="O297" s="32">
        <v>-0.856301886792453</v>
      </c>
      <c r="P297" s="30"/>
      <c r="Q297" s="31">
        <v>4.5118483412322297</v>
      </c>
    </row>
    <row r="298" spans="1:17" ht="15" customHeight="1" x14ac:dyDescent="0.2">
      <c r="A298" s="17" t="s">
        <v>173</v>
      </c>
      <c r="B298" s="18" t="s">
        <v>148</v>
      </c>
      <c r="C298" s="18" t="s">
        <v>149</v>
      </c>
      <c r="D298" s="20">
        <v>256</v>
      </c>
      <c r="E298" s="17" t="s">
        <v>516</v>
      </c>
      <c r="F298" s="19" t="s">
        <v>501</v>
      </c>
      <c r="G298" s="19" t="s">
        <v>502</v>
      </c>
      <c r="H298" s="19" t="s">
        <v>517</v>
      </c>
      <c r="I298" s="21"/>
      <c r="J298" s="21"/>
      <c r="K298" s="22">
        <v>2843</v>
      </c>
      <c r="L298" s="22">
        <v>2843</v>
      </c>
      <c r="M298" s="22">
        <v>2843</v>
      </c>
      <c r="N298" s="23">
        <v>0</v>
      </c>
      <c r="O298" s="23">
        <v>0</v>
      </c>
      <c r="P298" s="21"/>
      <c r="Q298" s="22">
        <v>11.10546875</v>
      </c>
    </row>
    <row r="299" spans="1:17" ht="15" customHeight="1" x14ac:dyDescent="0.2">
      <c r="A299" s="26" t="s">
        <v>147</v>
      </c>
      <c r="B299" s="27" t="s">
        <v>148</v>
      </c>
      <c r="C299" s="27" t="s">
        <v>149</v>
      </c>
      <c r="D299" s="29">
        <v>234</v>
      </c>
      <c r="E299" s="26" t="s">
        <v>518</v>
      </c>
      <c r="F299" s="28" t="s">
        <v>501</v>
      </c>
      <c r="G299" s="28" t="s">
        <v>519</v>
      </c>
      <c r="H299" s="28" t="s">
        <v>520</v>
      </c>
      <c r="I299" s="30"/>
      <c r="J299" s="30"/>
      <c r="K299" s="31">
        <v>218574.15</v>
      </c>
      <c r="L299" s="31">
        <v>185705</v>
      </c>
      <c r="M299" s="31">
        <v>185705</v>
      </c>
      <c r="N299" s="32">
        <v>0.17699658059826101</v>
      </c>
      <c r="O299" s="32">
        <v>0.17699658059826101</v>
      </c>
      <c r="P299" s="30"/>
      <c r="Q299" s="31">
        <v>934.077564102564</v>
      </c>
    </row>
    <row r="300" spans="1:17" ht="15" customHeight="1" x14ac:dyDescent="0.2">
      <c r="A300" s="17" t="s">
        <v>152</v>
      </c>
      <c r="B300" s="18" t="s">
        <v>148</v>
      </c>
      <c r="C300" s="18" t="s">
        <v>149</v>
      </c>
      <c r="D300" s="20">
        <v>258</v>
      </c>
      <c r="E300" s="17" t="s">
        <v>518</v>
      </c>
      <c r="F300" s="19" t="s">
        <v>501</v>
      </c>
      <c r="G300" s="19" t="s">
        <v>519</v>
      </c>
      <c r="H300" s="19" t="s">
        <v>520</v>
      </c>
      <c r="I300" s="21"/>
      <c r="J300" s="21"/>
      <c r="K300" s="22">
        <v>303122.05</v>
      </c>
      <c r="L300" s="22">
        <v>261585</v>
      </c>
      <c r="M300" s="22">
        <v>269760</v>
      </c>
      <c r="N300" s="23">
        <v>0.15878987709539899</v>
      </c>
      <c r="O300" s="23">
        <v>0.123673079774614</v>
      </c>
      <c r="P300" s="21"/>
      <c r="Q300" s="22">
        <v>1174.8916666666701</v>
      </c>
    </row>
    <row r="301" spans="1:17" ht="15" customHeight="1" x14ac:dyDescent="0.2">
      <c r="A301" s="26" t="s">
        <v>154</v>
      </c>
      <c r="B301" s="27" t="s">
        <v>148</v>
      </c>
      <c r="C301" s="27" t="s">
        <v>149</v>
      </c>
      <c r="D301" s="29">
        <v>56</v>
      </c>
      <c r="E301" s="26" t="s">
        <v>518</v>
      </c>
      <c r="F301" s="28" t="s">
        <v>501</v>
      </c>
      <c r="G301" s="28" t="s">
        <v>519</v>
      </c>
      <c r="H301" s="28" t="s">
        <v>520</v>
      </c>
      <c r="I301" s="30"/>
      <c r="J301" s="30"/>
      <c r="K301" s="31">
        <v>46114</v>
      </c>
      <c r="L301" s="31">
        <v>34500</v>
      </c>
      <c r="M301" s="31">
        <v>37530</v>
      </c>
      <c r="N301" s="32">
        <v>0.33663768115942</v>
      </c>
      <c r="O301" s="32">
        <v>0.22872368771649401</v>
      </c>
      <c r="P301" s="30"/>
      <c r="Q301" s="31">
        <v>823.46428571428601</v>
      </c>
    </row>
    <row r="302" spans="1:17" ht="15" customHeight="1" x14ac:dyDescent="0.2">
      <c r="A302" s="17" t="s">
        <v>157</v>
      </c>
      <c r="B302" s="18" t="s">
        <v>148</v>
      </c>
      <c r="C302" s="18" t="s">
        <v>149</v>
      </c>
      <c r="D302" s="20">
        <v>149</v>
      </c>
      <c r="E302" s="17" t="s">
        <v>518</v>
      </c>
      <c r="F302" s="19" t="s">
        <v>501</v>
      </c>
      <c r="G302" s="19" t="s">
        <v>519</v>
      </c>
      <c r="H302" s="19" t="s">
        <v>520</v>
      </c>
      <c r="I302" s="21"/>
      <c r="J302" s="21"/>
      <c r="K302" s="22">
        <v>114688.38</v>
      </c>
      <c r="L302" s="22">
        <v>204925</v>
      </c>
      <c r="M302" s="22">
        <v>159525</v>
      </c>
      <c r="N302" s="23">
        <v>-0.44033973404904198</v>
      </c>
      <c r="O302" s="23">
        <v>-0.28106328161730099</v>
      </c>
      <c r="P302" s="21"/>
      <c r="Q302" s="22">
        <v>769.72067114094</v>
      </c>
    </row>
    <row r="303" spans="1:17" ht="15" customHeight="1" x14ac:dyDescent="0.2">
      <c r="A303" s="26" t="s">
        <v>159</v>
      </c>
      <c r="B303" s="27" t="s">
        <v>148</v>
      </c>
      <c r="C303" s="27" t="s">
        <v>149</v>
      </c>
      <c r="D303" s="29">
        <v>117</v>
      </c>
      <c r="E303" s="26" t="s">
        <v>518</v>
      </c>
      <c r="F303" s="28" t="s">
        <v>501</v>
      </c>
      <c r="G303" s="28" t="s">
        <v>519</v>
      </c>
      <c r="H303" s="28" t="s">
        <v>520</v>
      </c>
      <c r="I303" s="30"/>
      <c r="J303" s="30"/>
      <c r="K303" s="31">
        <v>81010.75</v>
      </c>
      <c r="L303" s="31">
        <v>82535</v>
      </c>
      <c r="M303" s="31">
        <v>82835</v>
      </c>
      <c r="N303" s="32">
        <v>-1.84679226994608E-2</v>
      </c>
      <c r="O303" s="32">
        <v>-2.2022695720407999E-2</v>
      </c>
      <c r="P303" s="30"/>
      <c r="Q303" s="31">
        <v>692.39957264957297</v>
      </c>
    </row>
    <row r="304" spans="1:17" ht="15" customHeight="1" x14ac:dyDescent="0.2">
      <c r="A304" s="17" t="s">
        <v>161</v>
      </c>
      <c r="B304" s="18" t="s">
        <v>148</v>
      </c>
      <c r="C304" s="18" t="s">
        <v>149</v>
      </c>
      <c r="D304" s="20">
        <v>162</v>
      </c>
      <c r="E304" s="17" t="s">
        <v>518</v>
      </c>
      <c r="F304" s="19" t="s">
        <v>501</v>
      </c>
      <c r="G304" s="19" t="s">
        <v>519</v>
      </c>
      <c r="H304" s="19" t="s">
        <v>520</v>
      </c>
      <c r="I304" s="21">
        <v>9319.5</v>
      </c>
      <c r="J304" s="21"/>
      <c r="K304" s="22">
        <v>177291.75</v>
      </c>
      <c r="L304" s="22">
        <v>139800</v>
      </c>
      <c r="M304" s="22">
        <v>139800</v>
      </c>
      <c r="N304" s="23">
        <v>0.26818133047210302</v>
      </c>
      <c r="O304" s="23">
        <v>0.26818133047210302</v>
      </c>
      <c r="P304" s="21">
        <v>57.5277777777778</v>
      </c>
      <c r="Q304" s="22">
        <v>1094.3935185185201</v>
      </c>
    </row>
    <row r="305" spans="1:17" ht="15" customHeight="1" x14ac:dyDescent="0.2">
      <c r="A305" s="26" t="s">
        <v>165</v>
      </c>
      <c r="B305" s="27" t="s">
        <v>148</v>
      </c>
      <c r="C305" s="27" t="s">
        <v>149</v>
      </c>
      <c r="D305" s="29">
        <v>197</v>
      </c>
      <c r="E305" s="26" t="s">
        <v>518</v>
      </c>
      <c r="F305" s="28" t="s">
        <v>501</v>
      </c>
      <c r="G305" s="28" t="s">
        <v>519</v>
      </c>
      <c r="H305" s="28" t="s">
        <v>520</v>
      </c>
      <c r="I305" s="30"/>
      <c r="J305" s="30"/>
      <c r="K305" s="31">
        <v>387658.09</v>
      </c>
      <c r="L305" s="31">
        <v>244060</v>
      </c>
      <c r="M305" s="31">
        <v>261060</v>
      </c>
      <c r="N305" s="32">
        <v>0.58837208063590896</v>
      </c>
      <c r="O305" s="32">
        <v>0.48493867310196898</v>
      </c>
      <c r="P305" s="30"/>
      <c r="Q305" s="31">
        <v>1967.80756345178</v>
      </c>
    </row>
    <row r="306" spans="1:17" ht="15" customHeight="1" x14ac:dyDescent="0.2">
      <c r="A306" s="17" t="s">
        <v>167</v>
      </c>
      <c r="B306" s="18" t="s">
        <v>148</v>
      </c>
      <c r="C306" s="18" t="s">
        <v>149</v>
      </c>
      <c r="D306" s="20">
        <v>119</v>
      </c>
      <c r="E306" s="17" t="s">
        <v>518</v>
      </c>
      <c r="F306" s="19" t="s">
        <v>501</v>
      </c>
      <c r="G306" s="19" t="s">
        <v>519</v>
      </c>
      <c r="H306" s="19" t="s">
        <v>520</v>
      </c>
      <c r="I306" s="21"/>
      <c r="J306" s="21"/>
      <c r="K306" s="22">
        <v>173312.75</v>
      </c>
      <c r="L306" s="22">
        <v>138760</v>
      </c>
      <c r="M306" s="22">
        <v>140370</v>
      </c>
      <c r="N306" s="23">
        <v>0.24901088209858799</v>
      </c>
      <c r="O306" s="23">
        <v>0.23468511790268601</v>
      </c>
      <c r="P306" s="21"/>
      <c r="Q306" s="22">
        <v>1456.4096638655501</v>
      </c>
    </row>
    <row r="307" spans="1:17" ht="15" customHeight="1" x14ac:dyDescent="0.2">
      <c r="A307" s="26" t="s">
        <v>169</v>
      </c>
      <c r="B307" s="27" t="s">
        <v>148</v>
      </c>
      <c r="C307" s="27" t="s">
        <v>149</v>
      </c>
      <c r="D307" s="29">
        <v>211</v>
      </c>
      <c r="E307" s="26" t="s">
        <v>518</v>
      </c>
      <c r="F307" s="28" t="s">
        <v>501</v>
      </c>
      <c r="G307" s="28" t="s">
        <v>519</v>
      </c>
      <c r="H307" s="28" t="s">
        <v>520</v>
      </c>
      <c r="I307" s="30"/>
      <c r="J307" s="30"/>
      <c r="K307" s="31">
        <v>256945.47</v>
      </c>
      <c r="L307" s="31">
        <v>207140</v>
      </c>
      <c r="M307" s="31">
        <v>208010</v>
      </c>
      <c r="N307" s="32">
        <v>0.240443516462296</v>
      </c>
      <c r="O307" s="32">
        <v>0.235255372337868</v>
      </c>
      <c r="P307" s="30"/>
      <c r="Q307" s="31">
        <v>1217.75104265403</v>
      </c>
    </row>
    <row r="308" spans="1:17" ht="15" customHeight="1" x14ac:dyDescent="0.2">
      <c r="A308" s="17" t="s">
        <v>171</v>
      </c>
      <c r="B308" s="18" t="s">
        <v>148</v>
      </c>
      <c r="C308" s="18" t="s">
        <v>149</v>
      </c>
      <c r="D308" s="20">
        <v>211</v>
      </c>
      <c r="E308" s="17" t="s">
        <v>518</v>
      </c>
      <c r="F308" s="19" t="s">
        <v>501</v>
      </c>
      <c r="G308" s="19" t="s">
        <v>519</v>
      </c>
      <c r="H308" s="19" t="s">
        <v>520</v>
      </c>
      <c r="I308" s="21"/>
      <c r="J308" s="21"/>
      <c r="K308" s="22">
        <v>301244.34999999998</v>
      </c>
      <c r="L308" s="22">
        <v>281500</v>
      </c>
      <c r="M308" s="22">
        <v>294635</v>
      </c>
      <c r="N308" s="23">
        <v>7.0139786856127803E-2</v>
      </c>
      <c r="O308" s="23">
        <v>2.24323315288407E-2</v>
      </c>
      <c r="P308" s="21"/>
      <c r="Q308" s="22">
        <v>1427.69834123223</v>
      </c>
    </row>
    <row r="309" spans="1:17" ht="15" customHeight="1" x14ac:dyDescent="0.2">
      <c r="A309" s="26" t="s">
        <v>173</v>
      </c>
      <c r="B309" s="27" t="s">
        <v>148</v>
      </c>
      <c r="C309" s="27" t="s">
        <v>149</v>
      </c>
      <c r="D309" s="29">
        <v>256</v>
      </c>
      <c r="E309" s="26" t="s">
        <v>518</v>
      </c>
      <c r="F309" s="28" t="s">
        <v>501</v>
      </c>
      <c r="G309" s="28" t="s">
        <v>519</v>
      </c>
      <c r="H309" s="28" t="s">
        <v>520</v>
      </c>
      <c r="I309" s="30"/>
      <c r="J309" s="30"/>
      <c r="K309" s="31">
        <v>348602.98</v>
      </c>
      <c r="L309" s="31">
        <v>376600</v>
      </c>
      <c r="M309" s="31">
        <v>266055</v>
      </c>
      <c r="N309" s="32">
        <v>-7.4341529474243301E-2</v>
      </c>
      <c r="O309" s="32">
        <v>0.31026659901148301</v>
      </c>
      <c r="P309" s="30"/>
      <c r="Q309" s="31">
        <v>1361.7303906249999</v>
      </c>
    </row>
    <row r="310" spans="1:17" ht="15" customHeight="1" x14ac:dyDescent="0.2">
      <c r="A310" s="17" t="s">
        <v>175</v>
      </c>
      <c r="B310" s="18" t="s">
        <v>148</v>
      </c>
      <c r="C310" s="18" t="s">
        <v>149</v>
      </c>
      <c r="D310" s="20">
        <v>136</v>
      </c>
      <c r="E310" s="17" t="s">
        <v>518</v>
      </c>
      <c r="F310" s="19" t="s">
        <v>501</v>
      </c>
      <c r="G310" s="19" t="s">
        <v>519</v>
      </c>
      <c r="H310" s="19" t="s">
        <v>520</v>
      </c>
      <c r="I310" s="21"/>
      <c r="J310" s="21"/>
      <c r="K310" s="22">
        <v>232285.5</v>
      </c>
      <c r="L310" s="22">
        <v>205015</v>
      </c>
      <c r="M310" s="22">
        <v>208728</v>
      </c>
      <c r="N310" s="23">
        <v>0.13301709631002601</v>
      </c>
      <c r="O310" s="23">
        <v>0.112862193859952</v>
      </c>
      <c r="P310" s="21"/>
      <c r="Q310" s="22">
        <v>1707.9816176470599</v>
      </c>
    </row>
    <row r="311" spans="1:17" ht="15" customHeight="1" x14ac:dyDescent="0.2">
      <c r="A311" s="26" t="s">
        <v>177</v>
      </c>
      <c r="B311" s="27" t="s">
        <v>148</v>
      </c>
      <c r="C311" s="27" t="s">
        <v>149</v>
      </c>
      <c r="D311" s="29">
        <v>18</v>
      </c>
      <c r="E311" s="26" t="s">
        <v>518</v>
      </c>
      <c r="F311" s="28" t="s">
        <v>501</v>
      </c>
      <c r="G311" s="28" t="s">
        <v>519</v>
      </c>
      <c r="H311" s="28" t="s">
        <v>520</v>
      </c>
      <c r="I311" s="30"/>
      <c r="J311" s="30"/>
      <c r="K311" s="31">
        <v>39476.75</v>
      </c>
      <c r="L311" s="31">
        <v>32400</v>
      </c>
      <c r="M311" s="31">
        <v>32400</v>
      </c>
      <c r="N311" s="32">
        <v>0.21841820987654301</v>
      </c>
      <c r="O311" s="32">
        <v>0.21841820987654301</v>
      </c>
      <c r="P311" s="30"/>
      <c r="Q311" s="31">
        <v>2193.1527777777801</v>
      </c>
    </row>
    <row r="312" spans="1:17" ht="15" customHeight="1" x14ac:dyDescent="0.2">
      <c r="A312" s="17" t="s">
        <v>179</v>
      </c>
      <c r="B312" s="18" t="s">
        <v>148</v>
      </c>
      <c r="C312" s="18" t="s">
        <v>180</v>
      </c>
      <c r="D312" s="20">
        <v>209</v>
      </c>
      <c r="E312" s="17" t="s">
        <v>518</v>
      </c>
      <c r="F312" s="19" t="s">
        <v>501</v>
      </c>
      <c r="G312" s="19" t="s">
        <v>519</v>
      </c>
      <c r="H312" s="19" t="s">
        <v>520</v>
      </c>
      <c r="I312" s="21">
        <v>17765</v>
      </c>
      <c r="J312" s="21">
        <v>2</v>
      </c>
      <c r="K312" s="22">
        <v>373123.5</v>
      </c>
      <c r="L312" s="22">
        <v>230840</v>
      </c>
      <c r="M312" s="22">
        <v>304097</v>
      </c>
      <c r="N312" s="23">
        <v>0.61637281233755004</v>
      </c>
      <c r="O312" s="23">
        <v>0.226988428034476</v>
      </c>
      <c r="P312" s="21">
        <v>85</v>
      </c>
      <c r="Q312" s="22">
        <v>1785.27990430622</v>
      </c>
    </row>
    <row r="313" spans="1:17" ht="15" customHeight="1" x14ac:dyDescent="0.2">
      <c r="A313" s="26" t="s">
        <v>185</v>
      </c>
      <c r="B313" s="27" t="s">
        <v>148</v>
      </c>
      <c r="C313" s="27" t="s">
        <v>180</v>
      </c>
      <c r="D313" s="29">
        <v>117</v>
      </c>
      <c r="E313" s="26" t="s">
        <v>518</v>
      </c>
      <c r="F313" s="28" t="s">
        <v>501</v>
      </c>
      <c r="G313" s="28" t="s">
        <v>519</v>
      </c>
      <c r="H313" s="28" t="s">
        <v>520</v>
      </c>
      <c r="I313" s="30">
        <v>8731</v>
      </c>
      <c r="J313" s="30"/>
      <c r="K313" s="31">
        <v>164177</v>
      </c>
      <c r="L313" s="31">
        <v>183700</v>
      </c>
      <c r="M313" s="31">
        <v>190647</v>
      </c>
      <c r="N313" s="32">
        <v>-0.106276537833424</v>
      </c>
      <c r="O313" s="32">
        <v>-0.13884299254643401</v>
      </c>
      <c r="P313" s="30">
        <v>74.623931623931597</v>
      </c>
      <c r="Q313" s="31">
        <v>1403.2222222222199</v>
      </c>
    </row>
    <row r="314" spans="1:17" ht="15" customHeight="1" x14ac:dyDescent="0.2">
      <c r="A314" s="17" t="s">
        <v>190</v>
      </c>
      <c r="B314" s="18" t="s">
        <v>148</v>
      </c>
      <c r="C314" s="18" t="s">
        <v>180</v>
      </c>
      <c r="D314" s="20">
        <v>75</v>
      </c>
      <c r="E314" s="17" t="s">
        <v>518</v>
      </c>
      <c r="F314" s="19" t="s">
        <v>501</v>
      </c>
      <c r="G314" s="19" t="s">
        <v>519</v>
      </c>
      <c r="H314" s="19" t="s">
        <v>520</v>
      </c>
      <c r="I314" s="21">
        <v>6350</v>
      </c>
      <c r="J314" s="21"/>
      <c r="K314" s="22">
        <v>150592</v>
      </c>
      <c r="L314" s="22">
        <v>125395</v>
      </c>
      <c r="M314" s="22">
        <v>127266</v>
      </c>
      <c r="N314" s="23">
        <v>0.20094102635671299</v>
      </c>
      <c r="O314" s="23">
        <v>0.183285402228404</v>
      </c>
      <c r="P314" s="21">
        <v>84.6666666666667</v>
      </c>
      <c r="Q314" s="22">
        <v>2007.89333333333</v>
      </c>
    </row>
    <row r="315" spans="1:17" ht="15" customHeight="1" x14ac:dyDescent="0.2">
      <c r="A315" s="26" t="s">
        <v>195</v>
      </c>
      <c r="B315" s="27" t="s">
        <v>148</v>
      </c>
      <c r="C315" s="27" t="s">
        <v>180</v>
      </c>
      <c r="D315" s="29">
        <v>49</v>
      </c>
      <c r="E315" s="26" t="s">
        <v>518</v>
      </c>
      <c r="F315" s="28" t="s">
        <v>501</v>
      </c>
      <c r="G315" s="28" t="s">
        <v>519</v>
      </c>
      <c r="H315" s="28" t="s">
        <v>520</v>
      </c>
      <c r="I315" s="30">
        <v>4901</v>
      </c>
      <c r="J315" s="30"/>
      <c r="K315" s="31">
        <v>116564.5</v>
      </c>
      <c r="L315" s="31">
        <v>101805</v>
      </c>
      <c r="M315" s="31">
        <v>101946</v>
      </c>
      <c r="N315" s="32">
        <v>0.14497814449192101</v>
      </c>
      <c r="O315" s="32">
        <v>0.14339454220862</v>
      </c>
      <c r="P315" s="30">
        <v>100.020408163265</v>
      </c>
      <c r="Q315" s="31">
        <v>2378.86734693878</v>
      </c>
    </row>
    <row r="316" spans="1:17" ht="15" customHeight="1" x14ac:dyDescent="0.2">
      <c r="A316" s="17" t="s">
        <v>201</v>
      </c>
      <c r="B316" s="18" t="s">
        <v>148</v>
      </c>
      <c r="C316" s="18" t="s">
        <v>180</v>
      </c>
      <c r="D316" s="20">
        <v>170</v>
      </c>
      <c r="E316" s="17" t="s">
        <v>518</v>
      </c>
      <c r="F316" s="19" t="s">
        <v>501</v>
      </c>
      <c r="G316" s="19" t="s">
        <v>519</v>
      </c>
      <c r="H316" s="19" t="s">
        <v>520</v>
      </c>
      <c r="I316" s="21">
        <v>12672</v>
      </c>
      <c r="J316" s="21">
        <v>148</v>
      </c>
      <c r="K316" s="22">
        <v>278595.5</v>
      </c>
      <c r="L316" s="22">
        <v>301840</v>
      </c>
      <c r="M316" s="22">
        <v>300990</v>
      </c>
      <c r="N316" s="23">
        <v>-7.7009342698118197E-2</v>
      </c>
      <c r="O316" s="23">
        <v>-7.4402804079869794E-2</v>
      </c>
      <c r="P316" s="21">
        <v>74.541176470588198</v>
      </c>
      <c r="Q316" s="22">
        <v>1638.7970588235301</v>
      </c>
    </row>
    <row r="317" spans="1:17" ht="15" customHeight="1" x14ac:dyDescent="0.2">
      <c r="A317" s="26" t="s">
        <v>205</v>
      </c>
      <c r="B317" s="27" t="s">
        <v>148</v>
      </c>
      <c r="C317" s="27" t="s">
        <v>180</v>
      </c>
      <c r="D317" s="29">
        <v>296</v>
      </c>
      <c r="E317" s="26" t="s">
        <v>518</v>
      </c>
      <c r="F317" s="28" t="s">
        <v>501</v>
      </c>
      <c r="G317" s="28" t="s">
        <v>519</v>
      </c>
      <c r="H317" s="28" t="s">
        <v>520</v>
      </c>
      <c r="I317" s="30">
        <v>16225</v>
      </c>
      <c r="J317" s="30"/>
      <c r="K317" s="31">
        <v>366998.59</v>
      </c>
      <c r="L317" s="31">
        <v>348060</v>
      </c>
      <c r="M317" s="31">
        <v>350306</v>
      </c>
      <c r="N317" s="32">
        <v>5.4411854277998099E-2</v>
      </c>
      <c r="O317" s="32">
        <v>4.7651453300828497E-2</v>
      </c>
      <c r="P317" s="30">
        <v>54.8141891891892</v>
      </c>
      <c r="Q317" s="31">
        <v>1239.8601013513501</v>
      </c>
    </row>
    <row r="318" spans="1:17" ht="15" customHeight="1" x14ac:dyDescent="0.2">
      <c r="A318" s="17" t="s">
        <v>210</v>
      </c>
      <c r="B318" s="18" t="s">
        <v>148</v>
      </c>
      <c r="C318" s="18" t="s">
        <v>180</v>
      </c>
      <c r="D318" s="20">
        <v>83</v>
      </c>
      <c r="E318" s="17" t="s">
        <v>518</v>
      </c>
      <c r="F318" s="19" t="s">
        <v>501</v>
      </c>
      <c r="G318" s="19" t="s">
        <v>519</v>
      </c>
      <c r="H318" s="19" t="s">
        <v>520</v>
      </c>
      <c r="I318" s="21">
        <v>4553.5</v>
      </c>
      <c r="J318" s="21"/>
      <c r="K318" s="22">
        <v>103433</v>
      </c>
      <c r="L318" s="22">
        <v>148500</v>
      </c>
      <c r="M318" s="22">
        <v>149251</v>
      </c>
      <c r="N318" s="23">
        <v>-0.30348148148148202</v>
      </c>
      <c r="O318" s="23">
        <v>-0.30698621784778701</v>
      </c>
      <c r="P318" s="21">
        <v>54.861445783132503</v>
      </c>
      <c r="Q318" s="22">
        <v>1246.18072289157</v>
      </c>
    </row>
    <row r="319" spans="1:17" ht="15" customHeight="1" x14ac:dyDescent="0.2">
      <c r="A319" s="26" t="s">
        <v>214</v>
      </c>
      <c r="B319" s="27" t="s">
        <v>148</v>
      </c>
      <c r="C319" s="27" t="s">
        <v>180</v>
      </c>
      <c r="D319" s="29">
        <v>144</v>
      </c>
      <c r="E319" s="26" t="s">
        <v>518</v>
      </c>
      <c r="F319" s="28" t="s">
        <v>501</v>
      </c>
      <c r="G319" s="28" t="s">
        <v>519</v>
      </c>
      <c r="H319" s="28" t="s">
        <v>520</v>
      </c>
      <c r="I319" s="30">
        <v>9692.25</v>
      </c>
      <c r="J319" s="30">
        <v>212.5</v>
      </c>
      <c r="K319" s="31">
        <v>255360.5</v>
      </c>
      <c r="L319" s="31">
        <v>246760</v>
      </c>
      <c r="M319" s="31">
        <v>245447</v>
      </c>
      <c r="N319" s="32">
        <v>3.4853704003890401E-2</v>
      </c>
      <c r="O319" s="32">
        <v>4.03895749387852E-2</v>
      </c>
      <c r="P319" s="30">
        <v>67.3072916666667</v>
      </c>
      <c r="Q319" s="31">
        <v>1773.33680555556</v>
      </c>
    </row>
    <row r="320" spans="1:17" ht="15" customHeight="1" x14ac:dyDescent="0.2">
      <c r="A320" s="17" t="s">
        <v>219</v>
      </c>
      <c r="B320" s="18" t="s">
        <v>148</v>
      </c>
      <c r="C320" s="18" t="s">
        <v>180</v>
      </c>
      <c r="D320" s="20">
        <v>398</v>
      </c>
      <c r="E320" s="17" t="s">
        <v>518</v>
      </c>
      <c r="F320" s="19" t="s">
        <v>501</v>
      </c>
      <c r="G320" s="19" t="s">
        <v>519</v>
      </c>
      <c r="H320" s="19" t="s">
        <v>520</v>
      </c>
      <c r="I320" s="21">
        <v>12464.75</v>
      </c>
      <c r="J320" s="21">
        <v>14.25</v>
      </c>
      <c r="K320" s="22">
        <v>289348.75</v>
      </c>
      <c r="L320" s="22">
        <v>239070</v>
      </c>
      <c r="M320" s="22">
        <v>261460</v>
      </c>
      <c r="N320" s="23">
        <v>0.21030974191659399</v>
      </c>
      <c r="O320" s="23">
        <v>0.10666545551900899</v>
      </c>
      <c r="P320" s="21">
        <v>31.318467336683401</v>
      </c>
      <c r="Q320" s="22">
        <v>727.00690954773904</v>
      </c>
    </row>
    <row r="321" spans="1:17" ht="15" customHeight="1" x14ac:dyDescent="0.2">
      <c r="A321" s="26" t="s">
        <v>224</v>
      </c>
      <c r="B321" s="27" t="s">
        <v>148</v>
      </c>
      <c r="C321" s="27" t="s">
        <v>180</v>
      </c>
      <c r="D321" s="29">
        <v>71</v>
      </c>
      <c r="E321" s="26" t="s">
        <v>518</v>
      </c>
      <c r="F321" s="28" t="s">
        <v>501</v>
      </c>
      <c r="G321" s="28" t="s">
        <v>519</v>
      </c>
      <c r="H321" s="28" t="s">
        <v>520</v>
      </c>
      <c r="I321" s="30">
        <v>3132</v>
      </c>
      <c r="J321" s="30"/>
      <c r="K321" s="31">
        <v>77199.5</v>
      </c>
      <c r="L321" s="31">
        <v>86310</v>
      </c>
      <c r="M321" s="31">
        <v>87991</v>
      </c>
      <c r="N321" s="32">
        <v>-0.105555555555556</v>
      </c>
      <c r="O321" s="32">
        <v>-0.122643224875271</v>
      </c>
      <c r="P321" s="30">
        <v>44.112676056338003</v>
      </c>
      <c r="Q321" s="31">
        <v>1087.3169014084499</v>
      </c>
    </row>
    <row r="322" spans="1:17" ht="15" customHeight="1" x14ac:dyDescent="0.2">
      <c r="A322" s="17" t="s">
        <v>230</v>
      </c>
      <c r="B322" s="18" t="s">
        <v>148</v>
      </c>
      <c r="C322" s="18" t="s">
        <v>180</v>
      </c>
      <c r="D322" s="20">
        <v>139</v>
      </c>
      <c r="E322" s="17" t="s">
        <v>518</v>
      </c>
      <c r="F322" s="19" t="s">
        <v>501</v>
      </c>
      <c r="G322" s="19" t="s">
        <v>519</v>
      </c>
      <c r="H322" s="19" t="s">
        <v>520</v>
      </c>
      <c r="I322" s="21">
        <v>11450.5</v>
      </c>
      <c r="J322" s="21">
        <v>3</v>
      </c>
      <c r="K322" s="22">
        <v>299136</v>
      </c>
      <c r="L322" s="22">
        <v>373450</v>
      </c>
      <c r="M322" s="22">
        <v>329577</v>
      </c>
      <c r="N322" s="23">
        <v>-0.198993171776677</v>
      </c>
      <c r="O322" s="23">
        <v>-9.2363848205426993E-2</v>
      </c>
      <c r="P322" s="21">
        <v>82.377697841726601</v>
      </c>
      <c r="Q322" s="22">
        <v>2152.0575539568299</v>
      </c>
    </row>
    <row r="323" spans="1:17" ht="15" customHeight="1" x14ac:dyDescent="0.2">
      <c r="A323" s="26" t="s">
        <v>236</v>
      </c>
      <c r="B323" s="27" t="s">
        <v>148</v>
      </c>
      <c r="C323" s="27" t="s">
        <v>180</v>
      </c>
      <c r="D323" s="29">
        <v>128</v>
      </c>
      <c r="E323" s="26" t="s">
        <v>518</v>
      </c>
      <c r="F323" s="28" t="s">
        <v>501</v>
      </c>
      <c r="G323" s="28" t="s">
        <v>519</v>
      </c>
      <c r="H323" s="28" t="s">
        <v>520</v>
      </c>
      <c r="I323" s="30">
        <v>10611.5</v>
      </c>
      <c r="J323" s="30"/>
      <c r="K323" s="31">
        <v>248837</v>
      </c>
      <c r="L323" s="31">
        <v>244245</v>
      </c>
      <c r="M323" s="31">
        <v>255005</v>
      </c>
      <c r="N323" s="32">
        <v>1.8800794284427502E-2</v>
      </c>
      <c r="O323" s="32">
        <v>-2.41877610242936E-2</v>
      </c>
      <c r="P323" s="30">
        <v>82.90234375</v>
      </c>
      <c r="Q323" s="31">
        <v>1944.0390625</v>
      </c>
    </row>
    <row r="324" spans="1:17" ht="15" customHeight="1" x14ac:dyDescent="0.2">
      <c r="A324" s="17" t="s">
        <v>239</v>
      </c>
      <c r="B324" s="18" t="s">
        <v>148</v>
      </c>
      <c r="C324" s="18" t="s">
        <v>180</v>
      </c>
      <c r="D324" s="20">
        <v>92</v>
      </c>
      <c r="E324" s="17" t="s">
        <v>518</v>
      </c>
      <c r="F324" s="19" t="s">
        <v>501</v>
      </c>
      <c r="G324" s="19" t="s">
        <v>519</v>
      </c>
      <c r="H324" s="19" t="s">
        <v>520</v>
      </c>
      <c r="I324" s="21">
        <v>2891</v>
      </c>
      <c r="J324" s="21">
        <v>5.5</v>
      </c>
      <c r="K324" s="22">
        <v>65658</v>
      </c>
      <c r="L324" s="22">
        <v>83320</v>
      </c>
      <c r="M324" s="22">
        <v>83320</v>
      </c>
      <c r="N324" s="23">
        <v>-0.211977916466635</v>
      </c>
      <c r="O324" s="23">
        <v>-0.211977916466635</v>
      </c>
      <c r="P324" s="21">
        <v>31.423913043478301</v>
      </c>
      <c r="Q324" s="22">
        <v>713.67391304347802</v>
      </c>
    </row>
    <row r="325" spans="1:17" ht="15" customHeight="1" x14ac:dyDescent="0.2">
      <c r="A325" s="26" t="s">
        <v>245</v>
      </c>
      <c r="B325" s="27" t="s">
        <v>148</v>
      </c>
      <c r="C325" s="27" t="s">
        <v>180</v>
      </c>
      <c r="D325" s="29">
        <v>31</v>
      </c>
      <c r="E325" s="26" t="s">
        <v>518</v>
      </c>
      <c r="F325" s="28" t="s">
        <v>501</v>
      </c>
      <c r="G325" s="28" t="s">
        <v>519</v>
      </c>
      <c r="H325" s="28" t="s">
        <v>520</v>
      </c>
      <c r="I325" s="30">
        <v>2582.5</v>
      </c>
      <c r="J325" s="30">
        <v>2</v>
      </c>
      <c r="K325" s="31">
        <v>66604.5</v>
      </c>
      <c r="L325" s="31">
        <v>66670</v>
      </c>
      <c r="M325" s="31">
        <v>66670</v>
      </c>
      <c r="N325" s="32">
        <v>-9.8245087745612702E-4</v>
      </c>
      <c r="O325" s="32">
        <v>-9.8245087745612702E-4</v>
      </c>
      <c r="P325" s="30">
        <v>83.306451612903203</v>
      </c>
      <c r="Q325" s="31">
        <v>2148.5322580645202</v>
      </c>
    </row>
    <row r="326" spans="1:17" ht="15" customHeight="1" x14ac:dyDescent="0.2">
      <c r="A326" s="17" t="s">
        <v>249</v>
      </c>
      <c r="B326" s="18" t="s">
        <v>148</v>
      </c>
      <c r="C326" s="18" t="s">
        <v>180</v>
      </c>
      <c r="D326" s="20">
        <v>122</v>
      </c>
      <c r="E326" s="17" t="s">
        <v>518</v>
      </c>
      <c r="F326" s="19" t="s">
        <v>501</v>
      </c>
      <c r="G326" s="19" t="s">
        <v>519</v>
      </c>
      <c r="H326" s="19" t="s">
        <v>520</v>
      </c>
      <c r="I326" s="21">
        <v>8156.5</v>
      </c>
      <c r="J326" s="21">
        <v>419</v>
      </c>
      <c r="K326" s="22">
        <v>240637.46</v>
      </c>
      <c r="L326" s="22">
        <v>263000</v>
      </c>
      <c r="M326" s="22">
        <v>265970</v>
      </c>
      <c r="N326" s="23">
        <v>-8.5028669201520898E-2</v>
      </c>
      <c r="O326" s="23">
        <v>-9.52458547956537E-2</v>
      </c>
      <c r="P326" s="21">
        <v>66.856557377049199</v>
      </c>
      <c r="Q326" s="22">
        <v>1972.4381967213101</v>
      </c>
    </row>
    <row r="327" spans="1:17" ht="15" customHeight="1" x14ac:dyDescent="0.2">
      <c r="A327" s="26" t="s">
        <v>254</v>
      </c>
      <c r="B327" s="27" t="s">
        <v>148</v>
      </c>
      <c r="C327" s="27" t="s">
        <v>180</v>
      </c>
      <c r="D327" s="29">
        <v>80</v>
      </c>
      <c r="E327" s="26" t="s">
        <v>518</v>
      </c>
      <c r="F327" s="28" t="s">
        <v>501</v>
      </c>
      <c r="G327" s="28" t="s">
        <v>519</v>
      </c>
      <c r="H327" s="28" t="s">
        <v>520</v>
      </c>
      <c r="I327" s="30">
        <v>7100</v>
      </c>
      <c r="J327" s="30">
        <v>88</v>
      </c>
      <c r="K327" s="31">
        <v>181998</v>
      </c>
      <c r="L327" s="31">
        <v>136655</v>
      </c>
      <c r="M327" s="31">
        <v>143435</v>
      </c>
      <c r="N327" s="32">
        <v>0.33180637371482902</v>
      </c>
      <c r="O327" s="32">
        <v>0.26885348764248601</v>
      </c>
      <c r="P327" s="30">
        <v>88.75</v>
      </c>
      <c r="Q327" s="31">
        <v>2274.9749999999999</v>
      </c>
    </row>
    <row r="328" spans="1:17" ht="15" customHeight="1" x14ac:dyDescent="0.2">
      <c r="A328" s="17" t="s">
        <v>263</v>
      </c>
      <c r="B328" s="18" t="s">
        <v>148</v>
      </c>
      <c r="C328" s="18" t="s">
        <v>180</v>
      </c>
      <c r="D328" s="20">
        <v>55</v>
      </c>
      <c r="E328" s="17" t="s">
        <v>518</v>
      </c>
      <c r="F328" s="19" t="s">
        <v>501</v>
      </c>
      <c r="G328" s="19" t="s">
        <v>519</v>
      </c>
      <c r="H328" s="19" t="s">
        <v>520</v>
      </c>
      <c r="I328" s="21">
        <v>3429.75</v>
      </c>
      <c r="J328" s="21">
        <v>121.5</v>
      </c>
      <c r="K328" s="22">
        <v>86788</v>
      </c>
      <c r="L328" s="22">
        <v>74440</v>
      </c>
      <c r="M328" s="22">
        <v>75910</v>
      </c>
      <c r="N328" s="23">
        <v>0.165878559914025</v>
      </c>
      <c r="O328" s="23">
        <v>0.14330127782900801</v>
      </c>
      <c r="P328" s="21">
        <v>62.359090909090902</v>
      </c>
      <c r="Q328" s="22">
        <v>1577.96363636364</v>
      </c>
    </row>
    <row r="329" spans="1:17" ht="15" customHeight="1" x14ac:dyDescent="0.2">
      <c r="A329" s="26" t="s">
        <v>266</v>
      </c>
      <c r="B329" s="27" t="s">
        <v>148</v>
      </c>
      <c r="C329" s="27" t="s">
        <v>267</v>
      </c>
      <c r="D329" s="29">
        <v>108</v>
      </c>
      <c r="E329" s="26" t="s">
        <v>518</v>
      </c>
      <c r="F329" s="28" t="s">
        <v>501</v>
      </c>
      <c r="G329" s="28" t="s">
        <v>519</v>
      </c>
      <c r="H329" s="28" t="s">
        <v>520</v>
      </c>
      <c r="I329" s="30">
        <v>6131</v>
      </c>
      <c r="J329" s="30">
        <v>632</v>
      </c>
      <c r="K329" s="31">
        <v>187351.59</v>
      </c>
      <c r="L329" s="31">
        <v>155820</v>
      </c>
      <c r="M329" s="31">
        <v>150920</v>
      </c>
      <c r="N329" s="32">
        <v>0.20235906815556401</v>
      </c>
      <c r="O329" s="32">
        <v>0.24139670023853699</v>
      </c>
      <c r="P329" s="30">
        <v>56.768518518518498</v>
      </c>
      <c r="Q329" s="31">
        <v>1734.73694444444</v>
      </c>
    </row>
    <row r="330" spans="1:17" ht="15" customHeight="1" x14ac:dyDescent="0.2">
      <c r="A330" s="17" t="s">
        <v>270</v>
      </c>
      <c r="B330" s="18" t="s">
        <v>148</v>
      </c>
      <c r="C330" s="18" t="s">
        <v>267</v>
      </c>
      <c r="D330" s="20">
        <v>75</v>
      </c>
      <c r="E330" s="17" t="s">
        <v>518</v>
      </c>
      <c r="F330" s="19" t="s">
        <v>501</v>
      </c>
      <c r="G330" s="19" t="s">
        <v>519</v>
      </c>
      <c r="H330" s="19" t="s">
        <v>520</v>
      </c>
      <c r="I330" s="21">
        <v>4990</v>
      </c>
      <c r="J330" s="21">
        <v>71.5</v>
      </c>
      <c r="K330" s="22">
        <v>128045</v>
      </c>
      <c r="L330" s="22">
        <v>105400</v>
      </c>
      <c r="M330" s="22">
        <v>106060</v>
      </c>
      <c r="N330" s="23">
        <v>0.21484819734345401</v>
      </c>
      <c r="O330" s="23">
        <v>0.207288327361871</v>
      </c>
      <c r="P330" s="21">
        <v>66.533333333333303</v>
      </c>
      <c r="Q330" s="22">
        <v>1707.2666666666701</v>
      </c>
    </row>
    <row r="331" spans="1:17" ht="15" customHeight="1" x14ac:dyDescent="0.2">
      <c r="A331" s="26" t="s">
        <v>272</v>
      </c>
      <c r="B331" s="27" t="s">
        <v>148</v>
      </c>
      <c r="C331" s="27" t="s">
        <v>267</v>
      </c>
      <c r="D331" s="29">
        <v>89</v>
      </c>
      <c r="E331" s="26" t="s">
        <v>518</v>
      </c>
      <c r="F331" s="28" t="s">
        <v>501</v>
      </c>
      <c r="G331" s="28" t="s">
        <v>519</v>
      </c>
      <c r="H331" s="28" t="s">
        <v>520</v>
      </c>
      <c r="I331" s="30">
        <v>5253</v>
      </c>
      <c r="J331" s="30">
        <v>136.5</v>
      </c>
      <c r="K331" s="31">
        <v>146478</v>
      </c>
      <c r="L331" s="31">
        <v>139140</v>
      </c>
      <c r="M331" s="31">
        <v>143130</v>
      </c>
      <c r="N331" s="32">
        <v>5.2738249245364403E-2</v>
      </c>
      <c r="O331" s="32">
        <v>2.3391322573883901E-2</v>
      </c>
      <c r="P331" s="30">
        <v>59.022471910112401</v>
      </c>
      <c r="Q331" s="31">
        <v>1645.8202247191</v>
      </c>
    </row>
    <row r="332" spans="1:17" ht="15" customHeight="1" x14ac:dyDescent="0.2">
      <c r="A332" s="17" t="s">
        <v>275</v>
      </c>
      <c r="B332" s="18" t="s">
        <v>148</v>
      </c>
      <c r="C332" s="18" t="s">
        <v>267</v>
      </c>
      <c r="D332" s="20">
        <v>78</v>
      </c>
      <c r="E332" s="17" t="s">
        <v>518</v>
      </c>
      <c r="F332" s="19" t="s">
        <v>501</v>
      </c>
      <c r="G332" s="19" t="s">
        <v>519</v>
      </c>
      <c r="H332" s="19" t="s">
        <v>520</v>
      </c>
      <c r="I332" s="21">
        <v>5294.75</v>
      </c>
      <c r="J332" s="21">
        <v>67</v>
      </c>
      <c r="K332" s="22">
        <v>150429.23000000001</v>
      </c>
      <c r="L332" s="22">
        <v>96130</v>
      </c>
      <c r="M332" s="22">
        <v>98690</v>
      </c>
      <c r="N332" s="23">
        <v>0.56485207531467796</v>
      </c>
      <c r="O332" s="23">
        <v>0.52426010740703199</v>
      </c>
      <c r="P332" s="21">
        <v>67.881410256410305</v>
      </c>
      <c r="Q332" s="22">
        <v>1928.5798717948701</v>
      </c>
    </row>
    <row r="333" spans="1:17" ht="15" customHeight="1" x14ac:dyDescent="0.2">
      <c r="A333" s="26" t="s">
        <v>277</v>
      </c>
      <c r="B333" s="27" t="s">
        <v>148</v>
      </c>
      <c r="C333" s="27" t="s">
        <v>267</v>
      </c>
      <c r="D333" s="29">
        <v>158</v>
      </c>
      <c r="E333" s="26" t="s">
        <v>518</v>
      </c>
      <c r="F333" s="28" t="s">
        <v>501</v>
      </c>
      <c r="G333" s="28" t="s">
        <v>519</v>
      </c>
      <c r="H333" s="28" t="s">
        <v>520</v>
      </c>
      <c r="I333" s="30">
        <v>8560.5</v>
      </c>
      <c r="J333" s="30">
        <v>273.5</v>
      </c>
      <c r="K333" s="31">
        <v>227602.48</v>
      </c>
      <c r="L333" s="31">
        <v>342805</v>
      </c>
      <c r="M333" s="31">
        <v>360476</v>
      </c>
      <c r="N333" s="32">
        <v>-0.33605845889062302</v>
      </c>
      <c r="O333" s="32">
        <v>-0.36860573242046601</v>
      </c>
      <c r="P333" s="30">
        <v>54.180379746835399</v>
      </c>
      <c r="Q333" s="31">
        <v>1440.52202531646</v>
      </c>
    </row>
    <row r="334" spans="1:17" ht="15" customHeight="1" x14ac:dyDescent="0.2">
      <c r="A334" s="17" t="s">
        <v>280</v>
      </c>
      <c r="B334" s="18" t="s">
        <v>148</v>
      </c>
      <c r="C334" s="18" t="s">
        <v>267</v>
      </c>
      <c r="D334" s="20">
        <v>110</v>
      </c>
      <c r="E334" s="17" t="s">
        <v>518</v>
      </c>
      <c r="F334" s="19" t="s">
        <v>501</v>
      </c>
      <c r="G334" s="19" t="s">
        <v>519</v>
      </c>
      <c r="H334" s="19" t="s">
        <v>520</v>
      </c>
      <c r="I334" s="21">
        <v>7414.5</v>
      </c>
      <c r="J334" s="21">
        <v>326</v>
      </c>
      <c r="K334" s="22">
        <v>199226.75</v>
      </c>
      <c r="L334" s="22">
        <v>244210</v>
      </c>
      <c r="M334" s="22">
        <v>248785</v>
      </c>
      <c r="N334" s="23">
        <v>-0.184199049997953</v>
      </c>
      <c r="O334" s="23">
        <v>-0.199201117430713</v>
      </c>
      <c r="P334" s="21">
        <v>67.404545454545499</v>
      </c>
      <c r="Q334" s="22">
        <v>1811.15227272727</v>
      </c>
    </row>
    <row r="335" spans="1:17" ht="15" customHeight="1" x14ac:dyDescent="0.2">
      <c r="A335" s="26" t="s">
        <v>282</v>
      </c>
      <c r="B335" s="27" t="s">
        <v>148</v>
      </c>
      <c r="C335" s="27" t="s">
        <v>267</v>
      </c>
      <c r="D335" s="29">
        <v>70</v>
      </c>
      <c r="E335" s="26" t="s">
        <v>518</v>
      </c>
      <c r="F335" s="28" t="s">
        <v>501</v>
      </c>
      <c r="G335" s="28" t="s">
        <v>519</v>
      </c>
      <c r="H335" s="28" t="s">
        <v>520</v>
      </c>
      <c r="I335" s="30">
        <v>4762</v>
      </c>
      <c r="J335" s="30">
        <v>171.5</v>
      </c>
      <c r="K335" s="31">
        <v>119374</v>
      </c>
      <c r="L335" s="31">
        <v>88827</v>
      </c>
      <c r="M335" s="31">
        <v>105859</v>
      </c>
      <c r="N335" s="32">
        <v>0.34389318563049498</v>
      </c>
      <c r="O335" s="32">
        <v>0.12766982495583801</v>
      </c>
      <c r="P335" s="30">
        <v>68.028571428571396</v>
      </c>
      <c r="Q335" s="31">
        <v>1705.3428571428601</v>
      </c>
    </row>
    <row r="336" spans="1:17" ht="15" customHeight="1" x14ac:dyDescent="0.2">
      <c r="A336" s="17" t="s">
        <v>284</v>
      </c>
      <c r="B336" s="18" t="s">
        <v>148</v>
      </c>
      <c r="C336" s="18" t="s">
        <v>267</v>
      </c>
      <c r="D336" s="20">
        <v>72</v>
      </c>
      <c r="E336" s="17" t="s">
        <v>518</v>
      </c>
      <c r="F336" s="19" t="s">
        <v>501</v>
      </c>
      <c r="G336" s="19" t="s">
        <v>519</v>
      </c>
      <c r="H336" s="19" t="s">
        <v>520</v>
      </c>
      <c r="I336" s="21">
        <v>3279.5</v>
      </c>
      <c r="J336" s="21">
        <v>285</v>
      </c>
      <c r="K336" s="22">
        <v>82885.25</v>
      </c>
      <c r="L336" s="22">
        <v>98181</v>
      </c>
      <c r="M336" s="22">
        <v>104646</v>
      </c>
      <c r="N336" s="23">
        <v>-0.15579134455750099</v>
      </c>
      <c r="O336" s="23">
        <v>-0.20794631424039101</v>
      </c>
      <c r="P336" s="21">
        <v>45.5486111111111</v>
      </c>
      <c r="Q336" s="22">
        <v>1151.1840277777801</v>
      </c>
    </row>
    <row r="337" spans="1:17" ht="15" customHeight="1" x14ac:dyDescent="0.2">
      <c r="A337" s="26" t="s">
        <v>285</v>
      </c>
      <c r="B337" s="27" t="s">
        <v>148</v>
      </c>
      <c r="C337" s="27" t="s">
        <v>267</v>
      </c>
      <c r="D337" s="29">
        <v>296</v>
      </c>
      <c r="E337" s="26" t="s">
        <v>518</v>
      </c>
      <c r="F337" s="28" t="s">
        <v>501</v>
      </c>
      <c r="G337" s="28" t="s">
        <v>519</v>
      </c>
      <c r="H337" s="28" t="s">
        <v>520</v>
      </c>
      <c r="I337" s="30">
        <v>14406</v>
      </c>
      <c r="J337" s="30">
        <v>826</v>
      </c>
      <c r="K337" s="31">
        <v>361459.35</v>
      </c>
      <c r="L337" s="31">
        <v>404800</v>
      </c>
      <c r="M337" s="31">
        <v>432470</v>
      </c>
      <c r="N337" s="32">
        <v>-0.10706682312253001</v>
      </c>
      <c r="O337" s="32">
        <v>-0.16419786343561399</v>
      </c>
      <c r="P337" s="30">
        <v>48.668918918918898</v>
      </c>
      <c r="Q337" s="31">
        <v>1221.1464527026999</v>
      </c>
    </row>
    <row r="338" spans="1:17" ht="15" customHeight="1" x14ac:dyDescent="0.2">
      <c r="A338" s="17" t="s">
        <v>286</v>
      </c>
      <c r="B338" s="18" t="s">
        <v>148</v>
      </c>
      <c r="C338" s="18" t="s">
        <v>267</v>
      </c>
      <c r="D338" s="20">
        <v>50</v>
      </c>
      <c r="E338" s="17" t="s">
        <v>518</v>
      </c>
      <c r="F338" s="19" t="s">
        <v>501</v>
      </c>
      <c r="G338" s="19" t="s">
        <v>519</v>
      </c>
      <c r="H338" s="19" t="s">
        <v>520</v>
      </c>
      <c r="I338" s="21">
        <v>2862.5</v>
      </c>
      <c r="J338" s="21">
        <v>101</v>
      </c>
      <c r="K338" s="22">
        <v>78450</v>
      </c>
      <c r="L338" s="22">
        <v>87940</v>
      </c>
      <c r="M338" s="22">
        <v>91025</v>
      </c>
      <c r="N338" s="23">
        <v>-0.10791448715033</v>
      </c>
      <c r="O338" s="23">
        <v>-0.13814886020324099</v>
      </c>
      <c r="P338" s="21">
        <v>57.25</v>
      </c>
      <c r="Q338" s="22">
        <v>1569</v>
      </c>
    </row>
    <row r="339" spans="1:17" ht="15" customHeight="1" x14ac:dyDescent="0.2">
      <c r="A339" s="26" t="s">
        <v>287</v>
      </c>
      <c r="B339" s="27" t="s">
        <v>148</v>
      </c>
      <c r="C339" s="27" t="s">
        <v>267</v>
      </c>
      <c r="D339" s="29">
        <v>163</v>
      </c>
      <c r="E339" s="26" t="s">
        <v>518</v>
      </c>
      <c r="F339" s="28" t="s">
        <v>501</v>
      </c>
      <c r="G339" s="28" t="s">
        <v>519</v>
      </c>
      <c r="H339" s="28" t="s">
        <v>520</v>
      </c>
      <c r="I339" s="30">
        <v>10088</v>
      </c>
      <c r="J339" s="30">
        <v>88.5</v>
      </c>
      <c r="K339" s="31">
        <v>261842.25</v>
      </c>
      <c r="L339" s="31">
        <v>387125</v>
      </c>
      <c r="M339" s="31">
        <v>326457</v>
      </c>
      <c r="N339" s="32">
        <v>-0.323623506619309</v>
      </c>
      <c r="O339" s="32">
        <v>-0.19792729210891499</v>
      </c>
      <c r="P339" s="30">
        <v>61.889570552147198</v>
      </c>
      <c r="Q339" s="31">
        <v>1606.3941717791399</v>
      </c>
    </row>
    <row r="340" spans="1:17" ht="15" customHeight="1" x14ac:dyDescent="0.2">
      <c r="A340" s="17" t="s">
        <v>289</v>
      </c>
      <c r="B340" s="18" t="s">
        <v>148</v>
      </c>
      <c r="C340" s="18" t="s">
        <v>267</v>
      </c>
      <c r="D340" s="20">
        <v>107</v>
      </c>
      <c r="E340" s="17" t="s">
        <v>518</v>
      </c>
      <c r="F340" s="19" t="s">
        <v>501</v>
      </c>
      <c r="G340" s="19" t="s">
        <v>519</v>
      </c>
      <c r="H340" s="19" t="s">
        <v>520</v>
      </c>
      <c r="I340" s="21">
        <v>7137.5</v>
      </c>
      <c r="J340" s="21">
        <v>303.5</v>
      </c>
      <c r="K340" s="22">
        <v>201052.75</v>
      </c>
      <c r="L340" s="22">
        <v>195065</v>
      </c>
      <c r="M340" s="22">
        <v>211765</v>
      </c>
      <c r="N340" s="23">
        <v>3.0696178197011301E-2</v>
      </c>
      <c r="O340" s="23">
        <v>-5.0585554742285099E-2</v>
      </c>
      <c r="P340" s="21">
        <v>66.705607476635507</v>
      </c>
      <c r="Q340" s="22">
        <v>1878.9976635513999</v>
      </c>
    </row>
    <row r="341" spans="1:17" ht="15" customHeight="1" x14ac:dyDescent="0.2">
      <c r="A341" s="26" t="s">
        <v>292</v>
      </c>
      <c r="B341" s="27" t="s">
        <v>148</v>
      </c>
      <c r="C341" s="27" t="s">
        <v>267</v>
      </c>
      <c r="D341" s="29">
        <v>136</v>
      </c>
      <c r="E341" s="26" t="s">
        <v>518</v>
      </c>
      <c r="F341" s="28" t="s">
        <v>501</v>
      </c>
      <c r="G341" s="28" t="s">
        <v>519</v>
      </c>
      <c r="H341" s="28" t="s">
        <v>520</v>
      </c>
      <c r="I341" s="30">
        <v>11273.5</v>
      </c>
      <c r="J341" s="30">
        <v>338</v>
      </c>
      <c r="K341" s="31">
        <v>301988</v>
      </c>
      <c r="L341" s="31">
        <v>243255</v>
      </c>
      <c r="M341" s="31">
        <v>247365</v>
      </c>
      <c r="N341" s="32">
        <v>0.24144621898830501</v>
      </c>
      <c r="O341" s="32">
        <v>0.22081943686455199</v>
      </c>
      <c r="P341" s="30">
        <v>82.893382352941202</v>
      </c>
      <c r="Q341" s="31">
        <v>2220.5</v>
      </c>
    </row>
    <row r="342" spans="1:17" ht="15" customHeight="1" x14ac:dyDescent="0.2">
      <c r="A342" s="17" t="s">
        <v>295</v>
      </c>
      <c r="B342" s="18" t="s">
        <v>148</v>
      </c>
      <c r="C342" s="18" t="s">
        <v>267</v>
      </c>
      <c r="D342" s="20">
        <v>68</v>
      </c>
      <c r="E342" s="17" t="s">
        <v>518</v>
      </c>
      <c r="F342" s="19" t="s">
        <v>501</v>
      </c>
      <c r="G342" s="19" t="s">
        <v>519</v>
      </c>
      <c r="H342" s="19" t="s">
        <v>520</v>
      </c>
      <c r="I342" s="21">
        <v>4894.5</v>
      </c>
      <c r="J342" s="21">
        <v>245</v>
      </c>
      <c r="K342" s="22">
        <v>147001.5</v>
      </c>
      <c r="L342" s="22">
        <v>91743</v>
      </c>
      <c r="M342" s="22">
        <v>94273</v>
      </c>
      <c r="N342" s="23">
        <v>0.60231843301396304</v>
      </c>
      <c r="O342" s="23">
        <v>0.55931708972876704</v>
      </c>
      <c r="P342" s="21">
        <v>71.977941176470594</v>
      </c>
      <c r="Q342" s="22">
        <v>2161.7867647058802</v>
      </c>
    </row>
    <row r="343" spans="1:17" ht="15" customHeight="1" x14ac:dyDescent="0.2">
      <c r="A343" s="26" t="s">
        <v>298</v>
      </c>
      <c r="B343" s="27" t="s">
        <v>148</v>
      </c>
      <c r="C343" s="27" t="s">
        <v>267</v>
      </c>
      <c r="D343" s="29">
        <v>98</v>
      </c>
      <c r="E343" s="26" t="s">
        <v>518</v>
      </c>
      <c r="F343" s="28" t="s">
        <v>501</v>
      </c>
      <c r="G343" s="28" t="s">
        <v>519</v>
      </c>
      <c r="H343" s="28" t="s">
        <v>520</v>
      </c>
      <c r="I343" s="30">
        <v>5631</v>
      </c>
      <c r="J343" s="30">
        <v>88.5</v>
      </c>
      <c r="K343" s="31">
        <v>182281.5</v>
      </c>
      <c r="L343" s="31">
        <v>143615</v>
      </c>
      <c r="M343" s="31">
        <v>178365</v>
      </c>
      <c r="N343" s="32">
        <v>0.26923719667165702</v>
      </c>
      <c r="O343" s="32">
        <v>2.19577831973762E-2</v>
      </c>
      <c r="P343" s="30">
        <v>57.459183673469397</v>
      </c>
      <c r="Q343" s="31">
        <v>1860.0153061224501</v>
      </c>
    </row>
    <row r="344" spans="1:17" ht="15" customHeight="1" x14ac:dyDescent="0.2">
      <c r="A344" s="17" t="s">
        <v>300</v>
      </c>
      <c r="B344" s="18" t="s">
        <v>148</v>
      </c>
      <c r="C344" s="18" t="s">
        <v>267</v>
      </c>
      <c r="D344" s="20">
        <v>321</v>
      </c>
      <c r="E344" s="17" t="s">
        <v>518</v>
      </c>
      <c r="F344" s="19" t="s">
        <v>501</v>
      </c>
      <c r="G344" s="19" t="s">
        <v>519</v>
      </c>
      <c r="H344" s="19" t="s">
        <v>520</v>
      </c>
      <c r="I344" s="21"/>
      <c r="J344" s="21"/>
      <c r="K344" s="22">
        <v>802553.37</v>
      </c>
      <c r="L344" s="22">
        <v>688305</v>
      </c>
      <c r="M344" s="22">
        <v>692715</v>
      </c>
      <c r="N344" s="23">
        <v>0.16598509381742099</v>
      </c>
      <c r="O344" s="23">
        <v>0.158562135943353</v>
      </c>
      <c r="P344" s="21"/>
      <c r="Q344" s="22">
        <v>2500.16626168224</v>
      </c>
    </row>
    <row r="345" spans="1:17" ht="15" customHeight="1" x14ac:dyDescent="0.2">
      <c r="A345" s="26" t="s">
        <v>302</v>
      </c>
      <c r="B345" s="27" t="s">
        <v>148</v>
      </c>
      <c r="C345" s="27" t="s">
        <v>267</v>
      </c>
      <c r="D345" s="29">
        <v>111</v>
      </c>
      <c r="E345" s="26" t="s">
        <v>518</v>
      </c>
      <c r="F345" s="28" t="s">
        <v>501</v>
      </c>
      <c r="G345" s="28" t="s">
        <v>519</v>
      </c>
      <c r="H345" s="28" t="s">
        <v>520</v>
      </c>
      <c r="I345" s="30">
        <v>3219.5</v>
      </c>
      <c r="J345" s="30">
        <v>126</v>
      </c>
      <c r="K345" s="31">
        <v>96775</v>
      </c>
      <c r="L345" s="31">
        <v>98240</v>
      </c>
      <c r="M345" s="31">
        <v>98240</v>
      </c>
      <c r="N345" s="32">
        <v>-1.4912459283387599E-2</v>
      </c>
      <c r="O345" s="32">
        <v>-1.4912459283387599E-2</v>
      </c>
      <c r="P345" s="30">
        <v>29.004504504504499</v>
      </c>
      <c r="Q345" s="31">
        <v>871.84684684684703</v>
      </c>
    </row>
    <row r="346" spans="1:17" ht="15" customHeight="1" x14ac:dyDescent="0.2">
      <c r="A346" s="17" t="s">
        <v>304</v>
      </c>
      <c r="B346" s="18" t="s">
        <v>148</v>
      </c>
      <c r="C346" s="18" t="s">
        <v>267</v>
      </c>
      <c r="D346" s="20">
        <v>77</v>
      </c>
      <c r="E346" s="17" t="s">
        <v>518</v>
      </c>
      <c r="F346" s="19" t="s">
        <v>501</v>
      </c>
      <c r="G346" s="19" t="s">
        <v>519</v>
      </c>
      <c r="H346" s="19" t="s">
        <v>520</v>
      </c>
      <c r="I346" s="21">
        <v>6483.5</v>
      </c>
      <c r="J346" s="21">
        <v>1</v>
      </c>
      <c r="K346" s="22">
        <v>195332</v>
      </c>
      <c r="L346" s="22">
        <v>93340</v>
      </c>
      <c r="M346" s="22">
        <v>102640</v>
      </c>
      <c r="N346" s="23">
        <v>1.09269337904435</v>
      </c>
      <c r="O346" s="23">
        <v>0.90307872174590798</v>
      </c>
      <c r="P346" s="21">
        <v>84.201298701298697</v>
      </c>
      <c r="Q346" s="22">
        <v>2536.7792207792199</v>
      </c>
    </row>
    <row r="347" spans="1:17" ht="15" customHeight="1" x14ac:dyDescent="0.2">
      <c r="A347" s="26" t="s">
        <v>306</v>
      </c>
      <c r="B347" s="27" t="s">
        <v>148</v>
      </c>
      <c r="C347" s="27" t="s">
        <v>267</v>
      </c>
      <c r="D347" s="29">
        <v>365</v>
      </c>
      <c r="E347" s="26" t="s">
        <v>518</v>
      </c>
      <c r="F347" s="28" t="s">
        <v>501</v>
      </c>
      <c r="G347" s="28" t="s">
        <v>519</v>
      </c>
      <c r="H347" s="28" t="s">
        <v>520</v>
      </c>
      <c r="I347" s="30">
        <v>21647.5</v>
      </c>
      <c r="J347" s="30">
        <v>5</v>
      </c>
      <c r="K347" s="31">
        <v>700399</v>
      </c>
      <c r="L347" s="31">
        <v>559540</v>
      </c>
      <c r="M347" s="31">
        <v>594524</v>
      </c>
      <c r="N347" s="32">
        <v>0.25174071558780398</v>
      </c>
      <c r="O347" s="32">
        <v>0.178083643385297</v>
      </c>
      <c r="P347" s="30">
        <v>59.308219178082197</v>
      </c>
      <c r="Q347" s="31">
        <v>1918.9013698630099</v>
      </c>
    </row>
    <row r="348" spans="1:17" ht="15" customHeight="1" x14ac:dyDescent="0.2">
      <c r="A348" s="17" t="s">
        <v>309</v>
      </c>
      <c r="B348" s="18" t="s">
        <v>148</v>
      </c>
      <c r="C348" s="18" t="s">
        <v>267</v>
      </c>
      <c r="D348" s="20">
        <v>270</v>
      </c>
      <c r="E348" s="17" t="s">
        <v>518</v>
      </c>
      <c r="F348" s="19" t="s">
        <v>501</v>
      </c>
      <c r="G348" s="19" t="s">
        <v>519</v>
      </c>
      <c r="H348" s="19" t="s">
        <v>520</v>
      </c>
      <c r="I348" s="21">
        <v>13201</v>
      </c>
      <c r="J348" s="21">
        <v>646</v>
      </c>
      <c r="K348" s="22">
        <v>422639.89</v>
      </c>
      <c r="L348" s="22">
        <v>479570</v>
      </c>
      <c r="M348" s="22">
        <v>618308</v>
      </c>
      <c r="N348" s="23">
        <v>-0.118710740872031</v>
      </c>
      <c r="O348" s="23">
        <v>-0.31645734811776699</v>
      </c>
      <c r="P348" s="21">
        <v>48.892592592592599</v>
      </c>
      <c r="Q348" s="22">
        <v>1565.3329259259301</v>
      </c>
    </row>
    <row r="349" spans="1:17" ht="15" customHeight="1" x14ac:dyDescent="0.2">
      <c r="A349" s="35" t="s">
        <v>312</v>
      </c>
      <c r="B349" s="36" t="s">
        <v>313</v>
      </c>
      <c r="C349" s="36" t="s">
        <v>267</v>
      </c>
      <c r="D349" s="38">
        <v>170</v>
      </c>
      <c r="E349" s="35" t="s">
        <v>518</v>
      </c>
      <c r="F349" s="37" t="s">
        <v>501</v>
      </c>
      <c r="G349" s="37" t="s">
        <v>519</v>
      </c>
      <c r="H349" s="37" t="s">
        <v>520</v>
      </c>
      <c r="I349" s="39">
        <v>22746.25</v>
      </c>
      <c r="J349" s="39">
        <v>0.5</v>
      </c>
      <c r="K349" s="40">
        <v>797900.1</v>
      </c>
      <c r="L349" s="40">
        <v>1037606</v>
      </c>
      <c r="M349" s="40">
        <v>1069806</v>
      </c>
      <c r="N349" s="41">
        <v>-0.231018228499064</v>
      </c>
      <c r="O349" s="41">
        <v>-0.254163745576301</v>
      </c>
      <c r="P349" s="39">
        <v>133.80147058823499</v>
      </c>
      <c r="Q349" s="40">
        <v>4693.53</v>
      </c>
    </row>
    <row r="350" spans="1:17" ht="15" customHeight="1" x14ac:dyDescent="0.2">
      <c r="A350" s="35" t="s">
        <v>316</v>
      </c>
      <c r="B350" s="36" t="s">
        <v>313</v>
      </c>
      <c r="C350" s="36" t="s">
        <v>267</v>
      </c>
      <c r="D350" s="38">
        <v>234</v>
      </c>
      <c r="E350" s="35" t="s">
        <v>518</v>
      </c>
      <c r="F350" s="37" t="s">
        <v>501</v>
      </c>
      <c r="G350" s="37" t="s">
        <v>519</v>
      </c>
      <c r="H350" s="37" t="s">
        <v>520</v>
      </c>
      <c r="I350" s="39">
        <v>24970.5</v>
      </c>
      <c r="J350" s="39">
        <v>0.25</v>
      </c>
      <c r="K350" s="40">
        <v>1041296.25</v>
      </c>
      <c r="L350" s="40">
        <v>890865</v>
      </c>
      <c r="M350" s="40">
        <v>936025</v>
      </c>
      <c r="N350" s="41">
        <v>0.16885975989628099</v>
      </c>
      <c r="O350" s="41">
        <v>0.112466280280975</v>
      </c>
      <c r="P350" s="39">
        <v>106.71153846153901</v>
      </c>
      <c r="Q350" s="40">
        <v>4449.98397435898</v>
      </c>
    </row>
    <row r="351" spans="1:17" ht="15" customHeight="1" x14ac:dyDescent="0.2">
      <c r="A351" s="35" t="s">
        <v>319</v>
      </c>
      <c r="B351" s="36" t="s">
        <v>313</v>
      </c>
      <c r="C351" s="36" t="s">
        <v>267</v>
      </c>
      <c r="D351" s="38">
        <v>24</v>
      </c>
      <c r="E351" s="35" t="s">
        <v>518</v>
      </c>
      <c r="F351" s="37" t="s">
        <v>501</v>
      </c>
      <c r="G351" s="37" t="s">
        <v>519</v>
      </c>
      <c r="H351" s="37" t="s">
        <v>520</v>
      </c>
      <c r="I351" s="39">
        <v>3215.75</v>
      </c>
      <c r="J351" s="39"/>
      <c r="K351" s="40">
        <v>132816</v>
      </c>
      <c r="L351" s="40">
        <v>86380</v>
      </c>
      <c r="M351" s="40">
        <v>91880</v>
      </c>
      <c r="N351" s="41">
        <v>0.53757814308867802</v>
      </c>
      <c r="O351" s="41">
        <v>0.44553765781454102</v>
      </c>
      <c r="P351" s="39">
        <v>133.989583333333</v>
      </c>
      <c r="Q351" s="40">
        <v>5534</v>
      </c>
    </row>
    <row r="352" spans="1:17" ht="15" customHeight="1" x14ac:dyDescent="0.2">
      <c r="A352" s="35" t="s">
        <v>327</v>
      </c>
      <c r="B352" s="36" t="s">
        <v>313</v>
      </c>
      <c r="C352" s="36" t="s">
        <v>267</v>
      </c>
      <c r="D352" s="38">
        <v>244</v>
      </c>
      <c r="E352" s="35" t="s">
        <v>518</v>
      </c>
      <c r="F352" s="37" t="s">
        <v>501</v>
      </c>
      <c r="G352" s="37" t="s">
        <v>519</v>
      </c>
      <c r="H352" s="37" t="s">
        <v>520</v>
      </c>
      <c r="I352" s="39">
        <v>14998</v>
      </c>
      <c r="J352" s="39">
        <v>2.5</v>
      </c>
      <c r="K352" s="40">
        <v>646310.26</v>
      </c>
      <c r="L352" s="40">
        <v>542930</v>
      </c>
      <c r="M352" s="40">
        <v>565930</v>
      </c>
      <c r="N352" s="41">
        <v>0.190411765789328</v>
      </c>
      <c r="O352" s="41">
        <v>0.14203215945434999</v>
      </c>
      <c r="P352" s="39">
        <v>61.467213114754102</v>
      </c>
      <c r="Q352" s="40">
        <v>2648.8125409836098</v>
      </c>
    </row>
    <row r="353" spans="1:17" ht="15" customHeight="1" x14ac:dyDescent="0.2">
      <c r="A353" s="35" t="s">
        <v>329</v>
      </c>
      <c r="B353" s="36" t="s">
        <v>313</v>
      </c>
      <c r="C353" s="36" t="s">
        <v>330</v>
      </c>
      <c r="D353" s="38">
        <v>186</v>
      </c>
      <c r="E353" s="35" t="s">
        <v>518</v>
      </c>
      <c r="F353" s="37" t="s">
        <v>501</v>
      </c>
      <c r="G353" s="37" t="s">
        <v>519</v>
      </c>
      <c r="H353" s="37" t="s">
        <v>520</v>
      </c>
      <c r="I353" s="39">
        <v>5618.75</v>
      </c>
      <c r="J353" s="39">
        <v>6</v>
      </c>
      <c r="K353" s="40">
        <v>236097</v>
      </c>
      <c r="L353" s="40">
        <v>680615</v>
      </c>
      <c r="M353" s="40">
        <v>682015</v>
      </c>
      <c r="N353" s="41">
        <v>-0.65311225876596901</v>
      </c>
      <c r="O353" s="41">
        <v>-0.65382432937692003</v>
      </c>
      <c r="P353" s="39">
        <v>30.2083333333333</v>
      </c>
      <c r="Q353" s="40">
        <v>1269.33870967742</v>
      </c>
    </row>
    <row r="354" spans="1:17" ht="15" customHeight="1" x14ac:dyDescent="0.2">
      <c r="A354" s="35" t="s">
        <v>334</v>
      </c>
      <c r="B354" s="36" t="s">
        <v>313</v>
      </c>
      <c r="C354" s="36" t="s">
        <v>330</v>
      </c>
      <c r="D354" s="38">
        <v>20</v>
      </c>
      <c r="E354" s="35" t="s">
        <v>518</v>
      </c>
      <c r="F354" s="37" t="s">
        <v>501</v>
      </c>
      <c r="G354" s="37" t="s">
        <v>519</v>
      </c>
      <c r="H354" s="37" t="s">
        <v>520</v>
      </c>
      <c r="I354" s="39">
        <v>1689</v>
      </c>
      <c r="J354" s="39">
        <v>2.25</v>
      </c>
      <c r="K354" s="40">
        <v>67991</v>
      </c>
      <c r="L354" s="40">
        <v>55760</v>
      </c>
      <c r="M354" s="40">
        <v>60410</v>
      </c>
      <c r="N354" s="41">
        <v>0.21935078909612599</v>
      </c>
      <c r="O354" s="41">
        <v>0.125492468134415</v>
      </c>
      <c r="P354" s="39">
        <v>84.45</v>
      </c>
      <c r="Q354" s="40">
        <v>3399.55</v>
      </c>
    </row>
    <row r="355" spans="1:17" ht="15" customHeight="1" x14ac:dyDescent="0.2">
      <c r="A355" s="26" t="s">
        <v>147</v>
      </c>
      <c r="B355" s="27" t="s">
        <v>148</v>
      </c>
      <c r="C355" s="27" t="s">
        <v>149</v>
      </c>
      <c r="D355" s="29">
        <v>234</v>
      </c>
      <c r="E355" s="26" t="s">
        <v>521</v>
      </c>
      <c r="F355" s="28" t="s">
        <v>501</v>
      </c>
      <c r="G355" s="28" t="s">
        <v>522</v>
      </c>
      <c r="H355" s="28" t="s">
        <v>523</v>
      </c>
      <c r="I355" s="30"/>
      <c r="J355" s="30"/>
      <c r="K355" s="31">
        <v>46024.72</v>
      </c>
      <c r="L355" s="31">
        <v>37212</v>
      </c>
      <c r="M355" s="31">
        <v>37212</v>
      </c>
      <c r="N355" s="32">
        <v>0.23682468021068501</v>
      </c>
      <c r="O355" s="32">
        <v>0.23682468021068501</v>
      </c>
      <c r="P355" s="30"/>
      <c r="Q355" s="31">
        <v>196.686837606838</v>
      </c>
    </row>
    <row r="356" spans="1:17" ht="15" customHeight="1" x14ac:dyDescent="0.2">
      <c r="A356" s="17" t="s">
        <v>152</v>
      </c>
      <c r="B356" s="18" t="s">
        <v>148</v>
      </c>
      <c r="C356" s="18" t="s">
        <v>149</v>
      </c>
      <c r="D356" s="20">
        <v>258</v>
      </c>
      <c r="E356" s="17" t="s">
        <v>521</v>
      </c>
      <c r="F356" s="19" t="s">
        <v>501</v>
      </c>
      <c r="G356" s="19" t="s">
        <v>522</v>
      </c>
      <c r="H356" s="19" t="s">
        <v>523</v>
      </c>
      <c r="I356" s="21"/>
      <c r="J356" s="21"/>
      <c r="K356" s="22">
        <v>76368.5</v>
      </c>
      <c r="L356" s="22">
        <v>43650</v>
      </c>
      <c r="M356" s="22">
        <v>49430</v>
      </c>
      <c r="N356" s="23">
        <v>0.74956471935853397</v>
      </c>
      <c r="O356" s="23">
        <v>0.54498280396520304</v>
      </c>
      <c r="P356" s="21"/>
      <c r="Q356" s="22">
        <v>296.00193798449601</v>
      </c>
    </row>
    <row r="357" spans="1:17" ht="15" customHeight="1" x14ac:dyDescent="0.2">
      <c r="A357" s="26" t="s">
        <v>154</v>
      </c>
      <c r="B357" s="27" t="s">
        <v>148</v>
      </c>
      <c r="C357" s="27" t="s">
        <v>149</v>
      </c>
      <c r="D357" s="29">
        <v>56</v>
      </c>
      <c r="E357" s="26" t="s">
        <v>521</v>
      </c>
      <c r="F357" s="28" t="s">
        <v>501</v>
      </c>
      <c r="G357" s="28" t="s">
        <v>522</v>
      </c>
      <c r="H357" s="28" t="s">
        <v>523</v>
      </c>
      <c r="I357" s="30"/>
      <c r="J357" s="30"/>
      <c r="K357" s="31">
        <v>11391.5</v>
      </c>
      <c r="L357" s="31">
        <v>10250</v>
      </c>
      <c r="M357" s="31">
        <v>10320</v>
      </c>
      <c r="N357" s="32">
        <v>0.111365853658537</v>
      </c>
      <c r="O357" s="32">
        <v>0.103827519379845</v>
      </c>
      <c r="P357" s="30"/>
      <c r="Q357" s="31">
        <v>203.419642857143</v>
      </c>
    </row>
    <row r="358" spans="1:17" ht="15" customHeight="1" x14ac:dyDescent="0.2">
      <c r="A358" s="17" t="s">
        <v>157</v>
      </c>
      <c r="B358" s="18" t="s">
        <v>148</v>
      </c>
      <c r="C358" s="18" t="s">
        <v>149</v>
      </c>
      <c r="D358" s="20">
        <v>149</v>
      </c>
      <c r="E358" s="17" t="s">
        <v>521</v>
      </c>
      <c r="F358" s="19" t="s">
        <v>501</v>
      </c>
      <c r="G358" s="19" t="s">
        <v>522</v>
      </c>
      <c r="H358" s="19" t="s">
        <v>523</v>
      </c>
      <c r="I358" s="21"/>
      <c r="J358" s="21"/>
      <c r="K358" s="22">
        <v>29825</v>
      </c>
      <c r="L358" s="22">
        <v>31000</v>
      </c>
      <c r="M358" s="22">
        <v>31500</v>
      </c>
      <c r="N358" s="23">
        <v>-3.7903225806451599E-2</v>
      </c>
      <c r="O358" s="23">
        <v>-5.3174603174603201E-2</v>
      </c>
      <c r="P358" s="21"/>
      <c r="Q358" s="22">
        <v>200.16778523489899</v>
      </c>
    </row>
    <row r="359" spans="1:17" ht="15" customHeight="1" x14ac:dyDescent="0.2">
      <c r="A359" s="26" t="s">
        <v>159</v>
      </c>
      <c r="B359" s="27" t="s">
        <v>148</v>
      </c>
      <c r="C359" s="27" t="s">
        <v>149</v>
      </c>
      <c r="D359" s="29">
        <v>117</v>
      </c>
      <c r="E359" s="26" t="s">
        <v>521</v>
      </c>
      <c r="F359" s="28" t="s">
        <v>501</v>
      </c>
      <c r="G359" s="28" t="s">
        <v>522</v>
      </c>
      <c r="H359" s="28" t="s">
        <v>523</v>
      </c>
      <c r="I359" s="30"/>
      <c r="J359" s="30"/>
      <c r="K359" s="31">
        <v>21869</v>
      </c>
      <c r="L359" s="31">
        <v>24770</v>
      </c>
      <c r="M359" s="31">
        <v>24770</v>
      </c>
      <c r="N359" s="32">
        <v>-0.11711748082357699</v>
      </c>
      <c r="O359" s="32">
        <v>-0.11711748082357699</v>
      </c>
      <c r="P359" s="30"/>
      <c r="Q359" s="31">
        <v>186.91452991452999</v>
      </c>
    </row>
    <row r="360" spans="1:17" ht="15" customHeight="1" x14ac:dyDescent="0.2">
      <c r="A360" s="17" t="s">
        <v>161</v>
      </c>
      <c r="B360" s="18" t="s">
        <v>148</v>
      </c>
      <c r="C360" s="18" t="s">
        <v>149</v>
      </c>
      <c r="D360" s="20">
        <v>162</v>
      </c>
      <c r="E360" s="17" t="s">
        <v>521</v>
      </c>
      <c r="F360" s="19" t="s">
        <v>501</v>
      </c>
      <c r="G360" s="19" t="s">
        <v>522</v>
      </c>
      <c r="H360" s="19" t="s">
        <v>523</v>
      </c>
      <c r="I360" s="21">
        <v>1840.75</v>
      </c>
      <c r="J360" s="21"/>
      <c r="K360" s="22">
        <v>34658.379999999997</v>
      </c>
      <c r="L360" s="22">
        <v>31000</v>
      </c>
      <c r="M360" s="22">
        <v>31000</v>
      </c>
      <c r="N360" s="23">
        <v>0.118012258064516</v>
      </c>
      <c r="O360" s="23">
        <v>0.118012258064516</v>
      </c>
      <c r="P360" s="21">
        <v>11.3626543209877</v>
      </c>
      <c r="Q360" s="22">
        <v>213.94061728395101</v>
      </c>
    </row>
    <row r="361" spans="1:17" ht="15" customHeight="1" x14ac:dyDescent="0.2">
      <c r="A361" s="26" t="s">
        <v>165</v>
      </c>
      <c r="B361" s="27" t="s">
        <v>148</v>
      </c>
      <c r="C361" s="27" t="s">
        <v>149</v>
      </c>
      <c r="D361" s="29">
        <v>197</v>
      </c>
      <c r="E361" s="26" t="s">
        <v>521</v>
      </c>
      <c r="F361" s="28" t="s">
        <v>501</v>
      </c>
      <c r="G361" s="28" t="s">
        <v>522</v>
      </c>
      <c r="H361" s="28" t="s">
        <v>523</v>
      </c>
      <c r="I361" s="30"/>
      <c r="J361" s="30"/>
      <c r="K361" s="31">
        <v>45395.28</v>
      </c>
      <c r="L361" s="31">
        <v>41255</v>
      </c>
      <c r="M361" s="31">
        <v>45665</v>
      </c>
      <c r="N361" s="32">
        <v>0.100358259604896</v>
      </c>
      <c r="O361" s="32">
        <v>-5.9064929376984798E-3</v>
      </c>
      <c r="P361" s="30"/>
      <c r="Q361" s="31">
        <v>230.43289340101501</v>
      </c>
    </row>
    <row r="362" spans="1:17" ht="15" customHeight="1" x14ac:dyDescent="0.2">
      <c r="A362" s="17" t="s">
        <v>167</v>
      </c>
      <c r="B362" s="18" t="s">
        <v>148</v>
      </c>
      <c r="C362" s="18" t="s">
        <v>149</v>
      </c>
      <c r="D362" s="20">
        <v>119</v>
      </c>
      <c r="E362" s="17" t="s">
        <v>521</v>
      </c>
      <c r="F362" s="19" t="s">
        <v>501</v>
      </c>
      <c r="G362" s="19" t="s">
        <v>522</v>
      </c>
      <c r="H362" s="19" t="s">
        <v>523</v>
      </c>
      <c r="I362" s="21"/>
      <c r="J362" s="21"/>
      <c r="K362" s="22">
        <v>36292.5</v>
      </c>
      <c r="L362" s="22">
        <v>23400</v>
      </c>
      <c r="M362" s="22">
        <v>25520</v>
      </c>
      <c r="N362" s="23">
        <v>0.55096153846153895</v>
      </c>
      <c r="O362" s="23">
        <v>0.42211990595611298</v>
      </c>
      <c r="P362" s="21"/>
      <c r="Q362" s="22">
        <v>304.97899159663899</v>
      </c>
    </row>
    <row r="363" spans="1:17" ht="15" customHeight="1" x14ac:dyDescent="0.2">
      <c r="A363" s="26" t="s">
        <v>169</v>
      </c>
      <c r="B363" s="27" t="s">
        <v>148</v>
      </c>
      <c r="C363" s="27" t="s">
        <v>149</v>
      </c>
      <c r="D363" s="29">
        <v>211</v>
      </c>
      <c r="E363" s="26" t="s">
        <v>521</v>
      </c>
      <c r="F363" s="28" t="s">
        <v>501</v>
      </c>
      <c r="G363" s="28" t="s">
        <v>522</v>
      </c>
      <c r="H363" s="28" t="s">
        <v>523</v>
      </c>
      <c r="I363" s="30"/>
      <c r="J363" s="30"/>
      <c r="K363" s="31">
        <v>58292.75</v>
      </c>
      <c r="L363" s="31">
        <v>43900</v>
      </c>
      <c r="M363" s="31">
        <v>44800</v>
      </c>
      <c r="N363" s="32">
        <v>0.327853075170843</v>
      </c>
      <c r="O363" s="32">
        <v>0.30117745535714302</v>
      </c>
      <c r="P363" s="30"/>
      <c r="Q363" s="31">
        <v>276.26895734597201</v>
      </c>
    </row>
    <row r="364" spans="1:17" ht="15" customHeight="1" x14ac:dyDescent="0.2">
      <c r="A364" s="17" t="s">
        <v>171</v>
      </c>
      <c r="B364" s="18" t="s">
        <v>148</v>
      </c>
      <c r="C364" s="18" t="s">
        <v>149</v>
      </c>
      <c r="D364" s="20">
        <v>211</v>
      </c>
      <c r="E364" s="17" t="s">
        <v>521</v>
      </c>
      <c r="F364" s="19" t="s">
        <v>501</v>
      </c>
      <c r="G364" s="19" t="s">
        <v>522</v>
      </c>
      <c r="H364" s="19" t="s">
        <v>523</v>
      </c>
      <c r="I364" s="21"/>
      <c r="J364" s="21"/>
      <c r="K364" s="22">
        <v>36001.25</v>
      </c>
      <c r="L364" s="22">
        <v>54000</v>
      </c>
      <c r="M364" s="22">
        <v>55373</v>
      </c>
      <c r="N364" s="23">
        <v>-0.33331018518518502</v>
      </c>
      <c r="O364" s="23">
        <v>-0.34984107778159002</v>
      </c>
      <c r="P364" s="21"/>
      <c r="Q364" s="22">
        <v>170.62203791469199</v>
      </c>
    </row>
    <row r="365" spans="1:17" ht="15" customHeight="1" x14ac:dyDescent="0.2">
      <c r="A365" s="26" t="s">
        <v>173</v>
      </c>
      <c r="B365" s="27" t="s">
        <v>148</v>
      </c>
      <c r="C365" s="27" t="s">
        <v>149</v>
      </c>
      <c r="D365" s="29">
        <v>256</v>
      </c>
      <c r="E365" s="26" t="s">
        <v>521</v>
      </c>
      <c r="F365" s="28" t="s">
        <v>501</v>
      </c>
      <c r="G365" s="28" t="s">
        <v>522</v>
      </c>
      <c r="H365" s="28" t="s">
        <v>523</v>
      </c>
      <c r="I365" s="30"/>
      <c r="J365" s="30"/>
      <c r="K365" s="31">
        <v>64250.9</v>
      </c>
      <c r="L365" s="31">
        <v>51400</v>
      </c>
      <c r="M365" s="31">
        <v>58664</v>
      </c>
      <c r="N365" s="32">
        <v>0.25001750972762699</v>
      </c>
      <c r="O365" s="32">
        <v>9.5235578889949601E-2</v>
      </c>
      <c r="P365" s="30"/>
      <c r="Q365" s="31">
        <v>250.98007812500001</v>
      </c>
    </row>
    <row r="366" spans="1:17" ht="15" customHeight="1" x14ac:dyDescent="0.2">
      <c r="A366" s="17" t="s">
        <v>175</v>
      </c>
      <c r="B366" s="18" t="s">
        <v>148</v>
      </c>
      <c r="C366" s="18" t="s">
        <v>149</v>
      </c>
      <c r="D366" s="20">
        <v>136</v>
      </c>
      <c r="E366" s="17" t="s">
        <v>521</v>
      </c>
      <c r="F366" s="19" t="s">
        <v>501</v>
      </c>
      <c r="G366" s="19" t="s">
        <v>522</v>
      </c>
      <c r="H366" s="19" t="s">
        <v>523</v>
      </c>
      <c r="I366" s="21"/>
      <c r="J366" s="21"/>
      <c r="K366" s="22">
        <v>30179</v>
      </c>
      <c r="L366" s="22">
        <v>32520</v>
      </c>
      <c r="M366" s="22">
        <v>32580</v>
      </c>
      <c r="N366" s="23">
        <v>-7.1986469864698602E-2</v>
      </c>
      <c r="O366" s="23">
        <v>-7.3695518723143005E-2</v>
      </c>
      <c r="P366" s="21"/>
      <c r="Q366" s="22">
        <v>221.904411764706</v>
      </c>
    </row>
    <row r="367" spans="1:17" ht="15" customHeight="1" x14ac:dyDescent="0.2">
      <c r="A367" s="26" t="s">
        <v>177</v>
      </c>
      <c r="B367" s="27" t="s">
        <v>148</v>
      </c>
      <c r="C367" s="27" t="s">
        <v>149</v>
      </c>
      <c r="D367" s="29">
        <v>18</v>
      </c>
      <c r="E367" s="26" t="s">
        <v>521</v>
      </c>
      <c r="F367" s="28" t="s">
        <v>501</v>
      </c>
      <c r="G367" s="28" t="s">
        <v>522</v>
      </c>
      <c r="H367" s="28" t="s">
        <v>523</v>
      </c>
      <c r="I367" s="30"/>
      <c r="J367" s="30"/>
      <c r="K367" s="31">
        <v>5302</v>
      </c>
      <c r="L367" s="31">
        <v>4480</v>
      </c>
      <c r="M367" s="31">
        <v>4480</v>
      </c>
      <c r="N367" s="32">
        <v>0.18348214285714301</v>
      </c>
      <c r="O367" s="32">
        <v>0.18348214285714301</v>
      </c>
      <c r="P367" s="30"/>
      <c r="Q367" s="31">
        <v>294.555555555556</v>
      </c>
    </row>
    <row r="368" spans="1:17" ht="15" customHeight="1" x14ac:dyDescent="0.2">
      <c r="A368" s="17" t="s">
        <v>179</v>
      </c>
      <c r="B368" s="18" t="s">
        <v>148</v>
      </c>
      <c r="C368" s="18" t="s">
        <v>180</v>
      </c>
      <c r="D368" s="20">
        <v>209</v>
      </c>
      <c r="E368" s="17" t="s">
        <v>521</v>
      </c>
      <c r="F368" s="19" t="s">
        <v>501</v>
      </c>
      <c r="G368" s="19" t="s">
        <v>522</v>
      </c>
      <c r="H368" s="19" t="s">
        <v>523</v>
      </c>
      <c r="I368" s="21">
        <v>2906.5</v>
      </c>
      <c r="J368" s="21"/>
      <c r="K368" s="22">
        <v>62630.5</v>
      </c>
      <c r="L368" s="22">
        <v>46160</v>
      </c>
      <c r="M368" s="22">
        <v>48864</v>
      </c>
      <c r="N368" s="23">
        <v>0.35681325823223597</v>
      </c>
      <c r="O368" s="23">
        <v>0.28173092665356902</v>
      </c>
      <c r="P368" s="21">
        <v>13.906698564593301</v>
      </c>
      <c r="Q368" s="22">
        <v>299.66746411483302</v>
      </c>
    </row>
    <row r="369" spans="1:17" ht="15" customHeight="1" x14ac:dyDescent="0.2">
      <c r="A369" s="26" t="s">
        <v>185</v>
      </c>
      <c r="B369" s="27" t="s">
        <v>148</v>
      </c>
      <c r="C369" s="27" t="s">
        <v>180</v>
      </c>
      <c r="D369" s="29">
        <v>117</v>
      </c>
      <c r="E369" s="26" t="s">
        <v>521</v>
      </c>
      <c r="F369" s="28" t="s">
        <v>501</v>
      </c>
      <c r="G369" s="28" t="s">
        <v>522</v>
      </c>
      <c r="H369" s="28" t="s">
        <v>523</v>
      </c>
      <c r="I369" s="30">
        <v>1150.5</v>
      </c>
      <c r="J369" s="30"/>
      <c r="K369" s="31">
        <v>28250.5</v>
      </c>
      <c r="L369" s="31">
        <v>29900</v>
      </c>
      <c r="M369" s="31">
        <v>31289</v>
      </c>
      <c r="N369" s="32">
        <v>-5.5167224080267599E-2</v>
      </c>
      <c r="O369" s="32">
        <v>-9.7110805714468298E-2</v>
      </c>
      <c r="P369" s="30">
        <v>9.8333333333333304</v>
      </c>
      <c r="Q369" s="31">
        <v>241.45726495726501</v>
      </c>
    </row>
    <row r="370" spans="1:17" ht="15" customHeight="1" x14ac:dyDescent="0.2">
      <c r="A370" s="17" t="s">
        <v>190</v>
      </c>
      <c r="B370" s="18" t="s">
        <v>148</v>
      </c>
      <c r="C370" s="18" t="s">
        <v>180</v>
      </c>
      <c r="D370" s="20">
        <v>75</v>
      </c>
      <c r="E370" s="17" t="s">
        <v>521</v>
      </c>
      <c r="F370" s="19" t="s">
        <v>501</v>
      </c>
      <c r="G370" s="19" t="s">
        <v>522</v>
      </c>
      <c r="H370" s="19" t="s">
        <v>523</v>
      </c>
      <c r="I370" s="21">
        <v>1069</v>
      </c>
      <c r="J370" s="21"/>
      <c r="K370" s="22">
        <v>23808</v>
      </c>
      <c r="L370" s="22">
        <v>24190</v>
      </c>
      <c r="M370" s="22">
        <v>24692</v>
      </c>
      <c r="N370" s="23">
        <v>-1.5791649441918201E-2</v>
      </c>
      <c r="O370" s="23">
        <v>-3.5801069172201501E-2</v>
      </c>
      <c r="P370" s="21">
        <v>14.2533333333333</v>
      </c>
      <c r="Q370" s="22">
        <v>317.44</v>
      </c>
    </row>
    <row r="371" spans="1:17" ht="15" customHeight="1" x14ac:dyDescent="0.2">
      <c r="A371" s="26" t="s">
        <v>195</v>
      </c>
      <c r="B371" s="27" t="s">
        <v>148</v>
      </c>
      <c r="C371" s="27" t="s">
        <v>180</v>
      </c>
      <c r="D371" s="29">
        <v>49</v>
      </c>
      <c r="E371" s="26" t="s">
        <v>521</v>
      </c>
      <c r="F371" s="28" t="s">
        <v>501</v>
      </c>
      <c r="G371" s="28" t="s">
        <v>522</v>
      </c>
      <c r="H371" s="28" t="s">
        <v>523</v>
      </c>
      <c r="I371" s="30">
        <v>625.5</v>
      </c>
      <c r="J371" s="30"/>
      <c r="K371" s="31">
        <v>12520</v>
      </c>
      <c r="L371" s="31">
        <v>16920</v>
      </c>
      <c r="M371" s="31">
        <v>16920</v>
      </c>
      <c r="N371" s="32">
        <v>-0.260047281323877</v>
      </c>
      <c r="O371" s="32">
        <v>-0.260047281323877</v>
      </c>
      <c r="P371" s="30">
        <v>12.765306122448999</v>
      </c>
      <c r="Q371" s="31">
        <v>255.51020408163299</v>
      </c>
    </row>
    <row r="372" spans="1:17" ht="15" customHeight="1" x14ac:dyDescent="0.2">
      <c r="A372" s="17" t="s">
        <v>201</v>
      </c>
      <c r="B372" s="18" t="s">
        <v>148</v>
      </c>
      <c r="C372" s="18" t="s">
        <v>180</v>
      </c>
      <c r="D372" s="20">
        <v>170</v>
      </c>
      <c r="E372" s="17" t="s">
        <v>521</v>
      </c>
      <c r="F372" s="19" t="s">
        <v>501</v>
      </c>
      <c r="G372" s="19" t="s">
        <v>522</v>
      </c>
      <c r="H372" s="19" t="s">
        <v>523</v>
      </c>
      <c r="I372" s="21">
        <v>2157.5</v>
      </c>
      <c r="J372" s="21">
        <v>55</v>
      </c>
      <c r="K372" s="22">
        <v>48849.27</v>
      </c>
      <c r="L372" s="22">
        <v>52080</v>
      </c>
      <c r="M372" s="22">
        <v>53079</v>
      </c>
      <c r="N372" s="23">
        <v>-6.2033986175115297E-2</v>
      </c>
      <c r="O372" s="23">
        <v>-7.9687447012943002E-2</v>
      </c>
      <c r="P372" s="21">
        <v>12.6911764705882</v>
      </c>
      <c r="Q372" s="22">
        <v>287.34864705882399</v>
      </c>
    </row>
    <row r="373" spans="1:17" ht="15" customHeight="1" x14ac:dyDescent="0.2">
      <c r="A373" s="26" t="s">
        <v>205</v>
      </c>
      <c r="B373" s="27" t="s">
        <v>148</v>
      </c>
      <c r="C373" s="27" t="s">
        <v>180</v>
      </c>
      <c r="D373" s="29">
        <v>296</v>
      </c>
      <c r="E373" s="26" t="s">
        <v>521</v>
      </c>
      <c r="F373" s="28" t="s">
        <v>501</v>
      </c>
      <c r="G373" s="28" t="s">
        <v>522</v>
      </c>
      <c r="H373" s="28" t="s">
        <v>523</v>
      </c>
      <c r="I373" s="30">
        <v>19</v>
      </c>
      <c r="J373" s="30"/>
      <c r="K373" s="31">
        <v>719</v>
      </c>
      <c r="L373" s="31">
        <v>83600</v>
      </c>
      <c r="M373" s="31">
        <v>719.5</v>
      </c>
      <c r="N373" s="32">
        <v>-0.9913995215311</v>
      </c>
      <c r="O373" s="32">
        <v>-6.9492703266157095E-4</v>
      </c>
      <c r="P373" s="30">
        <v>6.41891891891892E-2</v>
      </c>
      <c r="Q373" s="31">
        <v>2.4290540540540499</v>
      </c>
    </row>
    <row r="374" spans="1:17" ht="15" customHeight="1" x14ac:dyDescent="0.2">
      <c r="A374" s="17" t="s">
        <v>210</v>
      </c>
      <c r="B374" s="18" t="s">
        <v>148</v>
      </c>
      <c r="C374" s="18" t="s">
        <v>180</v>
      </c>
      <c r="D374" s="20">
        <v>83</v>
      </c>
      <c r="E374" s="17" t="s">
        <v>521</v>
      </c>
      <c r="F374" s="19" t="s">
        <v>501</v>
      </c>
      <c r="G374" s="19" t="s">
        <v>522</v>
      </c>
      <c r="H374" s="19" t="s">
        <v>523</v>
      </c>
      <c r="I374" s="21">
        <v>979</v>
      </c>
      <c r="J374" s="21"/>
      <c r="K374" s="22">
        <v>25915.5</v>
      </c>
      <c r="L374" s="22">
        <v>26200</v>
      </c>
      <c r="M374" s="22">
        <v>26808</v>
      </c>
      <c r="N374" s="23">
        <v>-1.0858778625954199E-2</v>
      </c>
      <c r="O374" s="23">
        <v>-3.3292300805729598E-2</v>
      </c>
      <c r="P374" s="21">
        <v>11.795180722891599</v>
      </c>
      <c r="Q374" s="22">
        <v>312.23493975903602</v>
      </c>
    </row>
    <row r="375" spans="1:17" ht="15" customHeight="1" x14ac:dyDescent="0.2">
      <c r="A375" s="26" t="s">
        <v>214</v>
      </c>
      <c r="B375" s="27" t="s">
        <v>148</v>
      </c>
      <c r="C375" s="27" t="s">
        <v>180</v>
      </c>
      <c r="D375" s="29">
        <v>144</v>
      </c>
      <c r="E375" s="26" t="s">
        <v>521</v>
      </c>
      <c r="F375" s="28" t="s">
        <v>501</v>
      </c>
      <c r="G375" s="28" t="s">
        <v>522</v>
      </c>
      <c r="H375" s="28" t="s">
        <v>523</v>
      </c>
      <c r="I375" s="30">
        <v>1737.5</v>
      </c>
      <c r="J375" s="30">
        <v>126.5</v>
      </c>
      <c r="K375" s="31">
        <v>47557.25</v>
      </c>
      <c r="L375" s="31">
        <v>48300</v>
      </c>
      <c r="M375" s="31">
        <v>48437</v>
      </c>
      <c r="N375" s="32">
        <v>-1.53778467908903E-2</v>
      </c>
      <c r="O375" s="32">
        <v>-1.8162768131800101E-2</v>
      </c>
      <c r="P375" s="30">
        <v>12.0659722222222</v>
      </c>
      <c r="Q375" s="31">
        <v>330.258680555556</v>
      </c>
    </row>
    <row r="376" spans="1:17" ht="15" customHeight="1" x14ac:dyDescent="0.2">
      <c r="A376" s="17" t="s">
        <v>219</v>
      </c>
      <c r="B376" s="18" t="s">
        <v>148</v>
      </c>
      <c r="C376" s="18" t="s">
        <v>180</v>
      </c>
      <c r="D376" s="20">
        <v>398</v>
      </c>
      <c r="E376" s="17" t="s">
        <v>521</v>
      </c>
      <c r="F376" s="19" t="s">
        <v>501</v>
      </c>
      <c r="G376" s="19" t="s">
        <v>522</v>
      </c>
      <c r="H376" s="19" t="s">
        <v>523</v>
      </c>
      <c r="I376" s="21">
        <v>2669.5</v>
      </c>
      <c r="J376" s="21">
        <v>200.5</v>
      </c>
      <c r="K376" s="22">
        <v>69830.75</v>
      </c>
      <c r="L376" s="22">
        <v>62435</v>
      </c>
      <c r="M376" s="22">
        <v>64440</v>
      </c>
      <c r="N376" s="23">
        <v>0.118455193401137</v>
      </c>
      <c r="O376" s="23">
        <v>8.3655338299192999E-2</v>
      </c>
      <c r="P376" s="21">
        <v>6.7072864321608003</v>
      </c>
      <c r="Q376" s="22">
        <v>175.454145728643</v>
      </c>
    </row>
    <row r="377" spans="1:17" ht="15" customHeight="1" x14ac:dyDescent="0.2">
      <c r="A377" s="26" t="s">
        <v>224</v>
      </c>
      <c r="B377" s="27" t="s">
        <v>148</v>
      </c>
      <c r="C377" s="27" t="s">
        <v>180</v>
      </c>
      <c r="D377" s="29">
        <v>71</v>
      </c>
      <c r="E377" s="26" t="s">
        <v>521</v>
      </c>
      <c r="F377" s="28" t="s">
        <v>501</v>
      </c>
      <c r="G377" s="28" t="s">
        <v>522</v>
      </c>
      <c r="H377" s="28" t="s">
        <v>523</v>
      </c>
      <c r="I377" s="30">
        <v>682.5</v>
      </c>
      <c r="J377" s="30">
        <v>19.5</v>
      </c>
      <c r="K377" s="31">
        <v>15430.25</v>
      </c>
      <c r="L377" s="31">
        <v>23215</v>
      </c>
      <c r="M377" s="31">
        <v>24174</v>
      </c>
      <c r="N377" s="32">
        <v>-0.33533275899203102</v>
      </c>
      <c r="O377" s="32">
        <v>-0.36170058740795902</v>
      </c>
      <c r="P377" s="30">
        <v>9.6126760563380298</v>
      </c>
      <c r="Q377" s="31">
        <v>217.32746478873199</v>
      </c>
    </row>
    <row r="378" spans="1:17" ht="15" customHeight="1" x14ac:dyDescent="0.2">
      <c r="A378" s="17" t="s">
        <v>230</v>
      </c>
      <c r="B378" s="18" t="s">
        <v>148</v>
      </c>
      <c r="C378" s="18" t="s">
        <v>180</v>
      </c>
      <c r="D378" s="20">
        <v>139</v>
      </c>
      <c r="E378" s="17" t="s">
        <v>521</v>
      </c>
      <c r="F378" s="19" t="s">
        <v>501</v>
      </c>
      <c r="G378" s="19" t="s">
        <v>522</v>
      </c>
      <c r="H378" s="19" t="s">
        <v>523</v>
      </c>
      <c r="I378" s="21">
        <v>1845</v>
      </c>
      <c r="J378" s="21">
        <v>84</v>
      </c>
      <c r="K378" s="22">
        <v>42783.5</v>
      </c>
      <c r="L378" s="22">
        <v>50580</v>
      </c>
      <c r="M378" s="22">
        <v>51098</v>
      </c>
      <c r="N378" s="23">
        <v>-0.15414195334124201</v>
      </c>
      <c r="O378" s="23">
        <v>-0.16271674038122799</v>
      </c>
      <c r="P378" s="21">
        <v>13.273381294964</v>
      </c>
      <c r="Q378" s="22">
        <v>307.79496402877697</v>
      </c>
    </row>
    <row r="379" spans="1:17" ht="15" customHeight="1" x14ac:dyDescent="0.2">
      <c r="A379" s="26" t="s">
        <v>236</v>
      </c>
      <c r="B379" s="27" t="s">
        <v>148</v>
      </c>
      <c r="C379" s="27" t="s">
        <v>180</v>
      </c>
      <c r="D379" s="29">
        <v>128</v>
      </c>
      <c r="E379" s="26" t="s">
        <v>521</v>
      </c>
      <c r="F379" s="28" t="s">
        <v>501</v>
      </c>
      <c r="G379" s="28" t="s">
        <v>522</v>
      </c>
      <c r="H379" s="28" t="s">
        <v>523</v>
      </c>
      <c r="I379" s="30">
        <v>1468.75</v>
      </c>
      <c r="J379" s="30">
        <v>20.5</v>
      </c>
      <c r="K379" s="31">
        <v>37411.5</v>
      </c>
      <c r="L379" s="31">
        <v>41700</v>
      </c>
      <c r="M379" s="31">
        <v>43230</v>
      </c>
      <c r="N379" s="32">
        <v>-0.102841726618705</v>
      </c>
      <c r="O379" s="32">
        <v>-0.13459403192227601</v>
      </c>
      <c r="P379" s="30">
        <v>11.474609375</v>
      </c>
      <c r="Q379" s="31">
        <v>292.27734375</v>
      </c>
    </row>
    <row r="380" spans="1:17" ht="15" customHeight="1" x14ac:dyDescent="0.2">
      <c r="A380" s="17" t="s">
        <v>239</v>
      </c>
      <c r="B380" s="18" t="s">
        <v>148</v>
      </c>
      <c r="C380" s="18" t="s">
        <v>180</v>
      </c>
      <c r="D380" s="20">
        <v>92</v>
      </c>
      <c r="E380" s="17" t="s">
        <v>521</v>
      </c>
      <c r="F380" s="19" t="s">
        <v>501</v>
      </c>
      <c r="G380" s="19" t="s">
        <v>522</v>
      </c>
      <c r="H380" s="19" t="s">
        <v>523</v>
      </c>
      <c r="I380" s="21">
        <v>590</v>
      </c>
      <c r="J380" s="21"/>
      <c r="K380" s="22">
        <v>15449</v>
      </c>
      <c r="L380" s="22">
        <v>19110</v>
      </c>
      <c r="M380" s="22">
        <v>19284</v>
      </c>
      <c r="N380" s="23">
        <v>-0.191575091575092</v>
      </c>
      <c r="O380" s="23">
        <v>-0.198869529143331</v>
      </c>
      <c r="P380" s="21">
        <v>6.4130434782608701</v>
      </c>
      <c r="Q380" s="22">
        <v>167.923913043478</v>
      </c>
    </row>
    <row r="381" spans="1:17" ht="15" customHeight="1" x14ac:dyDescent="0.2">
      <c r="A381" s="26" t="s">
        <v>245</v>
      </c>
      <c r="B381" s="27" t="s">
        <v>148</v>
      </c>
      <c r="C381" s="27" t="s">
        <v>180</v>
      </c>
      <c r="D381" s="29">
        <v>31</v>
      </c>
      <c r="E381" s="26" t="s">
        <v>521</v>
      </c>
      <c r="F381" s="28" t="s">
        <v>501</v>
      </c>
      <c r="G381" s="28" t="s">
        <v>522</v>
      </c>
      <c r="H381" s="28" t="s">
        <v>523</v>
      </c>
      <c r="I381" s="30">
        <v>731.5</v>
      </c>
      <c r="J381" s="30">
        <v>14.5</v>
      </c>
      <c r="K381" s="31">
        <v>18527.25</v>
      </c>
      <c r="L381" s="31">
        <v>17520</v>
      </c>
      <c r="M381" s="31">
        <v>17520</v>
      </c>
      <c r="N381" s="32">
        <v>5.7491438356164402E-2</v>
      </c>
      <c r="O381" s="32">
        <v>5.7491438356164402E-2</v>
      </c>
      <c r="P381" s="30">
        <v>23.596774193548399</v>
      </c>
      <c r="Q381" s="31">
        <v>597.65322580645204</v>
      </c>
    </row>
    <row r="382" spans="1:17" ht="15" customHeight="1" x14ac:dyDescent="0.2">
      <c r="A382" s="17" t="s">
        <v>249</v>
      </c>
      <c r="B382" s="18" t="s">
        <v>148</v>
      </c>
      <c r="C382" s="18" t="s">
        <v>180</v>
      </c>
      <c r="D382" s="20">
        <v>122</v>
      </c>
      <c r="E382" s="17" t="s">
        <v>521</v>
      </c>
      <c r="F382" s="19" t="s">
        <v>501</v>
      </c>
      <c r="G382" s="19" t="s">
        <v>522</v>
      </c>
      <c r="H382" s="19" t="s">
        <v>523</v>
      </c>
      <c r="I382" s="21">
        <v>1644</v>
      </c>
      <c r="J382" s="21">
        <v>127</v>
      </c>
      <c r="K382" s="22">
        <v>41886.75</v>
      </c>
      <c r="L382" s="22">
        <v>43380</v>
      </c>
      <c r="M382" s="22">
        <v>44150</v>
      </c>
      <c r="N382" s="23">
        <v>-3.4422544951590597E-2</v>
      </c>
      <c r="O382" s="23">
        <v>-5.1262740656851602E-2</v>
      </c>
      <c r="P382" s="21">
        <v>13.4754098360656</v>
      </c>
      <c r="Q382" s="22">
        <v>343.33401639344299</v>
      </c>
    </row>
    <row r="383" spans="1:17" ht="15" customHeight="1" x14ac:dyDescent="0.2">
      <c r="A383" s="26" t="s">
        <v>254</v>
      </c>
      <c r="B383" s="27" t="s">
        <v>148</v>
      </c>
      <c r="C383" s="27" t="s">
        <v>180</v>
      </c>
      <c r="D383" s="29">
        <v>80</v>
      </c>
      <c r="E383" s="26" t="s">
        <v>521</v>
      </c>
      <c r="F383" s="28" t="s">
        <v>501</v>
      </c>
      <c r="G383" s="28" t="s">
        <v>522</v>
      </c>
      <c r="H383" s="28" t="s">
        <v>523</v>
      </c>
      <c r="I383" s="30">
        <v>872.5</v>
      </c>
      <c r="J383" s="30">
        <v>6</v>
      </c>
      <c r="K383" s="31">
        <v>20959</v>
      </c>
      <c r="L383" s="31">
        <v>25860</v>
      </c>
      <c r="M383" s="31">
        <v>26050</v>
      </c>
      <c r="N383" s="32">
        <v>-0.189520494972931</v>
      </c>
      <c r="O383" s="32">
        <v>-0.19543186180422301</v>
      </c>
      <c r="P383" s="30">
        <v>10.90625</v>
      </c>
      <c r="Q383" s="31">
        <v>261.98750000000001</v>
      </c>
    </row>
    <row r="384" spans="1:17" ht="15" customHeight="1" x14ac:dyDescent="0.2">
      <c r="A384" s="17" t="s">
        <v>263</v>
      </c>
      <c r="B384" s="18" t="s">
        <v>148</v>
      </c>
      <c r="C384" s="18" t="s">
        <v>180</v>
      </c>
      <c r="D384" s="20">
        <v>55</v>
      </c>
      <c r="E384" s="17" t="s">
        <v>521</v>
      </c>
      <c r="F384" s="19" t="s">
        <v>501</v>
      </c>
      <c r="G384" s="19" t="s">
        <v>522</v>
      </c>
      <c r="H384" s="19" t="s">
        <v>523</v>
      </c>
      <c r="I384" s="21">
        <v>531.75</v>
      </c>
      <c r="J384" s="21">
        <v>41.25</v>
      </c>
      <c r="K384" s="22">
        <v>13510.25</v>
      </c>
      <c r="L384" s="22">
        <v>16860</v>
      </c>
      <c r="M384" s="22">
        <v>16920</v>
      </c>
      <c r="N384" s="23">
        <v>-0.198680308422301</v>
      </c>
      <c r="O384" s="23">
        <v>-0.20152186761229299</v>
      </c>
      <c r="P384" s="21">
        <v>9.6681818181818198</v>
      </c>
      <c r="Q384" s="22">
        <v>245.64090909090899</v>
      </c>
    </row>
    <row r="385" spans="1:17" ht="15" customHeight="1" x14ac:dyDescent="0.2">
      <c r="A385" s="26" t="s">
        <v>266</v>
      </c>
      <c r="B385" s="27" t="s">
        <v>148</v>
      </c>
      <c r="C385" s="27" t="s">
        <v>267</v>
      </c>
      <c r="D385" s="29">
        <v>108</v>
      </c>
      <c r="E385" s="26" t="s">
        <v>521</v>
      </c>
      <c r="F385" s="28" t="s">
        <v>501</v>
      </c>
      <c r="G385" s="28" t="s">
        <v>522</v>
      </c>
      <c r="H385" s="28" t="s">
        <v>523</v>
      </c>
      <c r="I385" s="30">
        <v>1290</v>
      </c>
      <c r="J385" s="30"/>
      <c r="K385" s="31">
        <v>33336</v>
      </c>
      <c r="L385" s="31">
        <v>42870</v>
      </c>
      <c r="M385" s="31">
        <v>43420</v>
      </c>
      <c r="N385" s="32">
        <v>-0.22239328201539499</v>
      </c>
      <c r="O385" s="32">
        <v>-0.232243205895901</v>
      </c>
      <c r="P385" s="30">
        <v>11.9444444444444</v>
      </c>
      <c r="Q385" s="31">
        <v>308.66666666666703</v>
      </c>
    </row>
    <row r="386" spans="1:17" ht="15" customHeight="1" x14ac:dyDescent="0.2">
      <c r="A386" s="17" t="s">
        <v>270</v>
      </c>
      <c r="B386" s="18" t="s">
        <v>148</v>
      </c>
      <c r="C386" s="18" t="s">
        <v>267</v>
      </c>
      <c r="D386" s="20">
        <v>75</v>
      </c>
      <c r="E386" s="17" t="s">
        <v>521</v>
      </c>
      <c r="F386" s="19" t="s">
        <v>501</v>
      </c>
      <c r="G386" s="19" t="s">
        <v>522</v>
      </c>
      <c r="H386" s="19" t="s">
        <v>523</v>
      </c>
      <c r="I386" s="21">
        <v>651</v>
      </c>
      <c r="J386" s="21">
        <v>33.5</v>
      </c>
      <c r="K386" s="22">
        <v>16956.5</v>
      </c>
      <c r="L386" s="22">
        <v>21840</v>
      </c>
      <c r="M386" s="22">
        <v>22595</v>
      </c>
      <c r="N386" s="23">
        <v>-0.22360347985348</v>
      </c>
      <c r="O386" s="23">
        <v>-0.24954635981411799</v>
      </c>
      <c r="P386" s="21">
        <v>8.68</v>
      </c>
      <c r="Q386" s="22">
        <v>226.08666666666701</v>
      </c>
    </row>
    <row r="387" spans="1:17" ht="15" customHeight="1" x14ac:dyDescent="0.2">
      <c r="A387" s="26" t="s">
        <v>272</v>
      </c>
      <c r="B387" s="27" t="s">
        <v>148</v>
      </c>
      <c r="C387" s="27" t="s">
        <v>267</v>
      </c>
      <c r="D387" s="29">
        <v>89</v>
      </c>
      <c r="E387" s="26" t="s">
        <v>521</v>
      </c>
      <c r="F387" s="28" t="s">
        <v>501</v>
      </c>
      <c r="G387" s="28" t="s">
        <v>522</v>
      </c>
      <c r="H387" s="28" t="s">
        <v>523</v>
      </c>
      <c r="I387" s="30">
        <v>922.5</v>
      </c>
      <c r="J387" s="30">
        <v>164.5</v>
      </c>
      <c r="K387" s="31">
        <v>25473</v>
      </c>
      <c r="L387" s="31">
        <v>30640</v>
      </c>
      <c r="M387" s="31">
        <v>28735</v>
      </c>
      <c r="N387" s="32">
        <v>-0.16863577023498699</v>
      </c>
      <c r="O387" s="32">
        <v>-0.113520097442144</v>
      </c>
      <c r="P387" s="30">
        <v>10.365168539325801</v>
      </c>
      <c r="Q387" s="31">
        <v>286.21348314606701</v>
      </c>
    </row>
    <row r="388" spans="1:17" ht="15" customHeight="1" x14ac:dyDescent="0.2">
      <c r="A388" s="17" t="s">
        <v>275</v>
      </c>
      <c r="B388" s="18" t="s">
        <v>148</v>
      </c>
      <c r="C388" s="18" t="s">
        <v>267</v>
      </c>
      <c r="D388" s="20">
        <v>78</v>
      </c>
      <c r="E388" s="17" t="s">
        <v>521</v>
      </c>
      <c r="F388" s="19" t="s">
        <v>501</v>
      </c>
      <c r="G388" s="19" t="s">
        <v>522</v>
      </c>
      <c r="H388" s="19" t="s">
        <v>523</v>
      </c>
      <c r="I388" s="21">
        <v>741.5</v>
      </c>
      <c r="J388" s="21"/>
      <c r="K388" s="22">
        <v>17219.5</v>
      </c>
      <c r="L388" s="22">
        <v>23100</v>
      </c>
      <c r="M388" s="22">
        <v>22970</v>
      </c>
      <c r="N388" s="23">
        <v>-0.2545670995671</v>
      </c>
      <c r="O388" s="23">
        <v>-0.25034828036569401</v>
      </c>
      <c r="P388" s="21">
        <v>9.5064102564102608</v>
      </c>
      <c r="Q388" s="22">
        <v>220.76282051282101</v>
      </c>
    </row>
    <row r="389" spans="1:17" ht="15" customHeight="1" x14ac:dyDescent="0.2">
      <c r="A389" s="26" t="s">
        <v>277</v>
      </c>
      <c r="B389" s="27" t="s">
        <v>148</v>
      </c>
      <c r="C389" s="27" t="s">
        <v>267</v>
      </c>
      <c r="D389" s="29">
        <v>158</v>
      </c>
      <c r="E389" s="26" t="s">
        <v>521</v>
      </c>
      <c r="F389" s="28" t="s">
        <v>501</v>
      </c>
      <c r="G389" s="28" t="s">
        <v>522</v>
      </c>
      <c r="H389" s="28" t="s">
        <v>523</v>
      </c>
      <c r="I389" s="30">
        <v>2528.5</v>
      </c>
      <c r="J389" s="30"/>
      <c r="K389" s="31">
        <v>67247</v>
      </c>
      <c r="L389" s="31">
        <v>70680</v>
      </c>
      <c r="M389" s="31">
        <v>71030</v>
      </c>
      <c r="N389" s="32">
        <v>-4.8571024335031097E-2</v>
      </c>
      <c r="O389" s="32">
        <v>-5.3259186259327101E-2</v>
      </c>
      <c r="P389" s="30">
        <v>16.003164556961998</v>
      </c>
      <c r="Q389" s="31">
        <v>425.61392405063299</v>
      </c>
    </row>
    <row r="390" spans="1:17" ht="15" customHeight="1" x14ac:dyDescent="0.2">
      <c r="A390" s="17" t="s">
        <v>280</v>
      </c>
      <c r="B390" s="18" t="s">
        <v>148</v>
      </c>
      <c r="C390" s="18" t="s">
        <v>267</v>
      </c>
      <c r="D390" s="20">
        <v>110</v>
      </c>
      <c r="E390" s="17" t="s">
        <v>521</v>
      </c>
      <c r="F390" s="19" t="s">
        <v>501</v>
      </c>
      <c r="G390" s="19" t="s">
        <v>522</v>
      </c>
      <c r="H390" s="19" t="s">
        <v>523</v>
      </c>
      <c r="I390" s="21">
        <v>1052.5</v>
      </c>
      <c r="J390" s="21">
        <v>50</v>
      </c>
      <c r="K390" s="22">
        <v>36570</v>
      </c>
      <c r="L390" s="22">
        <v>35160</v>
      </c>
      <c r="M390" s="22">
        <v>35880</v>
      </c>
      <c r="N390" s="23">
        <v>4.01023890784983E-2</v>
      </c>
      <c r="O390" s="23">
        <v>1.9230769230769201E-2</v>
      </c>
      <c r="P390" s="21">
        <v>9.5681818181818201</v>
      </c>
      <c r="Q390" s="22">
        <v>332.45454545454498</v>
      </c>
    </row>
    <row r="391" spans="1:17" ht="15" customHeight="1" x14ac:dyDescent="0.2">
      <c r="A391" s="26" t="s">
        <v>282</v>
      </c>
      <c r="B391" s="27" t="s">
        <v>148</v>
      </c>
      <c r="C391" s="27" t="s">
        <v>267</v>
      </c>
      <c r="D391" s="29">
        <v>70</v>
      </c>
      <c r="E391" s="26" t="s">
        <v>521</v>
      </c>
      <c r="F391" s="28" t="s">
        <v>501</v>
      </c>
      <c r="G391" s="28" t="s">
        <v>522</v>
      </c>
      <c r="H391" s="28" t="s">
        <v>523</v>
      </c>
      <c r="I391" s="30">
        <v>923.5</v>
      </c>
      <c r="J391" s="30">
        <v>47.5</v>
      </c>
      <c r="K391" s="31">
        <v>23539.75</v>
      </c>
      <c r="L391" s="31">
        <v>25980</v>
      </c>
      <c r="M391" s="31">
        <v>26220</v>
      </c>
      <c r="N391" s="32">
        <v>-9.3928021555042401E-2</v>
      </c>
      <c r="O391" s="32">
        <v>-0.102221586575134</v>
      </c>
      <c r="P391" s="30">
        <v>13.1928571428571</v>
      </c>
      <c r="Q391" s="31">
        <v>336.28214285714301</v>
      </c>
    </row>
    <row r="392" spans="1:17" ht="15" customHeight="1" x14ac:dyDescent="0.2">
      <c r="A392" s="17" t="s">
        <v>284</v>
      </c>
      <c r="B392" s="18" t="s">
        <v>148</v>
      </c>
      <c r="C392" s="18" t="s">
        <v>267</v>
      </c>
      <c r="D392" s="20">
        <v>72</v>
      </c>
      <c r="E392" s="17" t="s">
        <v>521</v>
      </c>
      <c r="F392" s="19" t="s">
        <v>501</v>
      </c>
      <c r="G392" s="19" t="s">
        <v>522</v>
      </c>
      <c r="H392" s="19" t="s">
        <v>523</v>
      </c>
      <c r="I392" s="21">
        <v>1224.5</v>
      </c>
      <c r="J392" s="21">
        <v>49</v>
      </c>
      <c r="K392" s="22">
        <v>26670.5</v>
      </c>
      <c r="L392" s="22">
        <v>26460</v>
      </c>
      <c r="M392" s="22">
        <v>27252</v>
      </c>
      <c r="N392" s="23">
        <v>7.9554043839758105E-3</v>
      </c>
      <c r="O392" s="23">
        <v>-2.13378834580948E-2</v>
      </c>
      <c r="P392" s="21">
        <v>17.0069444444444</v>
      </c>
      <c r="Q392" s="22">
        <v>370.42361111111097</v>
      </c>
    </row>
    <row r="393" spans="1:17" ht="15" customHeight="1" x14ac:dyDescent="0.2">
      <c r="A393" s="26" t="s">
        <v>285</v>
      </c>
      <c r="B393" s="27" t="s">
        <v>148</v>
      </c>
      <c r="C393" s="27" t="s">
        <v>267</v>
      </c>
      <c r="D393" s="29">
        <v>296</v>
      </c>
      <c r="E393" s="26" t="s">
        <v>521</v>
      </c>
      <c r="F393" s="28" t="s">
        <v>501</v>
      </c>
      <c r="G393" s="28" t="s">
        <v>522</v>
      </c>
      <c r="H393" s="28" t="s">
        <v>523</v>
      </c>
      <c r="I393" s="30">
        <v>3028.5</v>
      </c>
      <c r="J393" s="30">
        <v>303.5</v>
      </c>
      <c r="K393" s="31">
        <v>83036.25</v>
      </c>
      <c r="L393" s="31">
        <v>83990</v>
      </c>
      <c r="M393" s="31">
        <v>84050</v>
      </c>
      <c r="N393" s="32">
        <v>-1.1355518514108799E-2</v>
      </c>
      <c r="O393" s="32">
        <v>-1.20612730517549E-2</v>
      </c>
      <c r="P393" s="30">
        <v>10.2314189189189</v>
      </c>
      <c r="Q393" s="31">
        <v>280.52787162162201</v>
      </c>
    </row>
    <row r="394" spans="1:17" ht="15" customHeight="1" x14ac:dyDescent="0.2">
      <c r="A394" s="17" t="s">
        <v>286</v>
      </c>
      <c r="B394" s="18" t="s">
        <v>148</v>
      </c>
      <c r="C394" s="18" t="s">
        <v>267</v>
      </c>
      <c r="D394" s="20">
        <v>50</v>
      </c>
      <c r="E394" s="17" t="s">
        <v>521</v>
      </c>
      <c r="F394" s="19" t="s">
        <v>501</v>
      </c>
      <c r="G394" s="19" t="s">
        <v>522</v>
      </c>
      <c r="H394" s="19" t="s">
        <v>523</v>
      </c>
      <c r="I394" s="21">
        <v>503</v>
      </c>
      <c r="J394" s="21">
        <v>1.5</v>
      </c>
      <c r="K394" s="22">
        <v>12091.25</v>
      </c>
      <c r="L394" s="22">
        <v>15480</v>
      </c>
      <c r="M394" s="22">
        <v>15750</v>
      </c>
      <c r="N394" s="23">
        <v>-0.21891149870800999</v>
      </c>
      <c r="O394" s="23">
        <v>-0.23230158730158701</v>
      </c>
      <c r="P394" s="21">
        <v>10.06</v>
      </c>
      <c r="Q394" s="22">
        <v>241.82499999999999</v>
      </c>
    </row>
    <row r="395" spans="1:17" ht="15" customHeight="1" x14ac:dyDescent="0.2">
      <c r="A395" s="26" t="s">
        <v>287</v>
      </c>
      <c r="B395" s="27" t="s">
        <v>148</v>
      </c>
      <c r="C395" s="27" t="s">
        <v>267</v>
      </c>
      <c r="D395" s="29">
        <v>163</v>
      </c>
      <c r="E395" s="26" t="s">
        <v>521</v>
      </c>
      <c r="F395" s="28" t="s">
        <v>501</v>
      </c>
      <c r="G395" s="28" t="s">
        <v>522</v>
      </c>
      <c r="H395" s="28" t="s">
        <v>523</v>
      </c>
      <c r="I395" s="30">
        <v>2738.5</v>
      </c>
      <c r="J395" s="30"/>
      <c r="K395" s="31">
        <v>74007.5</v>
      </c>
      <c r="L395" s="31">
        <v>59000</v>
      </c>
      <c r="M395" s="31">
        <v>59314</v>
      </c>
      <c r="N395" s="32">
        <v>0.25436440677966099</v>
      </c>
      <c r="O395" s="32">
        <v>0.24772397747580699</v>
      </c>
      <c r="P395" s="30">
        <v>16.800613496932499</v>
      </c>
      <c r="Q395" s="31">
        <v>454.03374233128801</v>
      </c>
    </row>
    <row r="396" spans="1:17" ht="15" customHeight="1" x14ac:dyDescent="0.2">
      <c r="A396" s="17" t="s">
        <v>289</v>
      </c>
      <c r="B396" s="18" t="s">
        <v>148</v>
      </c>
      <c r="C396" s="18" t="s">
        <v>267</v>
      </c>
      <c r="D396" s="20">
        <v>107</v>
      </c>
      <c r="E396" s="17" t="s">
        <v>521</v>
      </c>
      <c r="F396" s="19" t="s">
        <v>501</v>
      </c>
      <c r="G396" s="19" t="s">
        <v>522</v>
      </c>
      <c r="H396" s="19" t="s">
        <v>523</v>
      </c>
      <c r="I396" s="21">
        <v>1130</v>
      </c>
      <c r="J396" s="21"/>
      <c r="K396" s="22">
        <v>34751</v>
      </c>
      <c r="L396" s="22">
        <v>35640</v>
      </c>
      <c r="M396" s="22">
        <v>35780</v>
      </c>
      <c r="N396" s="23">
        <v>-2.49438832772166E-2</v>
      </c>
      <c r="O396" s="23">
        <v>-2.8759083286752401E-2</v>
      </c>
      <c r="P396" s="21">
        <v>10.5607476635514</v>
      </c>
      <c r="Q396" s="22">
        <v>324.77570093457899</v>
      </c>
    </row>
    <row r="397" spans="1:17" ht="15" customHeight="1" x14ac:dyDescent="0.2">
      <c r="A397" s="26" t="s">
        <v>292</v>
      </c>
      <c r="B397" s="27" t="s">
        <v>148</v>
      </c>
      <c r="C397" s="27" t="s">
        <v>267</v>
      </c>
      <c r="D397" s="29">
        <v>136</v>
      </c>
      <c r="E397" s="26" t="s">
        <v>521</v>
      </c>
      <c r="F397" s="28" t="s">
        <v>501</v>
      </c>
      <c r="G397" s="28" t="s">
        <v>522</v>
      </c>
      <c r="H397" s="28" t="s">
        <v>523</v>
      </c>
      <c r="I397" s="30">
        <v>2180.5</v>
      </c>
      <c r="J397" s="30">
        <v>6</v>
      </c>
      <c r="K397" s="31">
        <v>58885.5</v>
      </c>
      <c r="L397" s="31">
        <v>46860</v>
      </c>
      <c r="M397" s="31">
        <v>47430</v>
      </c>
      <c r="N397" s="32">
        <v>0.25662612035851501</v>
      </c>
      <c r="O397" s="32">
        <v>0.24152435167615399</v>
      </c>
      <c r="P397" s="30">
        <v>16.033088235294102</v>
      </c>
      <c r="Q397" s="31">
        <v>432.98161764705901</v>
      </c>
    </row>
    <row r="398" spans="1:17" ht="15" customHeight="1" x14ac:dyDescent="0.2">
      <c r="A398" s="17" t="s">
        <v>295</v>
      </c>
      <c r="B398" s="18" t="s">
        <v>148</v>
      </c>
      <c r="C398" s="18" t="s">
        <v>267</v>
      </c>
      <c r="D398" s="20">
        <v>68</v>
      </c>
      <c r="E398" s="17" t="s">
        <v>521</v>
      </c>
      <c r="F398" s="19" t="s">
        <v>501</v>
      </c>
      <c r="G398" s="19" t="s">
        <v>522</v>
      </c>
      <c r="H398" s="19" t="s">
        <v>523</v>
      </c>
      <c r="I398" s="21"/>
      <c r="J398" s="21"/>
      <c r="K398" s="22">
        <v>21750</v>
      </c>
      <c r="L398" s="22">
        <v>20700</v>
      </c>
      <c r="M398" s="22">
        <v>20700</v>
      </c>
      <c r="N398" s="23">
        <v>5.0724637681159403E-2</v>
      </c>
      <c r="O398" s="23">
        <v>5.0724637681159403E-2</v>
      </c>
      <c r="P398" s="21"/>
      <c r="Q398" s="22">
        <v>319.85294117647101</v>
      </c>
    </row>
    <row r="399" spans="1:17" ht="15" customHeight="1" x14ac:dyDescent="0.2">
      <c r="A399" s="26" t="s">
        <v>298</v>
      </c>
      <c r="B399" s="27" t="s">
        <v>148</v>
      </c>
      <c r="C399" s="27" t="s">
        <v>267</v>
      </c>
      <c r="D399" s="29">
        <v>98</v>
      </c>
      <c r="E399" s="26" t="s">
        <v>521</v>
      </c>
      <c r="F399" s="28" t="s">
        <v>501</v>
      </c>
      <c r="G399" s="28" t="s">
        <v>522</v>
      </c>
      <c r="H399" s="28" t="s">
        <v>523</v>
      </c>
      <c r="I399" s="30">
        <v>1020.5</v>
      </c>
      <c r="J399" s="30"/>
      <c r="K399" s="31">
        <v>32494.5</v>
      </c>
      <c r="L399" s="31">
        <v>29055</v>
      </c>
      <c r="M399" s="31">
        <v>32055</v>
      </c>
      <c r="N399" s="32">
        <v>0.118378936499742</v>
      </c>
      <c r="O399" s="32">
        <v>1.37108095460927E-2</v>
      </c>
      <c r="P399" s="30">
        <v>10.413265306122501</v>
      </c>
      <c r="Q399" s="31">
        <v>331.57653061224499</v>
      </c>
    </row>
    <row r="400" spans="1:17" ht="15" customHeight="1" x14ac:dyDescent="0.2">
      <c r="A400" s="17" t="s">
        <v>300</v>
      </c>
      <c r="B400" s="18" t="s">
        <v>148</v>
      </c>
      <c r="C400" s="18" t="s">
        <v>267</v>
      </c>
      <c r="D400" s="20">
        <v>321</v>
      </c>
      <c r="E400" s="17" t="s">
        <v>521</v>
      </c>
      <c r="F400" s="19" t="s">
        <v>501</v>
      </c>
      <c r="G400" s="19" t="s">
        <v>522</v>
      </c>
      <c r="H400" s="19" t="s">
        <v>523</v>
      </c>
      <c r="I400" s="21">
        <v>3715</v>
      </c>
      <c r="J400" s="21"/>
      <c r="K400" s="22">
        <v>119715</v>
      </c>
      <c r="L400" s="22">
        <v>105170</v>
      </c>
      <c r="M400" s="22">
        <v>105765</v>
      </c>
      <c r="N400" s="23">
        <v>0.13829989540743601</v>
      </c>
      <c r="O400" s="23">
        <v>0.13189618493830699</v>
      </c>
      <c r="P400" s="21">
        <v>11.5732087227414</v>
      </c>
      <c r="Q400" s="22">
        <v>372.94392523364502</v>
      </c>
    </row>
    <row r="401" spans="1:17" ht="15" customHeight="1" x14ac:dyDescent="0.2">
      <c r="A401" s="26" t="s">
        <v>302</v>
      </c>
      <c r="B401" s="27" t="s">
        <v>148</v>
      </c>
      <c r="C401" s="27" t="s">
        <v>267</v>
      </c>
      <c r="D401" s="29">
        <v>111</v>
      </c>
      <c r="E401" s="26" t="s">
        <v>521</v>
      </c>
      <c r="F401" s="28" t="s">
        <v>501</v>
      </c>
      <c r="G401" s="28" t="s">
        <v>522</v>
      </c>
      <c r="H401" s="28" t="s">
        <v>523</v>
      </c>
      <c r="I401" s="30">
        <v>685.5</v>
      </c>
      <c r="J401" s="30"/>
      <c r="K401" s="31">
        <v>17090.5</v>
      </c>
      <c r="L401" s="31">
        <v>23058</v>
      </c>
      <c r="M401" s="31">
        <v>23938</v>
      </c>
      <c r="N401" s="32">
        <v>-0.25880388585306602</v>
      </c>
      <c r="O401" s="32">
        <v>-0.28605146628791001</v>
      </c>
      <c r="P401" s="30">
        <v>6.1756756756756799</v>
      </c>
      <c r="Q401" s="31">
        <v>153.96846846846901</v>
      </c>
    </row>
    <row r="402" spans="1:17" ht="15" customHeight="1" x14ac:dyDescent="0.2">
      <c r="A402" s="17" t="s">
        <v>304</v>
      </c>
      <c r="B402" s="18" t="s">
        <v>148</v>
      </c>
      <c r="C402" s="18" t="s">
        <v>267</v>
      </c>
      <c r="D402" s="20">
        <v>77</v>
      </c>
      <c r="E402" s="17" t="s">
        <v>521</v>
      </c>
      <c r="F402" s="19" t="s">
        <v>501</v>
      </c>
      <c r="G402" s="19" t="s">
        <v>522</v>
      </c>
      <c r="H402" s="19" t="s">
        <v>523</v>
      </c>
      <c r="I402" s="21">
        <v>708</v>
      </c>
      <c r="J402" s="21"/>
      <c r="K402" s="22">
        <v>25477</v>
      </c>
      <c r="L402" s="22">
        <v>23100</v>
      </c>
      <c r="M402" s="22">
        <v>23310</v>
      </c>
      <c r="N402" s="23">
        <v>0.10290043290043301</v>
      </c>
      <c r="O402" s="23">
        <v>9.2964392964393003E-2</v>
      </c>
      <c r="P402" s="21">
        <v>9.1948051948052001</v>
      </c>
      <c r="Q402" s="22">
        <v>330.87012987012997</v>
      </c>
    </row>
    <row r="403" spans="1:17" ht="15" customHeight="1" x14ac:dyDescent="0.2">
      <c r="A403" s="26" t="s">
        <v>306</v>
      </c>
      <c r="B403" s="27" t="s">
        <v>148</v>
      </c>
      <c r="C403" s="27" t="s">
        <v>267</v>
      </c>
      <c r="D403" s="29">
        <v>365</v>
      </c>
      <c r="E403" s="26" t="s">
        <v>521</v>
      </c>
      <c r="F403" s="28" t="s">
        <v>501</v>
      </c>
      <c r="G403" s="28" t="s">
        <v>522</v>
      </c>
      <c r="H403" s="28" t="s">
        <v>523</v>
      </c>
      <c r="I403" s="30">
        <v>5104</v>
      </c>
      <c r="J403" s="30">
        <v>34.5</v>
      </c>
      <c r="K403" s="31">
        <v>171108.5</v>
      </c>
      <c r="L403" s="31">
        <v>184290</v>
      </c>
      <c r="M403" s="31">
        <v>189240</v>
      </c>
      <c r="N403" s="32">
        <v>-7.1525855987845305E-2</v>
      </c>
      <c r="O403" s="32">
        <v>-9.5812196153033199E-2</v>
      </c>
      <c r="P403" s="30">
        <v>13.9835616438356</v>
      </c>
      <c r="Q403" s="31">
        <v>468.79041095890398</v>
      </c>
    </row>
    <row r="404" spans="1:17" ht="15" customHeight="1" x14ac:dyDescent="0.2">
      <c r="A404" s="17" t="s">
        <v>309</v>
      </c>
      <c r="B404" s="18" t="s">
        <v>148</v>
      </c>
      <c r="C404" s="18" t="s">
        <v>267</v>
      </c>
      <c r="D404" s="20">
        <v>270</v>
      </c>
      <c r="E404" s="17" t="s">
        <v>521</v>
      </c>
      <c r="F404" s="19" t="s">
        <v>501</v>
      </c>
      <c r="G404" s="19" t="s">
        <v>522</v>
      </c>
      <c r="H404" s="19" t="s">
        <v>523</v>
      </c>
      <c r="I404" s="21">
        <v>3366.5</v>
      </c>
      <c r="J404" s="21">
        <v>4</v>
      </c>
      <c r="K404" s="22">
        <v>107754</v>
      </c>
      <c r="L404" s="22">
        <v>110025</v>
      </c>
      <c r="M404" s="22">
        <v>129670</v>
      </c>
      <c r="N404" s="23">
        <v>-2.0640763462849401E-2</v>
      </c>
      <c r="O404" s="23">
        <v>-0.169013650034704</v>
      </c>
      <c r="P404" s="21">
        <v>12.468518518518501</v>
      </c>
      <c r="Q404" s="22">
        <v>399.08888888888902</v>
      </c>
    </row>
    <row r="405" spans="1:17" ht="15" customHeight="1" x14ac:dyDescent="0.2">
      <c r="A405" s="35" t="s">
        <v>312</v>
      </c>
      <c r="B405" s="36" t="s">
        <v>313</v>
      </c>
      <c r="C405" s="36" t="s">
        <v>267</v>
      </c>
      <c r="D405" s="38">
        <v>170</v>
      </c>
      <c r="E405" s="35" t="s">
        <v>521</v>
      </c>
      <c r="F405" s="37" t="s">
        <v>501</v>
      </c>
      <c r="G405" s="37" t="s">
        <v>522</v>
      </c>
      <c r="H405" s="37" t="s">
        <v>523</v>
      </c>
      <c r="I405" s="39">
        <v>5979</v>
      </c>
      <c r="J405" s="39"/>
      <c r="K405" s="40">
        <v>222921</v>
      </c>
      <c r="L405" s="40">
        <v>196840</v>
      </c>
      <c r="M405" s="40">
        <v>197570</v>
      </c>
      <c r="N405" s="41">
        <v>0.13249847591952901</v>
      </c>
      <c r="O405" s="41">
        <v>0.12831401528572201</v>
      </c>
      <c r="P405" s="39">
        <v>35.170588235294098</v>
      </c>
      <c r="Q405" s="40">
        <v>1311.3</v>
      </c>
    </row>
    <row r="406" spans="1:17" ht="15" customHeight="1" x14ac:dyDescent="0.2">
      <c r="A406" s="35" t="s">
        <v>316</v>
      </c>
      <c r="B406" s="36" t="s">
        <v>313</v>
      </c>
      <c r="C406" s="36" t="s">
        <v>267</v>
      </c>
      <c r="D406" s="38">
        <v>234</v>
      </c>
      <c r="E406" s="35" t="s">
        <v>521</v>
      </c>
      <c r="F406" s="37" t="s">
        <v>501</v>
      </c>
      <c r="G406" s="37" t="s">
        <v>522</v>
      </c>
      <c r="H406" s="37" t="s">
        <v>523</v>
      </c>
      <c r="I406" s="39">
        <v>2992</v>
      </c>
      <c r="J406" s="39">
        <v>0.25</v>
      </c>
      <c r="K406" s="40">
        <v>132682.75</v>
      </c>
      <c r="L406" s="40">
        <v>136060</v>
      </c>
      <c r="M406" s="40">
        <v>185910</v>
      </c>
      <c r="N406" s="41">
        <v>-2.4821769807437902E-2</v>
      </c>
      <c r="O406" s="41">
        <v>-0.28630654617825801</v>
      </c>
      <c r="P406" s="39">
        <v>12.7863247863248</v>
      </c>
      <c r="Q406" s="40">
        <v>567.02029914529896</v>
      </c>
    </row>
    <row r="407" spans="1:17" ht="15" customHeight="1" x14ac:dyDescent="0.2">
      <c r="A407" s="35" t="s">
        <v>319</v>
      </c>
      <c r="B407" s="36" t="s">
        <v>313</v>
      </c>
      <c r="C407" s="36" t="s">
        <v>267</v>
      </c>
      <c r="D407" s="38">
        <v>24</v>
      </c>
      <c r="E407" s="35" t="s">
        <v>521</v>
      </c>
      <c r="F407" s="37" t="s">
        <v>501</v>
      </c>
      <c r="G407" s="37" t="s">
        <v>522</v>
      </c>
      <c r="H407" s="37" t="s">
        <v>523</v>
      </c>
      <c r="I407" s="39">
        <v>222.25</v>
      </c>
      <c r="J407" s="39"/>
      <c r="K407" s="40">
        <v>10320.5</v>
      </c>
      <c r="L407" s="40">
        <v>12080</v>
      </c>
      <c r="M407" s="40">
        <v>12080</v>
      </c>
      <c r="N407" s="41">
        <v>-0.145653973509934</v>
      </c>
      <c r="O407" s="41">
        <v>-0.145653973509934</v>
      </c>
      <c r="P407" s="39">
        <v>9.2604166666666696</v>
      </c>
      <c r="Q407" s="40">
        <v>430.02083333333297</v>
      </c>
    </row>
    <row r="408" spans="1:17" ht="15" customHeight="1" x14ac:dyDescent="0.2">
      <c r="A408" s="35" t="s">
        <v>327</v>
      </c>
      <c r="B408" s="36" t="s">
        <v>313</v>
      </c>
      <c r="C408" s="36" t="s">
        <v>267</v>
      </c>
      <c r="D408" s="38">
        <v>244</v>
      </c>
      <c r="E408" s="35" t="s">
        <v>521</v>
      </c>
      <c r="F408" s="37" t="s">
        <v>501</v>
      </c>
      <c r="G408" s="37" t="s">
        <v>522</v>
      </c>
      <c r="H408" s="37" t="s">
        <v>523</v>
      </c>
      <c r="I408" s="39">
        <v>1</v>
      </c>
      <c r="J408" s="39"/>
      <c r="K408" s="40">
        <v>65</v>
      </c>
      <c r="L408" s="40">
        <v>135784</v>
      </c>
      <c r="M408" s="40">
        <v>135784</v>
      </c>
      <c r="N408" s="41">
        <v>-0.99952129853296401</v>
      </c>
      <c r="O408" s="41">
        <v>-0.99952129853296401</v>
      </c>
      <c r="P408" s="39">
        <v>4.0983606557377103E-3</v>
      </c>
      <c r="Q408" s="40">
        <v>0.266393442622951</v>
      </c>
    </row>
    <row r="409" spans="1:17" ht="15" customHeight="1" x14ac:dyDescent="0.2">
      <c r="A409" s="35" t="s">
        <v>334</v>
      </c>
      <c r="B409" s="36" t="s">
        <v>313</v>
      </c>
      <c r="C409" s="36" t="s">
        <v>330</v>
      </c>
      <c r="D409" s="38">
        <v>20</v>
      </c>
      <c r="E409" s="35" t="s">
        <v>521</v>
      </c>
      <c r="F409" s="37" t="s">
        <v>501</v>
      </c>
      <c r="G409" s="37" t="s">
        <v>522</v>
      </c>
      <c r="H409" s="37" t="s">
        <v>523</v>
      </c>
      <c r="I409" s="39">
        <v>49.75</v>
      </c>
      <c r="J409" s="39"/>
      <c r="K409" s="40">
        <v>2682.5</v>
      </c>
      <c r="L409" s="40">
        <v>9200</v>
      </c>
      <c r="M409" s="40">
        <v>9200</v>
      </c>
      <c r="N409" s="41">
        <v>-0.70842391304347796</v>
      </c>
      <c r="O409" s="41">
        <v>-0.70842391304347796</v>
      </c>
      <c r="P409" s="39">
        <v>2.4874999999999998</v>
      </c>
      <c r="Q409" s="40">
        <v>134.125</v>
      </c>
    </row>
    <row r="410" spans="1:17" ht="15" customHeight="1" x14ac:dyDescent="0.2">
      <c r="A410" s="17" t="s">
        <v>147</v>
      </c>
      <c r="B410" s="18" t="s">
        <v>148</v>
      </c>
      <c r="C410" s="18" t="s">
        <v>149</v>
      </c>
      <c r="D410" s="20">
        <v>234</v>
      </c>
      <c r="E410" s="17" t="s">
        <v>524</v>
      </c>
      <c r="F410" s="19" t="s">
        <v>501</v>
      </c>
      <c r="G410" s="19" t="s">
        <v>525</v>
      </c>
      <c r="H410" s="19" t="s">
        <v>526</v>
      </c>
      <c r="I410" s="21"/>
      <c r="J410" s="21"/>
      <c r="K410" s="22">
        <v>14211.67</v>
      </c>
      <c r="L410" s="22">
        <v>9450</v>
      </c>
      <c r="M410" s="22">
        <v>9450</v>
      </c>
      <c r="N410" s="23">
        <v>0.50388042328042304</v>
      </c>
      <c r="O410" s="23">
        <v>0.50388042328042304</v>
      </c>
      <c r="P410" s="21"/>
      <c r="Q410" s="22">
        <v>60.733632478632501</v>
      </c>
    </row>
    <row r="411" spans="1:17" ht="15" customHeight="1" x14ac:dyDescent="0.2">
      <c r="A411" s="26" t="s">
        <v>152</v>
      </c>
      <c r="B411" s="27" t="s">
        <v>148</v>
      </c>
      <c r="C411" s="27" t="s">
        <v>149</v>
      </c>
      <c r="D411" s="29">
        <v>258</v>
      </c>
      <c r="E411" s="26" t="s">
        <v>524</v>
      </c>
      <c r="F411" s="28" t="s">
        <v>501</v>
      </c>
      <c r="G411" s="28" t="s">
        <v>525</v>
      </c>
      <c r="H411" s="28" t="s">
        <v>526</v>
      </c>
      <c r="I411" s="30"/>
      <c r="J411" s="30"/>
      <c r="K411" s="31">
        <v>21795.5</v>
      </c>
      <c r="L411" s="31">
        <v>18000</v>
      </c>
      <c r="M411" s="31">
        <v>18200</v>
      </c>
      <c r="N411" s="32">
        <v>0.210861111111111</v>
      </c>
      <c r="O411" s="32">
        <v>0.197554945054945</v>
      </c>
      <c r="P411" s="30"/>
      <c r="Q411" s="31">
        <v>84.478682170542598</v>
      </c>
    </row>
    <row r="412" spans="1:17" ht="15" customHeight="1" x14ac:dyDescent="0.2">
      <c r="A412" s="17" t="s">
        <v>157</v>
      </c>
      <c r="B412" s="18" t="s">
        <v>148</v>
      </c>
      <c r="C412" s="18" t="s">
        <v>149</v>
      </c>
      <c r="D412" s="20">
        <v>149</v>
      </c>
      <c r="E412" s="17" t="s">
        <v>524</v>
      </c>
      <c r="F412" s="19" t="s">
        <v>501</v>
      </c>
      <c r="G412" s="19" t="s">
        <v>525</v>
      </c>
      <c r="H412" s="19" t="s">
        <v>526</v>
      </c>
      <c r="I412" s="21"/>
      <c r="J412" s="21"/>
      <c r="K412" s="22">
        <v>1712</v>
      </c>
      <c r="L412" s="22">
        <v>3600</v>
      </c>
      <c r="M412" s="22">
        <v>3600</v>
      </c>
      <c r="N412" s="23">
        <v>-0.52444444444444505</v>
      </c>
      <c r="O412" s="23">
        <v>-0.52444444444444505</v>
      </c>
      <c r="P412" s="21"/>
      <c r="Q412" s="22">
        <v>11.489932885906001</v>
      </c>
    </row>
    <row r="413" spans="1:17" ht="15" customHeight="1" x14ac:dyDescent="0.2">
      <c r="A413" s="26" t="s">
        <v>161</v>
      </c>
      <c r="B413" s="27" t="s">
        <v>148</v>
      </c>
      <c r="C413" s="27" t="s">
        <v>149</v>
      </c>
      <c r="D413" s="29">
        <v>162</v>
      </c>
      <c r="E413" s="26" t="s">
        <v>524</v>
      </c>
      <c r="F413" s="28" t="s">
        <v>501</v>
      </c>
      <c r="G413" s="28" t="s">
        <v>525</v>
      </c>
      <c r="H413" s="28" t="s">
        <v>526</v>
      </c>
      <c r="I413" s="30">
        <v>104</v>
      </c>
      <c r="J413" s="30"/>
      <c r="K413" s="31">
        <v>2168</v>
      </c>
      <c r="L413" s="31">
        <v>3300</v>
      </c>
      <c r="M413" s="31">
        <v>3300</v>
      </c>
      <c r="N413" s="32">
        <v>-0.34303030303030302</v>
      </c>
      <c r="O413" s="32">
        <v>-0.34303030303030302</v>
      </c>
      <c r="P413" s="30">
        <v>0.64197530864197505</v>
      </c>
      <c r="Q413" s="31">
        <v>13.382716049382701</v>
      </c>
    </row>
    <row r="414" spans="1:17" ht="15" customHeight="1" x14ac:dyDescent="0.2">
      <c r="A414" s="17" t="s">
        <v>165</v>
      </c>
      <c r="B414" s="18" t="s">
        <v>148</v>
      </c>
      <c r="C414" s="18" t="s">
        <v>149</v>
      </c>
      <c r="D414" s="20">
        <v>197</v>
      </c>
      <c r="E414" s="17" t="s">
        <v>524</v>
      </c>
      <c r="F414" s="19" t="s">
        <v>501</v>
      </c>
      <c r="G414" s="19" t="s">
        <v>525</v>
      </c>
      <c r="H414" s="19" t="s">
        <v>526</v>
      </c>
      <c r="I414" s="21"/>
      <c r="J414" s="21"/>
      <c r="K414" s="22">
        <v>11582.5</v>
      </c>
      <c r="L414" s="22">
        <v>7250</v>
      </c>
      <c r="M414" s="22">
        <v>11400</v>
      </c>
      <c r="N414" s="23">
        <v>0.59758620689655195</v>
      </c>
      <c r="O414" s="23">
        <v>1.6008771929824601E-2</v>
      </c>
      <c r="P414" s="21"/>
      <c r="Q414" s="22">
        <v>58.794416243654801</v>
      </c>
    </row>
    <row r="415" spans="1:17" ht="15" customHeight="1" x14ac:dyDescent="0.2">
      <c r="A415" s="26" t="s">
        <v>167</v>
      </c>
      <c r="B415" s="27" t="s">
        <v>148</v>
      </c>
      <c r="C415" s="27" t="s">
        <v>149</v>
      </c>
      <c r="D415" s="29">
        <v>119</v>
      </c>
      <c r="E415" s="26" t="s">
        <v>524</v>
      </c>
      <c r="F415" s="28" t="s">
        <v>501</v>
      </c>
      <c r="G415" s="28" t="s">
        <v>525</v>
      </c>
      <c r="H415" s="28" t="s">
        <v>526</v>
      </c>
      <c r="I415" s="30"/>
      <c r="J415" s="30"/>
      <c r="K415" s="31">
        <v>7448</v>
      </c>
      <c r="L415" s="31">
        <v>6000</v>
      </c>
      <c r="M415" s="31">
        <v>6300</v>
      </c>
      <c r="N415" s="32">
        <v>0.24133333333333301</v>
      </c>
      <c r="O415" s="32">
        <v>0.18222222222222201</v>
      </c>
      <c r="P415" s="30"/>
      <c r="Q415" s="31">
        <v>62.588235294117602</v>
      </c>
    </row>
    <row r="416" spans="1:17" ht="15" customHeight="1" x14ac:dyDescent="0.2">
      <c r="A416" s="17" t="s">
        <v>169</v>
      </c>
      <c r="B416" s="18" t="s">
        <v>148</v>
      </c>
      <c r="C416" s="18" t="s">
        <v>149</v>
      </c>
      <c r="D416" s="20">
        <v>211</v>
      </c>
      <c r="E416" s="17" t="s">
        <v>524</v>
      </c>
      <c r="F416" s="19" t="s">
        <v>501</v>
      </c>
      <c r="G416" s="19" t="s">
        <v>525</v>
      </c>
      <c r="H416" s="19" t="s">
        <v>526</v>
      </c>
      <c r="I416" s="21"/>
      <c r="J416" s="21"/>
      <c r="K416" s="22">
        <v>8626.5</v>
      </c>
      <c r="L416" s="22">
        <v>7200</v>
      </c>
      <c r="M416" s="22">
        <v>8390</v>
      </c>
      <c r="N416" s="23">
        <v>0.198125</v>
      </c>
      <c r="O416" s="23">
        <v>2.8188319427890299E-2</v>
      </c>
      <c r="P416" s="21"/>
      <c r="Q416" s="22">
        <v>40.883886255924203</v>
      </c>
    </row>
    <row r="417" spans="1:17" ht="15" customHeight="1" x14ac:dyDescent="0.2">
      <c r="A417" s="26" t="s">
        <v>171</v>
      </c>
      <c r="B417" s="27" t="s">
        <v>148</v>
      </c>
      <c r="C417" s="27" t="s">
        <v>149</v>
      </c>
      <c r="D417" s="29">
        <v>211</v>
      </c>
      <c r="E417" s="26" t="s">
        <v>524</v>
      </c>
      <c r="F417" s="28" t="s">
        <v>501</v>
      </c>
      <c r="G417" s="28" t="s">
        <v>525</v>
      </c>
      <c r="H417" s="28" t="s">
        <v>526</v>
      </c>
      <c r="I417" s="30"/>
      <c r="J417" s="30"/>
      <c r="K417" s="31">
        <v>7665</v>
      </c>
      <c r="L417" s="31">
        <v>14700</v>
      </c>
      <c r="M417" s="31">
        <v>15325</v>
      </c>
      <c r="N417" s="32">
        <v>-0.47857142857142898</v>
      </c>
      <c r="O417" s="32">
        <v>-0.49983686786296899</v>
      </c>
      <c r="P417" s="30"/>
      <c r="Q417" s="31">
        <v>36.327014218009502</v>
      </c>
    </row>
    <row r="418" spans="1:17" ht="15" customHeight="1" x14ac:dyDescent="0.2">
      <c r="A418" s="17" t="s">
        <v>173</v>
      </c>
      <c r="B418" s="18" t="s">
        <v>148</v>
      </c>
      <c r="C418" s="18" t="s">
        <v>149</v>
      </c>
      <c r="D418" s="20">
        <v>256</v>
      </c>
      <c r="E418" s="17" t="s">
        <v>524</v>
      </c>
      <c r="F418" s="19" t="s">
        <v>501</v>
      </c>
      <c r="G418" s="19" t="s">
        <v>525</v>
      </c>
      <c r="H418" s="19" t="s">
        <v>526</v>
      </c>
      <c r="I418" s="21"/>
      <c r="J418" s="21"/>
      <c r="K418" s="22">
        <v>32025.5</v>
      </c>
      <c r="L418" s="22">
        <v>9000</v>
      </c>
      <c r="M418" s="22">
        <v>13862</v>
      </c>
      <c r="N418" s="23">
        <v>2.5583888888888899</v>
      </c>
      <c r="O418" s="23">
        <v>1.3103087577550101</v>
      </c>
      <c r="P418" s="21"/>
      <c r="Q418" s="22">
        <v>125.099609375</v>
      </c>
    </row>
    <row r="419" spans="1:17" ht="15" customHeight="1" x14ac:dyDescent="0.2">
      <c r="A419" s="26" t="s">
        <v>175</v>
      </c>
      <c r="B419" s="27" t="s">
        <v>148</v>
      </c>
      <c r="C419" s="27" t="s">
        <v>149</v>
      </c>
      <c r="D419" s="29">
        <v>136</v>
      </c>
      <c r="E419" s="26" t="s">
        <v>524</v>
      </c>
      <c r="F419" s="28" t="s">
        <v>501</v>
      </c>
      <c r="G419" s="28" t="s">
        <v>525</v>
      </c>
      <c r="H419" s="28" t="s">
        <v>526</v>
      </c>
      <c r="I419" s="30"/>
      <c r="J419" s="30"/>
      <c r="K419" s="31">
        <v>10305.459999999999</v>
      </c>
      <c r="L419" s="31">
        <v>5500</v>
      </c>
      <c r="M419" s="31">
        <v>7990</v>
      </c>
      <c r="N419" s="32">
        <v>0.87372000000000005</v>
      </c>
      <c r="O419" s="32">
        <v>0.28979474342928702</v>
      </c>
      <c r="P419" s="30"/>
      <c r="Q419" s="31">
        <v>75.775441176470594</v>
      </c>
    </row>
    <row r="420" spans="1:17" ht="15" customHeight="1" x14ac:dyDescent="0.2">
      <c r="A420" s="17" t="s">
        <v>179</v>
      </c>
      <c r="B420" s="18" t="s">
        <v>148</v>
      </c>
      <c r="C420" s="18" t="s">
        <v>180</v>
      </c>
      <c r="D420" s="20">
        <v>209</v>
      </c>
      <c r="E420" s="17" t="s">
        <v>524</v>
      </c>
      <c r="F420" s="19" t="s">
        <v>501</v>
      </c>
      <c r="G420" s="19" t="s">
        <v>525</v>
      </c>
      <c r="H420" s="19" t="s">
        <v>526</v>
      </c>
      <c r="I420" s="21">
        <v>971</v>
      </c>
      <c r="J420" s="21"/>
      <c r="K420" s="22">
        <v>21481</v>
      </c>
      <c r="L420" s="22">
        <v>7975</v>
      </c>
      <c r="M420" s="22">
        <v>11915</v>
      </c>
      <c r="N420" s="23">
        <v>1.6935423197492201</v>
      </c>
      <c r="O420" s="23">
        <v>0.80285354595048297</v>
      </c>
      <c r="P420" s="21">
        <v>4.6459330143540702</v>
      </c>
      <c r="Q420" s="22">
        <v>102.77990430622</v>
      </c>
    </row>
    <row r="421" spans="1:17" ht="15" customHeight="1" x14ac:dyDescent="0.2">
      <c r="A421" s="26" t="s">
        <v>185</v>
      </c>
      <c r="B421" s="27" t="s">
        <v>148</v>
      </c>
      <c r="C421" s="27" t="s">
        <v>180</v>
      </c>
      <c r="D421" s="29">
        <v>117</v>
      </c>
      <c r="E421" s="26" t="s">
        <v>524</v>
      </c>
      <c r="F421" s="28" t="s">
        <v>501</v>
      </c>
      <c r="G421" s="28" t="s">
        <v>525</v>
      </c>
      <c r="H421" s="28" t="s">
        <v>526</v>
      </c>
      <c r="I421" s="30">
        <v>406.5</v>
      </c>
      <c r="J421" s="30"/>
      <c r="K421" s="31">
        <v>9547</v>
      </c>
      <c r="L421" s="31">
        <v>8700</v>
      </c>
      <c r="M421" s="31">
        <v>8700</v>
      </c>
      <c r="N421" s="32">
        <v>9.7356321839080495E-2</v>
      </c>
      <c r="O421" s="32">
        <v>9.7356321839080495E-2</v>
      </c>
      <c r="P421" s="30">
        <v>3.47435897435897</v>
      </c>
      <c r="Q421" s="31">
        <v>81.598290598290603</v>
      </c>
    </row>
    <row r="422" spans="1:17" ht="15" customHeight="1" x14ac:dyDescent="0.2">
      <c r="A422" s="17" t="s">
        <v>190</v>
      </c>
      <c r="B422" s="18" t="s">
        <v>148</v>
      </c>
      <c r="C422" s="18" t="s">
        <v>180</v>
      </c>
      <c r="D422" s="20">
        <v>75</v>
      </c>
      <c r="E422" s="17" t="s">
        <v>524</v>
      </c>
      <c r="F422" s="19" t="s">
        <v>501</v>
      </c>
      <c r="G422" s="19" t="s">
        <v>525</v>
      </c>
      <c r="H422" s="19" t="s">
        <v>526</v>
      </c>
      <c r="I422" s="21">
        <v>195.5</v>
      </c>
      <c r="J422" s="21"/>
      <c r="K422" s="22">
        <v>5854</v>
      </c>
      <c r="L422" s="22">
        <v>5500</v>
      </c>
      <c r="M422" s="22">
        <v>5986</v>
      </c>
      <c r="N422" s="23">
        <v>6.4363636363636401E-2</v>
      </c>
      <c r="O422" s="23">
        <v>-2.2051453391246201E-2</v>
      </c>
      <c r="P422" s="21">
        <v>2.60666666666667</v>
      </c>
      <c r="Q422" s="22">
        <v>78.053333333333299</v>
      </c>
    </row>
    <row r="423" spans="1:17" ht="15" customHeight="1" x14ac:dyDescent="0.2">
      <c r="A423" s="26" t="s">
        <v>195</v>
      </c>
      <c r="B423" s="27" t="s">
        <v>148</v>
      </c>
      <c r="C423" s="27" t="s">
        <v>180</v>
      </c>
      <c r="D423" s="29">
        <v>49</v>
      </c>
      <c r="E423" s="26" t="s">
        <v>524</v>
      </c>
      <c r="F423" s="28" t="s">
        <v>501</v>
      </c>
      <c r="G423" s="28" t="s">
        <v>525</v>
      </c>
      <c r="H423" s="28" t="s">
        <v>526</v>
      </c>
      <c r="I423" s="30">
        <v>133.5</v>
      </c>
      <c r="J423" s="30"/>
      <c r="K423" s="31">
        <v>3916</v>
      </c>
      <c r="L423" s="31">
        <v>6000</v>
      </c>
      <c r="M423" s="31">
        <v>6000</v>
      </c>
      <c r="N423" s="32">
        <v>-0.34733333333333299</v>
      </c>
      <c r="O423" s="32">
        <v>-0.34733333333333299</v>
      </c>
      <c r="P423" s="30">
        <v>2.72448979591837</v>
      </c>
      <c r="Q423" s="31">
        <v>79.918367346938794</v>
      </c>
    </row>
    <row r="424" spans="1:17" ht="15" customHeight="1" x14ac:dyDescent="0.2">
      <c r="A424" s="17" t="s">
        <v>201</v>
      </c>
      <c r="B424" s="18" t="s">
        <v>148</v>
      </c>
      <c r="C424" s="18" t="s">
        <v>180</v>
      </c>
      <c r="D424" s="20">
        <v>170</v>
      </c>
      <c r="E424" s="17" t="s">
        <v>524</v>
      </c>
      <c r="F424" s="19" t="s">
        <v>501</v>
      </c>
      <c r="G424" s="19" t="s">
        <v>525</v>
      </c>
      <c r="H424" s="19" t="s">
        <v>526</v>
      </c>
      <c r="I424" s="21">
        <v>336.5</v>
      </c>
      <c r="J424" s="21">
        <v>32</v>
      </c>
      <c r="K424" s="22">
        <v>7836.5</v>
      </c>
      <c r="L424" s="22">
        <v>6600</v>
      </c>
      <c r="M424" s="22">
        <v>6600</v>
      </c>
      <c r="N424" s="23">
        <v>0.18734848484848499</v>
      </c>
      <c r="O424" s="23">
        <v>0.18734848484848499</v>
      </c>
      <c r="P424" s="21">
        <v>1.97941176470588</v>
      </c>
      <c r="Q424" s="22">
        <v>46.097058823529402</v>
      </c>
    </row>
    <row r="425" spans="1:17" ht="15" customHeight="1" x14ac:dyDescent="0.2">
      <c r="A425" s="26" t="s">
        <v>205</v>
      </c>
      <c r="B425" s="27" t="s">
        <v>148</v>
      </c>
      <c r="C425" s="27" t="s">
        <v>180</v>
      </c>
      <c r="D425" s="29">
        <v>296</v>
      </c>
      <c r="E425" s="26" t="s">
        <v>524</v>
      </c>
      <c r="F425" s="28" t="s">
        <v>501</v>
      </c>
      <c r="G425" s="28" t="s">
        <v>525</v>
      </c>
      <c r="H425" s="28" t="s">
        <v>526</v>
      </c>
      <c r="I425" s="30">
        <v>425.5</v>
      </c>
      <c r="J425" s="30"/>
      <c r="K425" s="31">
        <v>10210.5</v>
      </c>
      <c r="L425" s="31">
        <v>14400</v>
      </c>
      <c r="M425" s="31">
        <v>14400</v>
      </c>
      <c r="N425" s="32">
        <v>-0.29093750000000002</v>
      </c>
      <c r="O425" s="32">
        <v>-0.29093750000000002</v>
      </c>
      <c r="P425" s="30">
        <v>1.4375</v>
      </c>
      <c r="Q425" s="31">
        <v>34.4949324324324</v>
      </c>
    </row>
    <row r="426" spans="1:17" ht="15" customHeight="1" x14ac:dyDescent="0.2">
      <c r="A426" s="17" t="s">
        <v>210</v>
      </c>
      <c r="B426" s="18" t="s">
        <v>148</v>
      </c>
      <c r="C426" s="18" t="s">
        <v>180</v>
      </c>
      <c r="D426" s="20">
        <v>83</v>
      </c>
      <c r="E426" s="17" t="s">
        <v>524</v>
      </c>
      <c r="F426" s="19" t="s">
        <v>501</v>
      </c>
      <c r="G426" s="19" t="s">
        <v>525</v>
      </c>
      <c r="H426" s="19" t="s">
        <v>526</v>
      </c>
      <c r="I426" s="21">
        <v>90.5</v>
      </c>
      <c r="J426" s="21"/>
      <c r="K426" s="22">
        <v>2133</v>
      </c>
      <c r="L426" s="22">
        <v>2400</v>
      </c>
      <c r="M426" s="22">
        <v>2856</v>
      </c>
      <c r="N426" s="23">
        <v>-0.11125</v>
      </c>
      <c r="O426" s="23">
        <v>-0.253151260504202</v>
      </c>
      <c r="P426" s="21">
        <v>1.0903614457831301</v>
      </c>
      <c r="Q426" s="22">
        <v>25.6987951807229</v>
      </c>
    </row>
    <row r="427" spans="1:17" ht="15" customHeight="1" x14ac:dyDescent="0.2">
      <c r="A427" s="26" t="s">
        <v>214</v>
      </c>
      <c r="B427" s="27" t="s">
        <v>148</v>
      </c>
      <c r="C427" s="27" t="s">
        <v>180</v>
      </c>
      <c r="D427" s="29">
        <v>144</v>
      </c>
      <c r="E427" s="26" t="s">
        <v>524</v>
      </c>
      <c r="F427" s="28" t="s">
        <v>501</v>
      </c>
      <c r="G427" s="28" t="s">
        <v>525</v>
      </c>
      <c r="H427" s="28" t="s">
        <v>526</v>
      </c>
      <c r="I427" s="30">
        <v>578</v>
      </c>
      <c r="J427" s="30">
        <v>19</v>
      </c>
      <c r="K427" s="31">
        <v>16593</v>
      </c>
      <c r="L427" s="31">
        <v>9600</v>
      </c>
      <c r="M427" s="31">
        <v>11720</v>
      </c>
      <c r="N427" s="32">
        <v>0.72843749999999996</v>
      </c>
      <c r="O427" s="32">
        <v>0.41578498293515398</v>
      </c>
      <c r="P427" s="30">
        <v>4.0138888888888902</v>
      </c>
      <c r="Q427" s="31">
        <v>115.229166666667</v>
      </c>
    </row>
    <row r="428" spans="1:17" ht="15" customHeight="1" x14ac:dyDescent="0.2">
      <c r="A428" s="17" t="s">
        <v>219</v>
      </c>
      <c r="B428" s="18" t="s">
        <v>148</v>
      </c>
      <c r="C428" s="18" t="s">
        <v>180</v>
      </c>
      <c r="D428" s="20">
        <v>398</v>
      </c>
      <c r="E428" s="17" t="s">
        <v>524</v>
      </c>
      <c r="F428" s="19" t="s">
        <v>501</v>
      </c>
      <c r="G428" s="19" t="s">
        <v>525</v>
      </c>
      <c r="H428" s="19" t="s">
        <v>526</v>
      </c>
      <c r="I428" s="21">
        <v>260.5</v>
      </c>
      <c r="J428" s="21">
        <v>2</v>
      </c>
      <c r="K428" s="22">
        <v>6952.5</v>
      </c>
      <c r="L428" s="22">
        <v>8800</v>
      </c>
      <c r="M428" s="22">
        <v>9370</v>
      </c>
      <c r="N428" s="23">
        <v>-0.209943181818182</v>
      </c>
      <c r="O428" s="23">
        <v>-0.25800426894343698</v>
      </c>
      <c r="P428" s="21">
        <v>0.654522613065327</v>
      </c>
      <c r="Q428" s="22">
        <v>17.468592964824101</v>
      </c>
    </row>
    <row r="429" spans="1:17" ht="15" customHeight="1" x14ac:dyDescent="0.2">
      <c r="A429" s="26" t="s">
        <v>224</v>
      </c>
      <c r="B429" s="27" t="s">
        <v>148</v>
      </c>
      <c r="C429" s="27" t="s">
        <v>180</v>
      </c>
      <c r="D429" s="29">
        <v>71</v>
      </c>
      <c r="E429" s="26" t="s">
        <v>524</v>
      </c>
      <c r="F429" s="28" t="s">
        <v>501</v>
      </c>
      <c r="G429" s="28" t="s">
        <v>525</v>
      </c>
      <c r="H429" s="28" t="s">
        <v>526</v>
      </c>
      <c r="I429" s="30">
        <v>50.5</v>
      </c>
      <c r="J429" s="30"/>
      <c r="K429" s="31">
        <v>1836</v>
      </c>
      <c r="L429" s="31">
        <v>5250</v>
      </c>
      <c r="M429" s="31">
        <v>5250</v>
      </c>
      <c r="N429" s="32">
        <v>-0.65028571428571402</v>
      </c>
      <c r="O429" s="32">
        <v>-0.65028571428571402</v>
      </c>
      <c r="P429" s="30">
        <v>0.71126760563380298</v>
      </c>
      <c r="Q429" s="31">
        <v>25.8591549295775</v>
      </c>
    </row>
    <row r="430" spans="1:17" ht="15" customHeight="1" x14ac:dyDescent="0.2">
      <c r="A430" s="17" t="s">
        <v>230</v>
      </c>
      <c r="B430" s="18" t="s">
        <v>148</v>
      </c>
      <c r="C430" s="18" t="s">
        <v>180</v>
      </c>
      <c r="D430" s="20">
        <v>139</v>
      </c>
      <c r="E430" s="17" t="s">
        <v>524</v>
      </c>
      <c r="F430" s="19" t="s">
        <v>501</v>
      </c>
      <c r="G430" s="19" t="s">
        <v>525</v>
      </c>
      <c r="H430" s="19" t="s">
        <v>526</v>
      </c>
      <c r="I430" s="21">
        <v>324.5</v>
      </c>
      <c r="J430" s="21"/>
      <c r="K430" s="22">
        <v>9941.5</v>
      </c>
      <c r="L430" s="22">
        <v>3600</v>
      </c>
      <c r="M430" s="22">
        <v>3600</v>
      </c>
      <c r="N430" s="23">
        <v>1.76152777777778</v>
      </c>
      <c r="O430" s="23">
        <v>1.76152777777778</v>
      </c>
      <c r="P430" s="21">
        <v>2.33453237410072</v>
      </c>
      <c r="Q430" s="22">
        <v>71.521582733813005</v>
      </c>
    </row>
    <row r="431" spans="1:17" ht="15" customHeight="1" x14ac:dyDescent="0.2">
      <c r="A431" s="26" t="s">
        <v>236</v>
      </c>
      <c r="B431" s="27" t="s">
        <v>148</v>
      </c>
      <c r="C431" s="27" t="s">
        <v>180</v>
      </c>
      <c r="D431" s="29">
        <v>128</v>
      </c>
      <c r="E431" s="26" t="s">
        <v>524</v>
      </c>
      <c r="F431" s="28" t="s">
        <v>501</v>
      </c>
      <c r="G431" s="28" t="s">
        <v>525</v>
      </c>
      <c r="H431" s="28" t="s">
        <v>526</v>
      </c>
      <c r="I431" s="30">
        <v>324</v>
      </c>
      <c r="J431" s="30"/>
      <c r="K431" s="31">
        <v>10151</v>
      </c>
      <c r="L431" s="31">
        <v>2300</v>
      </c>
      <c r="M431" s="31">
        <v>3067</v>
      </c>
      <c r="N431" s="32">
        <v>3.41347826086957</v>
      </c>
      <c r="O431" s="32">
        <v>2.3097489403325699</v>
      </c>
      <c r="P431" s="30">
        <v>2.53125</v>
      </c>
      <c r="Q431" s="31">
        <v>79.3046875</v>
      </c>
    </row>
    <row r="432" spans="1:17" ht="15" customHeight="1" x14ac:dyDescent="0.2">
      <c r="A432" s="17" t="s">
        <v>249</v>
      </c>
      <c r="B432" s="18" t="s">
        <v>148</v>
      </c>
      <c r="C432" s="18" t="s">
        <v>180</v>
      </c>
      <c r="D432" s="20">
        <v>122</v>
      </c>
      <c r="E432" s="17" t="s">
        <v>524</v>
      </c>
      <c r="F432" s="19" t="s">
        <v>501</v>
      </c>
      <c r="G432" s="19" t="s">
        <v>525</v>
      </c>
      <c r="H432" s="19" t="s">
        <v>526</v>
      </c>
      <c r="I432" s="21">
        <v>194</v>
      </c>
      <c r="J432" s="21">
        <v>11</v>
      </c>
      <c r="K432" s="22">
        <v>6410</v>
      </c>
      <c r="L432" s="22">
        <v>7750</v>
      </c>
      <c r="M432" s="22">
        <v>7750</v>
      </c>
      <c r="N432" s="23">
        <v>-0.17290322580645201</v>
      </c>
      <c r="O432" s="23">
        <v>-0.17290322580645201</v>
      </c>
      <c r="P432" s="21">
        <v>1.5901639344262299</v>
      </c>
      <c r="Q432" s="22">
        <v>52.540983606557397</v>
      </c>
    </row>
    <row r="433" spans="1:17" ht="15" customHeight="1" x14ac:dyDescent="0.2">
      <c r="A433" s="26" t="s">
        <v>254</v>
      </c>
      <c r="B433" s="27" t="s">
        <v>148</v>
      </c>
      <c r="C433" s="27" t="s">
        <v>180</v>
      </c>
      <c r="D433" s="29">
        <v>80</v>
      </c>
      <c r="E433" s="26" t="s">
        <v>524</v>
      </c>
      <c r="F433" s="28" t="s">
        <v>501</v>
      </c>
      <c r="G433" s="28" t="s">
        <v>525</v>
      </c>
      <c r="H433" s="28" t="s">
        <v>526</v>
      </c>
      <c r="I433" s="30">
        <v>91</v>
      </c>
      <c r="J433" s="30">
        <v>5</v>
      </c>
      <c r="K433" s="31">
        <v>2740</v>
      </c>
      <c r="L433" s="31">
        <v>3000</v>
      </c>
      <c r="M433" s="31">
        <v>3360</v>
      </c>
      <c r="N433" s="32">
        <v>-8.6666666666666697E-2</v>
      </c>
      <c r="O433" s="32">
        <v>-0.18452380952381001</v>
      </c>
      <c r="P433" s="30">
        <v>1.1375</v>
      </c>
      <c r="Q433" s="31">
        <v>34.25</v>
      </c>
    </row>
    <row r="434" spans="1:17" ht="15" customHeight="1" x14ac:dyDescent="0.2">
      <c r="A434" s="17" t="s">
        <v>259</v>
      </c>
      <c r="B434" s="18" t="s">
        <v>148</v>
      </c>
      <c r="C434" s="18" t="s">
        <v>180</v>
      </c>
      <c r="D434" s="20"/>
      <c r="E434" s="17" t="s">
        <v>524</v>
      </c>
      <c r="F434" s="19" t="s">
        <v>501</v>
      </c>
      <c r="G434" s="19" t="s">
        <v>525</v>
      </c>
      <c r="H434" s="19" t="s">
        <v>526</v>
      </c>
      <c r="I434" s="21">
        <v>226</v>
      </c>
      <c r="J434" s="21">
        <v>17.5</v>
      </c>
      <c r="K434" s="22">
        <v>7599.75</v>
      </c>
      <c r="L434" s="22">
        <v>7360</v>
      </c>
      <c r="M434" s="22">
        <v>7360</v>
      </c>
      <c r="N434" s="23">
        <v>3.2574728260869601E-2</v>
      </c>
      <c r="O434" s="23">
        <v>3.2574728260869601E-2</v>
      </c>
      <c r="P434" s="21"/>
      <c r="Q434" s="22"/>
    </row>
    <row r="435" spans="1:17" ht="15" customHeight="1" x14ac:dyDescent="0.2">
      <c r="A435" s="26" t="s">
        <v>263</v>
      </c>
      <c r="B435" s="27" t="s">
        <v>148</v>
      </c>
      <c r="C435" s="27" t="s">
        <v>180</v>
      </c>
      <c r="D435" s="29">
        <v>55</v>
      </c>
      <c r="E435" s="26" t="s">
        <v>524</v>
      </c>
      <c r="F435" s="28" t="s">
        <v>501</v>
      </c>
      <c r="G435" s="28" t="s">
        <v>525</v>
      </c>
      <c r="H435" s="28" t="s">
        <v>526</v>
      </c>
      <c r="I435" s="30">
        <v>83</v>
      </c>
      <c r="J435" s="30">
        <v>2</v>
      </c>
      <c r="K435" s="31">
        <v>2784</v>
      </c>
      <c r="L435" s="31">
        <v>7500</v>
      </c>
      <c r="M435" s="31">
        <v>7500</v>
      </c>
      <c r="N435" s="32">
        <v>-0.62880000000000003</v>
      </c>
      <c r="O435" s="32">
        <v>-0.62880000000000003</v>
      </c>
      <c r="P435" s="30">
        <v>1.5090909090909099</v>
      </c>
      <c r="Q435" s="31">
        <v>50.618181818181803</v>
      </c>
    </row>
    <row r="436" spans="1:17" ht="15" customHeight="1" x14ac:dyDescent="0.2">
      <c r="A436" s="17" t="s">
        <v>266</v>
      </c>
      <c r="B436" s="18" t="s">
        <v>148</v>
      </c>
      <c r="C436" s="18" t="s">
        <v>267</v>
      </c>
      <c r="D436" s="20">
        <v>108</v>
      </c>
      <c r="E436" s="17" t="s">
        <v>524</v>
      </c>
      <c r="F436" s="19" t="s">
        <v>501</v>
      </c>
      <c r="G436" s="19" t="s">
        <v>525</v>
      </c>
      <c r="H436" s="19" t="s">
        <v>526</v>
      </c>
      <c r="I436" s="21">
        <v>217</v>
      </c>
      <c r="J436" s="21"/>
      <c r="K436" s="22">
        <v>7098</v>
      </c>
      <c r="L436" s="22">
        <v>9750</v>
      </c>
      <c r="M436" s="22">
        <v>10950</v>
      </c>
      <c r="N436" s="23">
        <v>-0.27200000000000002</v>
      </c>
      <c r="O436" s="23">
        <v>-0.35178082191780802</v>
      </c>
      <c r="P436" s="21">
        <v>2.00925925925926</v>
      </c>
      <c r="Q436" s="22">
        <v>65.7222222222222</v>
      </c>
    </row>
    <row r="437" spans="1:17" ht="15" customHeight="1" x14ac:dyDescent="0.2">
      <c r="A437" s="26" t="s">
        <v>270</v>
      </c>
      <c r="B437" s="27" t="s">
        <v>148</v>
      </c>
      <c r="C437" s="27" t="s">
        <v>267</v>
      </c>
      <c r="D437" s="29">
        <v>75</v>
      </c>
      <c r="E437" s="26" t="s">
        <v>524</v>
      </c>
      <c r="F437" s="28" t="s">
        <v>501</v>
      </c>
      <c r="G437" s="28" t="s">
        <v>525</v>
      </c>
      <c r="H437" s="28" t="s">
        <v>526</v>
      </c>
      <c r="I437" s="30">
        <v>41</v>
      </c>
      <c r="J437" s="30">
        <v>1</v>
      </c>
      <c r="K437" s="31">
        <v>1625.5</v>
      </c>
      <c r="L437" s="31">
        <v>2400</v>
      </c>
      <c r="M437" s="31">
        <v>2400</v>
      </c>
      <c r="N437" s="32">
        <v>-0.32270833333333299</v>
      </c>
      <c r="O437" s="32">
        <v>-0.32270833333333299</v>
      </c>
      <c r="P437" s="30">
        <v>0.54666666666666697</v>
      </c>
      <c r="Q437" s="31">
        <v>21.6733333333333</v>
      </c>
    </row>
    <row r="438" spans="1:17" ht="15" customHeight="1" x14ac:dyDescent="0.2">
      <c r="A438" s="17" t="s">
        <v>272</v>
      </c>
      <c r="B438" s="18" t="s">
        <v>148</v>
      </c>
      <c r="C438" s="18" t="s">
        <v>267</v>
      </c>
      <c r="D438" s="20">
        <v>89</v>
      </c>
      <c r="E438" s="17" t="s">
        <v>524</v>
      </c>
      <c r="F438" s="19" t="s">
        <v>501</v>
      </c>
      <c r="G438" s="19" t="s">
        <v>525</v>
      </c>
      <c r="H438" s="19" t="s">
        <v>526</v>
      </c>
      <c r="I438" s="21">
        <v>275</v>
      </c>
      <c r="J438" s="21">
        <v>10</v>
      </c>
      <c r="K438" s="22">
        <v>9705</v>
      </c>
      <c r="L438" s="22">
        <v>11900</v>
      </c>
      <c r="M438" s="22">
        <v>11900</v>
      </c>
      <c r="N438" s="23">
        <v>-0.184453781512605</v>
      </c>
      <c r="O438" s="23">
        <v>-0.184453781512605</v>
      </c>
      <c r="P438" s="21">
        <v>3.0898876404494402</v>
      </c>
      <c r="Q438" s="22">
        <v>109.044943820225</v>
      </c>
    </row>
    <row r="439" spans="1:17" ht="15" customHeight="1" x14ac:dyDescent="0.2">
      <c r="A439" s="26" t="s">
        <v>275</v>
      </c>
      <c r="B439" s="27" t="s">
        <v>148</v>
      </c>
      <c r="C439" s="27" t="s">
        <v>267</v>
      </c>
      <c r="D439" s="29">
        <v>78</v>
      </c>
      <c r="E439" s="26" t="s">
        <v>524</v>
      </c>
      <c r="F439" s="28" t="s">
        <v>501</v>
      </c>
      <c r="G439" s="28" t="s">
        <v>525</v>
      </c>
      <c r="H439" s="28" t="s">
        <v>526</v>
      </c>
      <c r="I439" s="30">
        <v>135.5</v>
      </c>
      <c r="J439" s="30">
        <v>4</v>
      </c>
      <c r="K439" s="31">
        <v>4551.5</v>
      </c>
      <c r="L439" s="31">
        <v>6000</v>
      </c>
      <c r="M439" s="31">
        <v>6000</v>
      </c>
      <c r="N439" s="32">
        <v>-0.241416666666667</v>
      </c>
      <c r="O439" s="32">
        <v>-0.241416666666667</v>
      </c>
      <c r="P439" s="30">
        <v>1.7371794871794899</v>
      </c>
      <c r="Q439" s="31">
        <v>58.352564102564102</v>
      </c>
    </row>
    <row r="440" spans="1:17" ht="15" customHeight="1" x14ac:dyDescent="0.2">
      <c r="A440" s="17" t="s">
        <v>280</v>
      </c>
      <c r="B440" s="18" t="s">
        <v>148</v>
      </c>
      <c r="C440" s="18" t="s">
        <v>267</v>
      </c>
      <c r="D440" s="20">
        <v>110</v>
      </c>
      <c r="E440" s="17" t="s">
        <v>524</v>
      </c>
      <c r="F440" s="19" t="s">
        <v>501</v>
      </c>
      <c r="G440" s="19" t="s">
        <v>525</v>
      </c>
      <c r="H440" s="19" t="s">
        <v>526</v>
      </c>
      <c r="I440" s="21">
        <v>136.5</v>
      </c>
      <c r="J440" s="21">
        <v>9.5</v>
      </c>
      <c r="K440" s="22">
        <v>5168.5</v>
      </c>
      <c r="L440" s="22">
        <v>11000</v>
      </c>
      <c r="M440" s="22">
        <v>11000</v>
      </c>
      <c r="N440" s="23">
        <v>-0.53013636363636396</v>
      </c>
      <c r="O440" s="23">
        <v>-0.53013636363636396</v>
      </c>
      <c r="P440" s="21">
        <v>1.2409090909090901</v>
      </c>
      <c r="Q440" s="22">
        <v>46.986363636363599</v>
      </c>
    </row>
    <row r="441" spans="1:17" ht="15" customHeight="1" x14ac:dyDescent="0.2">
      <c r="A441" s="26" t="s">
        <v>285</v>
      </c>
      <c r="B441" s="27" t="s">
        <v>148</v>
      </c>
      <c r="C441" s="27" t="s">
        <v>267</v>
      </c>
      <c r="D441" s="29">
        <v>296</v>
      </c>
      <c r="E441" s="26" t="s">
        <v>524</v>
      </c>
      <c r="F441" s="28" t="s">
        <v>501</v>
      </c>
      <c r="G441" s="28" t="s">
        <v>525</v>
      </c>
      <c r="H441" s="28" t="s">
        <v>526</v>
      </c>
      <c r="I441" s="30">
        <v>391</v>
      </c>
      <c r="J441" s="30">
        <v>19</v>
      </c>
      <c r="K441" s="31">
        <v>11964.5</v>
      </c>
      <c r="L441" s="31">
        <v>14400</v>
      </c>
      <c r="M441" s="31">
        <v>16200</v>
      </c>
      <c r="N441" s="32">
        <v>-0.16913194444444399</v>
      </c>
      <c r="O441" s="32">
        <v>-0.26145061728395103</v>
      </c>
      <c r="P441" s="30">
        <v>1.3209459459459501</v>
      </c>
      <c r="Q441" s="31">
        <v>40.420608108108098</v>
      </c>
    </row>
    <row r="442" spans="1:17" ht="15" customHeight="1" x14ac:dyDescent="0.2">
      <c r="A442" s="17" t="s">
        <v>286</v>
      </c>
      <c r="B442" s="18" t="s">
        <v>148</v>
      </c>
      <c r="C442" s="18" t="s">
        <v>267</v>
      </c>
      <c r="D442" s="20">
        <v>50</v>
      </c>
      <c r="E442" s="17" t="s">
        <v>524</v>
      </c>
      <c r="F442" s="19" t="s">
        <v>501</v>
      </c>
      <c r="G442" s="19" t="s">
        <v>525</v>
      </c>
      <c r="H442" s="19" t="s">
        <v>526</v>
      </c>
      <c r="I442" s="21">
        <v>178</v>
      </c>
      <c r="J442" s="21">
        <v>11</v>
      </c>
      <c r="K442" s="22">
        <v>5268.5</v>
      </c>
      <c r="L442" s="22">
        <v>6050</v>
      </c>
      <c r="M442" s="22">
        <v>6170</v>
      </c>
      <c r="N442" s="23">
        <v>-0.12917355371900799</v>
      </c>
      <c r="O442" s="23">
        <v>-0.14611021069692101</v>
      </c>
      <c r="P442" s="21">
        <v>3.56</v>
      </c>
      <c r="Q442" s="22">
        <v>105.37</v>
      </c>
    </row>
    <row r="443" spans="1:17" ht="15" customHeight="1" x14ac:dyDescent="0.2">
      <c r="A443" s="26" t="s">
        <v>287</v>
      </c>
      <c r="B443" s="27" t="s">
        <v>148</v>
      </c>
      <c r="C443" s="27" t="s">
        <v>267</v>
      </c>
      <c r="D443" s="29">
        <v>163</v>
      </c>
      <c r="E443" s="26" t="s">
        <v>524</v>
      </c>
      <c r="F443" s="28" t="s">
        <v>501</v>
      </c>
      <c r="G443" s="28" t="s">
        <v>525</v>
      </c>
      <c r="H443" s="28" t="s">
        <v>526</v>
      </c>
      <c r="I443" s="30"/>
      <c r="J443" s="30"/>
      <c r="K443" s="31">
        <v>10694</v>
      </c>
      <c r="L443" s="31">
        <v>11900</v>
      </c>
      <c r="M443" s="31">
        <v>14255</v>
      </c>
      <c r="N443" s="32">
        <v>-0.10134453781512601</v>
      </c>
      <c r="O443" s="32">
        <v>-0.24980708523325201</v>
      </c>
      <c r="P443" s="30"/>
      <c r="Q443" s="31">
        <v>65.607361963190201</v>
      </c>
    </row>
    <row r="444" spans="1:17" ht="15" customHeight="1" x14ac:dyDescent="0.2">
      <c r="A444" s="17" t="s">
        <v>289</v>
      </c>
      <c r="B444" s="18" t="s">
        <v>148</v>
      </c>
      <c r="C444" s="18" t="s">
        <v>267</v>
      </c>
      <c r="D444" s="20">
        <v>107</v>
      </c>
      <c r="E444" s="17" t="s">
        <v>524</v>
      </c>
      <c r="F444" s="19" t="s">
        <v>501</v>
      </c>
      <c r="G444" s="19" t="s">
        <v>525</v>
      </c>
      <c r="H444" s="19" t="s">
        <v>526</v>
      </c>
      <c r="I444" s="21">
        <v>103</v>
      </c>
      <c r="J444" s="21">
        <v>3</v>
      </c>
      <c r="K444" s="22">
        <v>4126.5</v>
      </c>
      <c r="L444" s="22">
        <v>9750</v>
      </c>
      <c r="M444" s="22">
        <v>10050</v>
      </c>
      <c r="N444" s="23">
        <v>-0.57676923076923103</v>
      </c>
      <c r="O444" s="23">
        <v>-0.58940298507462696</v>
      </c>
      <c r="P444" s="21">
        <v>0.96261682242990698</v>
      </c>
      <c r="Q444" s="22">
        <v>38.565420560747697</v>
      </c>
    </row>
    <row r="445" spans="1:17" ht="15" customHeight="1" x14ac:dyDescent="0.2">
      <c r="A445" s="26" t="s">
        <v>292</v>
      </c>
      <c r="B445" s="27" t="s">
        <v>148</v>
      </c>
      <c r="C445" s="27" t="s">
        <v>267</v>
      </c>
      <c r="D445" s="29">
        <v>136</v>
      </c>
      <c r="E445" s="26" t="s">
        <v>524</v>
      </c>
      <c r="F445" s="28" t="s">
        <v>501</v>
      </c>
      <c r="G445" s="28" t="s">
        <v>525</v>
      </c>
      <c r="H445" s="28" t="s">
        <v>526</v>
      </c>
      <c r="I445" s="30">
        <v>425.5</v>
      </c>
      <c r="J445" s="30"/>
      <c r="K445" s="31">
        <v>13994</v>
      </c>
      <c r="L445" s="31">
        <v>8100</v>
      </c>
      <c r="M445" s="31">
        <v>8550</v>
      </c>
      <c r="N445" s="32">
        <v>0.72765432098765404</v>
      </c>
      <c r="O445" s="32">
        <v>0.63672514619883003</v>
      </c>
      <c r="P445" s="30">
        <v>3.1286764705882399</v>
      </c>
      <c r="Q445" s="31">
        <v>102.89705882352899</v>
      </c>
    </row>
    <row r="446" spans="1:17" ht="15" customHeight="1" x14ac:dyDescent="0.2">
      <c r="A446" s="17" t="s">
        <v>295</v>
      </c>
      <c r="B446" s="18" t="s">
        <v>148</v>
      </c>
      <c r="C446" s="18" t="s">
        <v>267</v>
      </c>
      <c r="D446" s="20">
        <v>68</v>
      </c>
      <c r="E446" s="17" t="s">
        <v>524</v>
      </c>
      <c r="F446" s="19" t="s">
        <v>501</v>
      </c>
      <c r="G446" s="19" t="s">
        <v>525</v>
      </c>
      <c r="H446" s="19" t="s">
        <v>526</v>
      </c>
      <c r="I446" s="21">
        <v>210</v>
      </c>
      <c r="J446" s="21"/>
      <c r="K446" s="22">
        <v>6735</v>
      </c>
      <c r="L446" s="22">
        <v>7500</v>
      </c>
      <c r="M446" s="22">
        <v>7500</v>
      </c>
      <c r="N446" s="23">
        <v>-0.10199999999999999</v>
      </c>
      <c r="O446" s="23">
        <v>-0.10199999999999999</v>
      </c>
      <c r="P446" s="21">
        <v>3.0882352941176499</v>
      </c>
      <c r="Q446" s="22">
        <v>99.044117647058798</v>
      </c>
    </row>
    <row r="447" spans="1:17" ht="15" customHeight="1" x14ac:dyDescent="0.2">
      <c r="A447" s="26" t="s">
        <v>298</v>
      </c>
      <c r="B447" s="27" t="s">
        <v>148</v>
      </c>
      <c r="C447" s="27" t="s">
        <v>267</v>
      </c>
      <c r="D447" s="29">
        <v>98</v>
      </c>
      <c r="E447" s="26" t="s">
        <v>524</v>
      </c>
      <c r="F447" s="28" t="s">
        <v>501</v>
      </c>
      <c r="G447" s="28" t="s">
        <v>525</v>
      </c>
      <c r="H447" s="28" t="s">
        <v>526</v>
      </c>
      <c r="I447" s="30">
        <v>210.5</v>
      </c>
      <c r="J447" s="30"/>
      <c r="K447" s="31">
        <v>7800</v>
      </c>
      <c r="L447" s="31">
        <v>9600</v>
      </c>
      <c r="M447" s="31">
        <v>9600</v>
      </c>
      <c r="N447" s="32">
        <v>-0.1875</v>
      </c>
      <c r="O447" s="32">
        <v>-0.1875</v>
      </c>
      <c r="P447" s="30">
        <v>2.1479591836734699</v>
      </c>
      <c r="Q447" s="31">
        <v>79.591836734693899</v>
      </c>
    </row>
    <row r="448" spans="1:17" ht="15" customHeight="1" x14ac:dyDescent="0.2">
      <c r="A448" s="17" t="s">
        <v>300</v>
      </c>
      <c r="B448" s="18" t="s">
        <v>148</v>
      </c>
      <c r="C448" s="18" t="s">
        <v>267</v>
      </c>
      <c r="D448" s="20">
        <v>321</v>
      </c>
      <c r="E448" s="17" t="s">
        <v>524</v>
      </c>
      <c r="F448" s="19" t="s">
        <v>501</v>
      </c>
      <c r="G448" s="19" t="s">
        <v>525</v>
      </c>
      <c r="H448" s="19" t="s">
        <v>526</v>
      </c>
      <c r="I448" s="21">
        <v>365</v>
      </c>
      <c r="J448" s="21"/>
      <c r="K448" s="22">
        <v>12589</v>
      </c>
      <c r="L448" s="22">
        <v>20250</v>
      </c>
      <c r="M448" s="22">
        <v>22750</v>
      </c>
      <c r="N448" s="23">
        <v>-0.37832098765432098</v>
      </c>
      <c r="O448" s="23">
        <v>-0.44663736263736298</v>
      </c>
      <c r="P448" s="21">
        <v>1.13707165109034</v>
      </c>
      <c r="Q448" s="22">
        <v>39.218068535825502</v>
      </c>
    </row>
    <row r="449" spans="1:17" ht="15" customHeight="1" x14ac:dyDescent="0.2">
      <c r="A449" s="26" t="s">
        <v>302</v>
      </c>
      <c r="B449" s="27" t="s">
        <v>148</v>
      </c>
      <c r="C449" s="27" t="s">
        <v>267</v>
      </c>
      <c r="D449" s="29">
        <v>111</v>
      </c>
      <c r="E449" s="26" t="s">
        <v>524</v>
      </c>
      <c r="F449" s="28" t="s">
        <v>501</v>
      </c>
      <c r="G449" s="28" t="s">
        <v>525</v>
      </c>
      <c r="H449" s="28" t="s">
        <v>526</v>
      </c>
      <c r="I449" s="30">
        <v>255</v>
      </c>
      <c r="J449" s="30"/>
      <c r="K449" s="31">
        <v>8361</v>
      </c>
      <c r="L449" s="31">
        <v>6750</v>
      </c>
      <c r="M449" s="31">
        <v>7520</v>
      </c>
      <c r="N449" s="32">
        <v>0.238666666666667</v>
      </c>
      <c r="O449" s="32">
        <v>0.111835106382979</v>
      </c>
      <c r="P449" s="30">
        <v>2.2972972972973</v>
      </c>
      <c r="Q449" s="31">
        <v>75.324324324324294</v>
      </c>
    </row>
    <row r="450" spans="1:17" ht="15" customHeight="1" x14ac:dyDescent="0.2">
      <c r="A450" s="17" t="s">
        <v>304</v>
      </c>
      <c r="B450" s="18" t="s">
        <v>148</v>
      </c>
      <c r="C450" s="18" t="s">
        <v>267</v>
      </c>
      <c r="D450" s="20">
        <v>77</v>
      </c>
      <c r="E450" s="17" t="s">
        <v>524</v>
      </c>
      <c r="F450" s="19" t="s">
        <v>501</v>
      </c>
      <c r="G450" s="19" t="s">
        <v>525</v>
      </c>
      <c r="H450" s="19" t="s">
        <v>526</v>
      </c>
      <c r="I450" s="21">
        <v>201</v>
      </c>
      <c r="J450" s="21"/>
      <c r="K450" s="22">
        <v>5276</v>
      </c>
      <c r="L450" s="22">
        <v>9750</v>
      </c>
      <c r="M450" s="22">
        <v>10230</v>
      </c>
      <c r="N450" s="23">
        <v>-0.45887179487179502</v>
      </c>
      <c r="O450" s="23">
        <v>-0.484261974584555</v>
      </c>
      <c r="P450" s="21">
        <v>2.61038961038961</v>
      </c>
      <c r="Q450" s="22">
        <v>68.519480519480496</v>
      </c>
    </row>
    <row r="451" spans="1:17" ht="15" customHeight="1" x14ac:dyDescent="0.2">
      <c r="A451" s="26" t="s">
        <v>306</v>
      </c>
      <c r="B451" s="27" t="s">
        <v>148</v>
      </c>
      <c r="C451" s="27" t="s">
        <v>267</v>
      </c>
      <c r="D451" s="29">
        <v>365</v>
      </c>
      <c r="E451" s="26" t="s">
        <v>524</v>
      </c>
      <c r="F451" s="28" t="s">
        <v>501</v>
      </c>
      <c r="G451" s="28" t="s">
        <v>525</v>
      </c>
      <c r="H451" s="28" t="s">
        <v>526</v>
      </c>
      <c r="I451" s="30">
        <v>183</v>
      </c>
      <c r="J451" s="30"/>
      <c r="K451" s="31">
        <v>7514</v>
      </c>
      <c r="L451" s="31">
        <v>7300</v>
      </c>
      <c r="M451" s="31">
        <v>7300</v>
      </c>
      <c r="N451" s="32">
        <v>2.9315068493150701E-2</v>
      </c>
      <c r="O451" s="32">
        <v>2.9315068493150701E-2</v>
      </c>
      <c r="P451" s="30">
        <v>0.50136986301369901</v>
      </c>
      <c r="Q451" s="31">
        <v>20.586301369863001</v>
      </c>
    </row>
    <row r="452" spans="1:17" ht="15" customHeight="1" x14ac:dyDescent="0.2">
      <c r="A452" s="17" t="s">
        <v>309</v>
      </c>
      <c r="B452" s="18" t="s">
        <v>148</v>
      </c>
      <c r="C452" s="18" t="s">
        <v>267</v>
      </c>
      <c r="D452" s="20">
        <v>270</v>
      </c>
      <c r="E452" s="17" t="s">
        <v>524</v>
      </c>
      <c r="F452" s="19" t="s">
        <v>501</v>
      </c>
      <c r="G452" s="19" t="s">
        <v>525</v>
      </c>
      <c r="H452" s="19" t="s">
        <v>526</v>
      </c>
      <c r="I452" s="21">
        <v>435</v>
      </c>
      <c r="J452" s="21">
        <v>14</v>
      </c>
      <c r="K452" s="22">
        <v>17179.5</v>
      </c>
      <c r="L452" s="22">
        <v>60000</v>
      </c>
      <c r="M452" s="22">
        <v>55700</v>
      </c>
      <c r="N452" s="23">
        <v>-0.71367499999999995</v>
      </c>
      <c r="O452" s="23">
        <v>-0.69157091561938999</v>
      </c>
      <c r="P452" s="21">
        <v>1.6111111111111101</v>
      </c>
      <c r="Q452" s="22">
        <v>63.627777777777801</v>
      </c>
    </row>
    <row r="453" spans="1:17" ht="15" customHeight="1" x14ac:dyDescent="0.2">
      <c r="A453" s="35" t="s">
        <v>312</v>
      </c>
      <c r="B453" s="36" t="s">
        <v>313</v>
      </c>
      <c r="C453" s="36" t="s">
        <v>267</v>
      </c>
      <c r="D453" s="38">
        <v>170</v>
      </c>
      <c r="E453" s="35" t="s">
        <v>524</v>
      </c>
      <c r="F453" s="37" t="s">
        <v>501</v>
      </c>
      <c r="G453" s="37" t="s">
        <v>525</v>
      </c>
      <c r="H453" s="37" t="s">
        <v>526</v>
      </c>
      <c r="I453" s="39">
        <v>490.5</v>
      </c>
      <c r="J453" s="39">
        <v>1</v>
      </c>
      <c r="K453" s="40">
        <v>23969.5</v>
      </c>
      <c r="L453" s="40">
        <v>11400</v>
      </c>
      <c r="M453" s="40">
        <v>13400</v>
      </c>
      <c r="N453" s="41">
        <v>1.1025877192982501</v>
      </c>
      <c r="O453" s="41">
        <v>0.78876865671641805</v>
      </c>
      <c r="P453" s="39">
        <v>2.8852941176470601</v>
      </c>
      <c r="Q453" s="40">
        <v>140.99705882352899</v>
      </c>
    </row>
    <row r="454" spans="1:17" ht="15" customHeight="1" x14ac:dyDescent="0.2">
      <c r="A454" s="35" t="s">
        <v>316</v>
      </c>
      <c r="B454" s="36" t="s">
        <v>313</v>
      </c>
      <c r="C454" s="36" t="s">
        <v>267</v>
      </c>
      <c r="D454" s="38">
        <v>234</v>
      </c>
      <c r="E454" s="35" t="s">
        <v>524</v>
      </c>
      <c r="F454" s="37" t="s">
        <v>501</v>
      </c>
      <c r="G454" s="37" t="s">
        <v>525</v>
      </c>
      <c r="H454" s="37" t="s">
        <v>526</v>
      </c>
      <c r="I454" s="39">
        <v>430.75</v>
      </c>
      <c r="J454" s="39"/>
      <c r="K454" s="40">
        <v>21237.25</v>
      </c>
      <c r="L454" s="40">
        <v>9550</v>
      </c>
      <c r="M454" s="40">
        <v>25250</v>
      </c>
      <c r="N454" s="41">
        <v>1.2237958115183301</v>
      </c>
      <c r="O454" s="41">
        <v>-0.15892079207920801</v>
      </c>
      <c r="P454" s="39">
        <v>1.8408119658119699</v>
      </c>
      <c r="Q454" s="40">
        <v>90.757478632478595</v>
      </c>
    </row>
    <row r="455" spans="1:17" ht="15" customHeight="1" x14ac:dyDescent="0.2">
      <c r="A455" s="35" t="s">
        <v>319</v>
      </c>
      <c r="B455" s="36" t="s">
        <v>313</v>
      </c>
      <c r="C455" s="36" t="s">
        <v>267</v>
      </c>
      <c r="D455" s="38">
        <v>24</v>
      </c>
      <c r="E455" s="35" t="s">
        <v>524</v>
      </c>
      <c r="F455" s="37" t="s">
        <v>501</v>
      </c>
      <c r="G455" s="37" t="s">
        <v>525</v>
      </c>
      <c r="H455" s="37" t="s">
        <v>526</v>
      </c>
      <c r="I455" s="39">
        <v>82.25</v>
      </c>
      <c r="J455" s="39"/>
      <c r="K455" s="40">
        <v>3848</v>
      </c>
      <c r="L455" s="40">
        <v>4000</v>
      </c>
      <c r="M455" s="40">
        <v>4000</v>
      </c>
      <c r="N455" s="41">
        <v>-3.7999999999999999E-2</v>
      </c>
      <c r="O455" s="41">
        <v>-3.7999999999999999E-2</v>
      </c>
      <c r="P455" s="39">
        <v>3.4270833333333299</v>
      </c>
      <c r="Q455" s="40">
        <v>160.333333333333</v>
      </c>
    </row>
    <row r="456" spans="1:17" ht="15" customHeight="1" x14ac:dyDescent="0.2">
      <c r="A456" s="35" t="s">
        <v>327</v>
      </c>
      <c r="B456" s="36" t="s">
        <v>313</v>
      </c>
      <c r="C456" s="36" t="s">
        <v>267</v>
      </c>
      <c r="D456" s="38">
        <v>244</v>
      </c>
      <c r="E456" s="35" t="s">
        <v>524</v>
      </c>
      <c r="F456" s="37" t="s">
        <v>501</v>
      </c>
      <c r="G456" s="37" t="s">
        <v>525</v>
      </c>
      <c r="H456" s="37" t="s">
        <v>526</v>
      </c>
      <c r="I456" s="39">
        <v>211.75</v>
      </c>
      <c r="J456" s="39"/>
      <c r="K456" s="40">
        <v>7647.75</v>
      </c>
      <c r="L456" s="40">
        <v>5400</v>
      </c>
      <c r="M456" s="40">
        <v>11400</v>
      </c>
      <c r="N456" s="41">
        <v>0.41625000000000001</v>
      </c>
      <c r="O456" s="41">
        <v>-0.32914473684210499</v>
      </c>
      <c r="P456" s="39">
        <v>0.86782786885245899</v>
      </c>
      <c r="Q456" s="40">
        <v>31.343237704918</v>
      </c>
    </row>
    <row r="457" spans="1:17" ht="15" customHeight="1" x14ac:dyDescent="0.2">
      <c r="A457" s="26" t="s">
        <v>147</v>
      </c>
      <c r="B457" s="27" t="s">
        <v>148</v>
      </c>
      <c r="C457" s="27" t="s">
        <v>149</v>
      </c>
      <c r="D457" s="29">
        <v>234</v>
      </c>
      <c r="E457" s="26" t="s">
        <v>527</v>
      </c>
      <c r="F457" s="28" t="s">
        <v>501</v>
      </c>
      <c r="G457" s="28" t="s">
        <v>528</v>
      </c>
      <c r="H457" s="28" t="s">
        <v>529</v>
      </c>
      <c r="I457" s="30"/>
      <c r="J457" s="30"/>
      <c r="K457" s="31">
        <v>36651.379999999997</v>
      </c>
      <c r="L457" s="31">
        <v>36300</v>
      </c>
      <c r="M457" s="31">
        <v>36300</v>
      </c>
      <c r="N457" s="32">
        <v>9.6798898071624607E-3</v>
      </c>
      <c r="O457" s="32">
        <v>9.6798898071624607E-3</v>
      </c>
      <c r="P457" s="30"/>
      <c r="Q457" s="31">
        <v>156.62982905982901</v>
      </c>
    </row>
    <row r="458" spans="1:17" ht="15" customHeight="1" x14ac:dyDescent="0.2">
      <c r="A458" s="17" t="s">
        <v>152</v>
      </c>
      <c r="B458" s="18" t="s">
        <v>148</v>
      </c>
      <c r="C458" s="18" t="s">
        <v>149</v>
      </c>
      <c r="D458" s="20">
        <v>258</v>
      </c>
      <c r="E458" s="17" t="s">
        <v>527</v>
      </c>
      <c r="F458" s="19" t="s">
        <v>501</v>
      </c>
      <c r="G458" s="19" t="s">
        <v>528</v>
      </c>
      <c r="H458" s="19" t="s">
        <v>529</v>
      </c>
      <c r="I458" s="21"/>
      <c r="J458" s="21"/>
      <c r="K458" s="22">
        <v>64816.03</v>
      </c>
      <c r="L458" s="22">
        <v>40050</v>
      </c>
      <c r="M458" s="22">
        <v>40050</v>
      </c>
      <c r="N458" s="23">
        <v>0.61837777777777803</v>
      </c>
      <c r="O458" s="23">
        <v>0.61837777777777803</v>
      </c>
      <c r="P458" s="21"/>
      <c r="Q458" s="22">
        <v>251.22492248061999</v>
      </c>
    </row>
    <row r="459" spans="1:17" ht="15" customHeight="1" x14ac:dyDescent="0.2">
      <c r="A459" s="26" t="s">
        <v>154</v>
      </c>
      <c r="B459" s="27" t="s">
        <v>148</v>
      </c>
      <c r="C459" s="27" t="s">
        <v>149</v>
      </c>
      <c r="D459" s="29">
        <v>56</v>
      </c>
      <c r="E459" s="26" t="s">
        <v>527</v>
      </c>
      <c r="F459" s="28" t="s">
        <v>501</v>
      </c>
      <c r="G459" s="28" t="s">
        <v>528</v>
      </c>
      <c r="H459" s="28" t="s">
        <v>529</v>
      </c>
      <c r="I459" s="30"/>
      <c r="J459" s="30"/>
      <c r="K459" s="31"/>
      <c r="L459" s="31"/>
      <c r="M459" s="31"/>
      <c r="N459" s="32"/>
      <c r="O459" s="32"/>
      <c r="P459" s="30"/>
      <c r="Q459" s="31"/>
    </row>
    <row r="460" spans="1:17" ht="15" customHeight="1" x14ac:dyDescent="0.2">
      <c r="A460" s="17" t="s">
        <v>157</v>
      </c>
      <c r="B460" s="18" t="s">
        <v>148</v>
      </c>
      <c r="C460" s="18" t="s">
        <v>149</v>
      </c>
      <c r="D460" s="20">
        <v>149</v>
      </c>
      <c r="E460" s="17" t="s">
        <v>527</v>
      </c>
      <c r="F460" s="19" t="s">
        <v>501</v>
      </c>
      <c r="G460" s="19" t="s">
        <v>528</v>
      </c>
      <c r="H460" s="19" t="s">
        <v>529</v>
      </c>
      <c r="I460" s="21"/>
      <c r="J460" s="21"/>
      <c r="K460" s="22">
        <v>3672</v>
      </c>
      <c r="L460" s="22">
        <v>14900</v>
      </c>
      <c r="M460" s="22">
        <v>33900</v>
      </c>
      <c r="N460" s="23">
        <v>-0.75355704697986603</v>
      </c>
      <c r="O460" s="23">
        <v>-0.89168141592920402</v>
      </c>
      <c r="P460" s="21"/>
      <c r="Q460" s="22">
        <v>24.644295302013401</v>
      </c>
    </row>
    <row r="461" spans="1:17" ht="15" customHeight="1" x14ac:dyDescent="0.2">
      <c r="A461" s="26" t="s">
        <v>159</v>
      </c>
      <c r="B461" s="27" t="s">
        <v>148</v>
      </c>
      <c r="C461" s="27" t="s">
        <v>149</v>
      </c>
      <c r="D461" s="29">
        <v>117</v>
      </c>
      <c r="E461" s="26" t="s">
        <v>527</v>
      </c>
      <c r="F461" s="28" t="s">
        <v>501</v>
      </c>
      <c r="G461" s="28" t="s">
        <v>528</v>
      </c>
      <c r="H461" s="28" t="s">
        <v>529</v>
      </c>
      <c r="I461" s="30"/>
      <c r="J461" s="30"/>
      <c r="K461" s="31">
        <v>208</v>
      </c>
      <c r="L461" s="31"/>
      <c r="M461" s="31"/>
      <c r="N461" s="32"/>
      <c r="O461" s="32"/>
      <c r="P461" s="30"/>
      <c r="Q461" s="31">
        <v>1.7777777777777799</v>
      </c>
    </row>
    <row r="462" spans="1:17" ht="15" customHeight="1" x14ac:dyDescent="0.2">
      <c r="A462" s="17" t="s">
        <v>161</v>
      </c>
      <c r="B462" s="18" t="s">
        <v>148</v>
      </c>
      <c r="C462" s="18" t="s">
        <v>149</v>
      </c>
      <c r="D462" s="20">
        <v>162</v>
      </c>
      <c r="E462" s="17" t="s">
        <v>527</v>
      </c>
      <c r="F462" s="19" t="s">
        <v>501</v>
      </c>
      <c r="G462" s="19" t="s">
        <v>528</v>
      </c>
      <c r="H462" s="19" t="s">
        <v>529</v>
      </c>
      <c r="I462" s="21">
        <v>800</v>
      </c>
      <c r="J462" s="21"/>
      <c r="K462" s="22">
        <v>15756</v>
      </c>
      <c r="L462" s="22">
        <v>41000</v>
      </c>
      <c r="M462" s="22">
        <v>41000</v>
      </c>
      <c r="N462" s="23">
        <v>-0.61570731707317095</v>
      </c>
      <c r="O462" s="23">
        <v>-0.61570731707317095</v>
      </c>
      <c r="P462" s="21">
        <v>4.9382716049382704</v>
      </c>
      <c r="Q462" s="22">
        <v>97.259259259259295</v>
      </c>
    </row>
    <row r="463" spans="1:17" ht="15" customHeight="1" x14ac:dyDescent="0.2">
      <c r="A463" s="26" t="s">
        <v>165</v>
      </c>
      <c r="B463" s="27" t="s">
        <v>148</v>
      </c>
      <c r="C463" s="27" t="s">
        <v>149</v>
      </c>
      <c r="D463" s="29">
        <v>197</v>
      </c>
      <c r="E463" s="26" t="s">
        <v>527</v>
      </c>
      <c r="F463" s="28" t="s">
        <v>501</v>
      </c>
      <c r="G463" s="28" t="s">
        <v>528</v>
      </c>
      <c r="H463" s="28" t="s">
        <v>529</v>
      </c>
      <c r="I463" s="30"/>
      <c r="J463" s="30"/>
      <c r="K463" s="31">
        <v>37466.75</v>
      </c>
      <c r="L463" s="31">
        <v>29805</v>
      </c>
      <c r="M463" s="31">
        <v>35505</v>
      </c>
      <c r="N463" s="32">
        <v>0.25706257339372601</v>
      </c>
      <c r="O463" s="32">
        <v>5.5252781298408701E-2</v>
      </c>
      <c r="P463" s="30"/>
      <c r="Q463" s="31">
        <v>190.18654822335</v>
      </c>
    </row>
    <row r="464" spans="1:17" ht="15" customHeight="1" x14ac:dyDescent="0.2">
      <c r="A464" s="17" t="s">
        <v>167</v>
      </c>
      <c r="B464" s="18" t="s">
        <v>148</v>
      </c>
      <c r="C464" s="18" t="s">
        <v>149</v>
      </c>
      <c r="D464" s="20">
        <v>119</v>
      </c>
      <c r="E464" s="17" t="s">
        <v>527</v>
      </c>
      <c r="F464" s="19" t="s">
        <v>501</v>
      </c>
      <c r="G464" s="19" t="s">
        <v>528</v>
      </c>
      <c r="H464" s="19" t="s">
        <v>529</v>
      </c>
      <c r="I464" s="21"/>
      <c r="J464" s="21"/>
      <c r="K464" s="22">
        <v>19505.5</v>
      </c>
      <c r="L464" s="22">
        <v>32000</v>
      </c>
      <c r="M464" s="22">
        <v>32000</v>
      </c>
      <c r="N464" s="23">
        <v>-0.39045312500000001</v>
      </c>
      <c r="O464" s="23">
        <v>-0.39045312500000001</v>
      </c>
      <c r="P464" s="21"/>
      <c r="Q464" s="22">
        <v>163.91176470588201</v>
      </c>
    </row>
    <row r="465" spans="1:17" ht="15" customHeight="1" x14ac:dyDescent="0.2">
      <c r="A465" s="26" t="s">
        <v>169</v>
      </c>
      <c r="B465" s="27" t="s">
        <v>148</v>
      </c>
      <c r="C465" s="27" t="s">
        <v>149</v>
      </c>
      <c r="D465" s="29">
        <v>211</v>
      </c>
      <c r="E465" s="26" t="s">
        <v>527</v>
      </c>
      <c r="F465" s="28" t="s">
        <v>501</v>
      </c>
      <c r="G465" s="28" t="s">
        <v>528</v>
      </c>
      <c r="H465" s="28" t="s">
        <v>529</v>
      </c>
      <c r="I465" s="30"/>
      <c r="J465" s="30"/>
      <c r="K465" s="31">
        <v>31534.47</v>
      </c>
      <c r="L465" s="31">
        <v>40550</v>
      </c>
      <c r="M465" s="31">
        <v>40550</v>
      </c>
      <c r="N465" s="32">
        <v>-0.222331196054254</v>
      </c>
      <c r="O465" s="32">
        <v>-0.222331196054254</v>
      </c>
      <c r="P465" s="30"/>
      <c r="Q465" s="31">
        <v>149.452464454976</v>
      </c>
    </row>
    <row r="466" spans="1:17" ht="15" customHeight="1" x14ac:dyDescent="0.2">
      <c r="A466" s="17" t="s">
        <v>171</v>
      </c>
      <c r="B466" s="18" t="s">
        <v>148</v>
      </c>
      <c r="C466" s="18" t="s">
        <v>149</v>
      </c>
      <c r="D466" s="20">
        <v>211</v>
      </c>
      <c r="E466" s="17" t="s">
        <v>527</v>
      </c>
      <c r="F466" s="19" t="s">
        <v>501</v>
      </c>
      <c r="G466" s="19" t="s">
        <v>528</v>
      </c>
      <c r="H466" s="19" t="s">
        <v>529</v>
      </c>
      <c r="I466" s="21"/>
      <c r="J466" s="21"/>
      <c r="K466" s="22">
        <v>39821.519999999997</v>
      </c>
      <c r="L466" s="22">
        <v>74800</v>
      </c>
      <c r="M466" s="22">
        <v>75430</v>
      </c>
      <c r="N466" s="23">
        <v>-0.46762673796791498</v>
      </c>
      <c r="O466" s="23">
        <v>-0.47207318043218899</v>
      </c>
      <c r="P466" s="21"/>
      <c r="Q466" s="22">
        <v>188.72758293838899</v>
      </c>
    </row>
    <row r="467" spans="1:17" ht="15" customHeight="1" x14ac:dyDescent="0.2">
      <c r="A467" s="26" t="s">
        <v>173</v>
      </c>
      <c r="B467" s="27" t="s">
        <v>148</v>
      </c>
      <c r="C467" s="27" t="s">
        <v>149</v>
      </c>
      <c r="D467" s="29">
        <v>256</v>
      </c>
      <c r="E467" s="26" t="s">
        <v>527</v>
      </c>
      <c r="F467" s="28" t="s">
        <v>501</v>
      </c>
      <c r="G467" s="28" t="s">
        <v>528</v>
      </c>
      <c r="H467" s="28" t="s">
        <v>529</v>
      </c>
      <c r="I467" s="30"/>
      <c r="J467" s="30"/>
      <c r="K467" s="31">
        <v>85831.88</v>
      </c>
      <c r="L467" s="31">
        <v>55600</v>
      </c>
      <c r="M467" s="31">
        <v>57029</v>
      </c>
      <c r="N467" s="32">
        <v>0.54373884892086299</v>
      </c>
      <c r="O467" s="32">
        <v>0.50505672552560998</v>
      </c>
      <c r="P467" s="30"/>
      <c r="Q467" s="31">
        <v>335.28078125000002</v>
      </c>
    </row>
    <row r="468" spans="1:17" ht="15" customHeight="1" x14ac:dyDescent="0.2">
      <c r="A468" s="17" t="s">
        <v>175</v>
      </c>
      <c r="B468" s="18" t="s">
        <v>148</v>
      </c>
      <c r="C468" s="18" t="s">
        <v>149</v>
      </c>
      <c r="D468" s="20">
        <v>136</v>
      </c>
      <c r="E468" s="17" t="s">
        <v>527</v>
      </c>
      <c r="F468" s="19" t="s">
        <v>501</v>
      </c>
      <c r="G468" s="19" t="s">
        <v>528</v>
      </c>
      <c r="H468" s="19" t="s">
        <v>529</v>
      </c>
      <c r="I468" s="21"/>
      <c r="J468" s="21"/>
      <c r="K468" s="22">
        <v>56135.73</v>
      </c>
      <c r="L468" s="22">
        <v>34750</v>
      </c>
      <c r="M468" s="22">
        <v>34890</v>
      </c>
      <c r="N468" s="23">
        <v>0.61541669064748195</v>
      </c>
      <c r="O468" s="23">
        <v>0.60893465176268302</v>
      </c>
      <c r="P468" s="21"/>
      <c r="Q468" s="22">
        <v>412.76272058823503</v>
      </c>
    </row>
    <row r="469" spans="1:17" ht="15" customHeight="1" x14ac:dyDescent="0.2">
      <c r="A469" s="26" t="s">
        <v>177</v>
      </c>
      <c r="B469" s="27" t="s">
        <v>148</v>
      </c>
      <c r="C469" s="27" t="s">
        <v>149</v>
      </c>
      <c r="D469" s="29">
        <v>18</v>
      </c>
      <c r="E469" s="26" t="s">
        <v>527</v>
      </c>
      <c r="F469" s="28" t="s">
        <v>501</v>
      </c>
      <c r="G469" s="28" t="s">
        <v>528</v>
      </c>
      <c r="H469" s="28" t="s">
        <v>529</v>
      </c>
      <c r="I469" s="30"/>
      <c r="J469" s="30"/>
      <c r="K469" s="31">
        <v>472.5</v>
      </c>
      <c r="L469" s="31"/>
      <c r="M469" s="31"/>
      <c r="N469" s="32"/>
      <c r="O469" s="32"/>
      <c r="P469" s="30"/>
      <c r="Q469" s="31">
        <v>26.25</v>
      </c>
    </row>
    <row r="470" spans="1:17" ht="15" customHeight="1" x14ac:dyDescent="0.2">
      <c r="A470" s="17" t="s">
        <v>179</v>
      </c>
      <c r="B470" s="18" t="s">
        <v>148</v>
      </c>
      <c r="C470" s="18" t="s">
        <v>180</v>
      </c>
      <c r="D470" s="20">
        <v>209</v>
      </c>
      <c r="E470" s="17" t="s">
        <v>527</v>
      </c>
      <c r="F470" s="19" t="s">
        <v>501</v>
      </c>
      <c r="G470" s="19" t="s">
        <v>528</v>
      </c>
      <c r="H470" s="19" t="s">
        <v>529</v>
      </c>
      <c r="I470" s="21">
        <v>3214.5</v>
      </c>
      <c r="J470" s="21">
        <v>4</v>
      </c>
      <c r="K470" s="22">
        <v>54198.43</v>
      </c>
      <c r="L470" s="22">
        <v>29430</v>
      </c>
      <c r="M470" s="22">
        <v>35287</v>
      </c>
      <c r="N470" s="23">
        <v>0.84160482500849498</v>
      </c>
      <c r="O470" s="23">
        <v>0.53593192960580405</v>
      </c>
      <c r="P470" s="21">
        <v>15.3803827751196</v>
      </c>
      <c r="Q470" s="22">
        <v>259.32263157894698</v>
      </c>
    </row>
    <row r="471" spans="1:17" ht="15" customHeight="1" x14ac:dyDescent="0.2">
      <c r="A471" s="26" t="s">
        <v>185</v>
      </c>
      <c r="B471" s="27" t="s">
        <v>148</v>
      </c>
      <c r="C471" s="27" t="s">
        <v>180</v>
      </c>
      <c r="D471" s="29">
        <v>117</v>
      </c>
      <c r="E471" s="26" t="s">
        <v>527</v>
      </c>
      <c r="F471" s="28" t="s">
        <v>501</v>
      </c>
      <c r="G471" s="28" t="s">
        <v>528</v>
      </c>
      <c r="H471" s="28" t="s">
        <v>529</v>
      </c>
      <c r="I471" s="30">
        <v>1554.5</v>
      </c>
      <c r="J471" s="30"/>
      <c r="K471" s="31">
        <v>33366.5</v>
      </c>
      <c r="L471" s="31">
        <v>27000</v>
      </c>
      <c r="M471" s="31">
        <v>27000</v>
      </c>
      <c r="N471" s="32">
        <v>0.235796296296296</v>
      </c>
      <c r="O471" s="32">
        <v>0.235796296296296</v>
      </c>
      <c r="P471" s="30">
        <v>13.2863247863248</v>
      </c>
      <c r="Q471" s="31">
        <v>285.18376068376102</v>
      </c>
    </row>
    <row r="472" spans="1:17" ht="15" customHeight="1" x14ac:dyDescent="0.2">
      <c r="A472" s="17" t="s">
        <v>190</v>
      </c>
      <c r="B472" s="18" t="s">
        <v>148</v>
      </c>
      <c r="C472" s="18" t="s">
        <v>180</v>
      </c>
      <c r="D472" s="20">
        <v>75</v>
      </c>
      <c r="E472" s="17" t="s">
        <v>527</v>
      </c>
      <c r="F472" s="19" t="s">
        <v>501</v>
      </c>
      <c r="G472" s="19" t="s">
        <v>528</v>
      </c>
      <c r="H472" s="19" t="s">
        <v>529</v>
      </c>
      <c r="I472" s="21">
        <v>921</v>
      </c>
      <c r="J472" s="21"/>
      <c r="K472" s="22">
        <v>20707</v>
      </c>
      <c r="L472" s="22">
        <v>34110</v>
      </c>
      <c r="M472" s="22">
        <v>34596</v>
      </c>
      <c r="N472" s="23">
        <v>-0.39293462327763101</v>
      </c>
      <c r="O472" s="23">
        <v>-0.40146259683200403</v>
      </c>
      <c r="P472" s="21">
        <v>12.28</v>
      </c>
      <c r="Q472" s="22">
        <v>276.09333333333302</v>
      </c>
    </row>
    <row r="473" spans="1:17" ht="15" customHeight="1" x14ac:dyDescent="0.2">
      <c r="A473" s="26" t="s">
        <v>195</v>
      </c>
      <c r="B473" s="27" t="s">
        <v>148</v>
      </c>
      <c r="C473" s="27" t="s">
        <v>180</v>
      </c>
      <c r="D473" s="29">
        <v>49</v>
      </c>
      <c r="E473" s="26" t="s">
        <v>527</v>
      </c>
      <c r="F473" s="28" t="s">
        <v>501</v>
      </c>
      <c r="G473" s="28" t="s">
        <v>528</v>
      </c>
      <c r="H473" s="28" t="s">
        <v>529</v>
      </c>
      <c r="I473" s="30">
        <v>967</v>
      </c>
      <c r="J473" s="30"/>
      <c r="K473" s="31">
        <v>20543</v>
      </c>
      <c r="L473" s="31">
        <v>18820</v>
      </c>
      <c r="M473" s="31">
        <v>18820</v>
      </c>
      <c r="N473" s="32">
        <v>9.1551540913921398E-2</v>
      </c>
      <c r="O473" s="32">
        <v>9.1551540913921398E-2</v>
      </c>
      <c r="P473" s="30">
        <v>19.734693877550999</v>
      </c>
      <c r="Q473" s="31">
        <v>419.24489795918402</v>
      </c>
    </row>
    <row r="474" spans="1:17" ht="15" customHeight="1" x14ac:dyDescent="0.2">
      <c r="A474" s="17" t="s">
        <v>201</v>
      </c>
      <c r="B474" s="18" t="s">
        <v>148</v>
      </c>
      <c r="C474" s="18" t="s">
        <v>180</v>
      </c>
      <c r="D474" s="20">
        <v>170</v>
      </c>
      <c r="E474" s="17" t="s">
        <v>527</v>
      </c>
      <c r="F474" s="19" t="s">
        <v>501</v>
      </c>
      <c r="G474" s="19" t="s">
        <v>528</v>
      </c>
      <c r="H474" s="19" t="s">
        <v>529</v>
      </c>
      <c r="I474" s="21">
        <v>2208</v>
      </c>
      <c r="J474" s="21">
        <v>16</v>
      </c>
      <c r="K474" s="22">
        <v>46631.5</v>
      </c>
      <c r="L474" s="22">
        <v>65315</v>
      </c>
      <c r="M474" s="22">
        <v>66415</v>
      </c>
      <c r="N474" s="23">
        <v>-0.28605220852790297</v>
      </c>
      <c r="O474" s="23">
        <v>-0.29787698562071802</v>
      </c>
      <c r="P474" s="21">
        <v>12.9882352941177</v>
      </c>
      <c r="Q474" s="22">
        <v>274.30294117647099</v>
      </c>
    </row>
    <row r="475" spans="1:17" ht="15" customHeight="1" x14ac:dyDescent="0.2">
      <c r="A475" s="26" t="s">
        <v>205</v>
      </c>
      <c r="B475" s="27" t="s">
        <v>148</v>
      </c>
      <c r="C475" s="27" t="s">
        <v>180</v>
      </c>
      <c r="D475" s="29">
        <v>296</v>
      </c>
      <c r="E475" s="26" t="s">
        <v>527</v>
      </c>
      <c r="F475" s="28" t="s">
        <v>501</v>
      </c>
      <c r="G475" s="28" t="s">
        <v>528</v>
      </c>
      <c r="H475" s="28" t="s">
        <v>529</v>
      </c>
      <c r="I475" s="30">
        <v>2837</v>
      </c>
      <c r="J475" s="30"/>
      <c r="K475" s="31">
        <v>60276</v>
      </c>
      <c r="L475" s="31">
        <v>124740</v>
      </c>
      <c r="M475" s="31">
        <v>124740</v>
      </c>
      <c r="N475" s="32">
        <v>-0.51678691678691702</v>
      </c>
      <c r="O475" s="32">
        <v>-0.51678691678691702</v>
      </c>
      <c r="P475" s="30">
        <v>9.5844594594594597</v>
      </c>
      <c r="Q475" s="31">
        <v>203.63513513513499</v>
      </c>
    </row>
    <row r="476" spans="1:17" ht="15" customHeight="1" x14ac:dyDescent="0.2">
      <c r="A476" s="17" t="s">
        <v>210</v>
      </c>
      <c r="B476" s="18" t="s">
        <v>148</v>
      </c>
      <c r="C476" s="18" t="s">
        <v>180</v>
      </c>
      <c r="D476" s="20">
        <v>83</v>
      </c>
      <c r="E476" s="17" t="s">
        <v>527</v>
      </c>
      <c r="F476" s="19" t="s">
        <v>501</v>
      </c>
      <c r="G476" s="19" t="s">
        <v>528</v>
      </c>
      <c r="H476" s="19" t="s">
        <v>529</v>
      </c>
      <c r="I476" s="21">
        <v>553</v>
      </c>
      <c r="J476" s="21"/>
      <c r="K476" s="22">
        <v>12249</v>
      </c>
      <c r="L476" s="22">
        <v>28200</v>
      </c>
      <c r="M476" s="22">
        <v>28756</v>
      </c>
      <c r="N476" s="23">
        <v>-0.56563829787233999</v>
      </c>
      <c r="O476" s="23">
        <v>-0.57403672277090001</v>
      </c>
      <c r="P476" s="21">
        <v>6.6626506024096397</v>
      </c>
      <c r="Q476" s="22">
        <v>147.578313253012</v>
      </c>
    </row>
    <row r="477" spans="1:17" ht="15" customHeight="1" x14ac:dyDescent="0.2">
      <c r="A477" s="26" t="s">
        <v>214</v>
      </c>
      <c r="B477" s="27" t="s">
        <v>148</v>
      </c>
      <c r="C477" s="27" t="s">
        <v>180</v>
      </c>
      <c r="D477" s="29">
        <v>144</v>
      </c>
      <c r="E477" s="26" t="s">
        <v>527</v>
      </c>
      <c r="F477" s="28" t="s">
        <v>501</v>
      </c>
      <c r="G477" s="28" t="s">
        <v>528</v>
      </c>
      <c r="H477" s="28" t="s">
        <v>529</v>
      </c>
      <c r="I477" s="30">
        <v>1889</v>
      </c>
      <c r="J477" s="30">
        <v>17</v>
      </c>
      <c r="K477" s="31">
        <v>42757</v>
      </c>
      <c r="L477" s="31">
        <v>44785</v>
      </c>
      <c r="M477" s="31">
        <v>49085</v>
      </c>
      <c r="N477" s="32">
        <v>-4.5283018867924497E-2</v>
      </c>
      <c r="O477" s="32">
        <v>-0.128919221758175</v>
      </c>
      <c r="P477" s="30">
        <v>13.1180555555556</v>
      </c>
      <c r="Q477" s="31">
        <v>296.92361111111097</v>
      </c>
    </row>
    <row r="478" spans="1:17" ht="15" customHeight="1" x14ac:dyDescent="0.2">
      <c r="A478" s="17" t="s">
        <v>219</v>
      </c>
      <c r="B478" s="18" t="s">
        <v>148</v>
      </c>
      <c r="C478" s="18" t="s">
        <v>180</v>
      </c>
      <c r="D478" s="20">
        <v>398</v>
      </c>
      <c r="E478" s="17" t="s">
        <v>527</v>
      </c>
      <c r="F478" s="19" t="s">
        <v>501</v>
      </c>
      <c r="G478" s="19" t="s">
        <v>528</v>
      </c>
      <c r="H478" s="19" t="s">
        <v>529</v>
      </c>
      <c r="I478" s="21">
        <v>1450.25</v>
      </c>
      <c r="J478" s="21">
        <v>11.75</v>
      </c>
      <c r="K478" s="22">
        <v>31378.38</v>
      </c>
      <c r="L478" s="22">
        <v>52870</v>
      </c>
      <c r="M478" s="22">
        <v>57700</v>
      </c>
      <c r="N478" s="23">
        <v>-0.40649933799886501</v>
      </c>
      <c r="O478" s="23">
        <v>-0.45618058925476601</v>
      </c>
      <c r="P478" s="21">
        <v>3.64384422110553</v>
      </c>
      <c r="Q478" s="22">
        <v>78.840150753768896</v>
      </c>
    </row>
    <row r="479" spans="1:17" ht="15" customHeight="1" x14ac:dyDescent="0.2">
      <c r="A479" s="26" t="s">
        <v>224</v>
      </c>
      <c r="B479" s="27" t="s">
        <v>148</v>
      </c>
      <c r="C479" s="27" t="s">
        <v>180</v>
      </c>
      <c r="D479" s="29">
        <v>71</v>
      </c>
      <c r="E479" s="26" t="s">
        <v>527</v>
      </c>
      <c r="F479" s="28" t="s">
        <v>501</v>
      </c>
      <c r="G479" s="28" t="s">
        <v>528</v>
      </c>
      <c r="H479" s="28" t="s">
        <v>529</v>
      </c>
      <c r="I479" s="30">
        <v>558.5</v>
      </c>
      <c r="J479" s="30"/>
      <c r="K479" s="31">
        <v>12390</v>
      </c>
      <c r="L479" s="31">
        <v>25980</v>
      </c>
      <c r="M479" s="31">
        <v>25980</v>
      </c>
      <c r="N479" s="32">
        <v>-0.52309468822170901</v>
      </c>
      <c r="O479" s="32">
        <v>-0.52309468822170901</v>
      </c>
      <c r="P479" s="30">
        <v>7.8661971830985902</v>
      </c>
      <c r="Q479" s="31">
        <v>174.50704225352101</v>
      </c>
    </row>
    <row r="480" spans="1:17" ht="15" customHeight="1" x14ac:dyDescent="0.2">
      <c r="A480" s="17" t="s">
        <v>230</v>
      </c>
      <c r="B480" s="18" t="s">
        <v>148</v>
      </c>
      <c r="C480" s="18" t="s">
        <v>180</v>
      </c>
      <c r="D480" s="20">
        <v>139</v>
      </c>
      <c r="E480" s="17" t="s">
        <v>527</v>
      </c>
      <c r="F480" s="19" t="s">
        <v>501</v>
      </c>
      <c r="G480" s="19" t="s">
        <v>528</v>
      </c>
      <c r="H480" s="19" t="s">
        <v>529</v>
      </c>
      <c r="I480" s="21">
        <v>1096</v>
      </c>
      <c r="J480" s="21">
        <v>4</v>
      </c>
      <c r="K480" s="22">
        <v>29860.13</v>
      </c>
      <c r="L480" s="22">
        <v>45780</v>
      </c>
      <c r="M480" s="22">
        <v>47220</v>
      </c>
      <c r="N480" s="23">
        <v>-0.347747269550022</v>
      </c>
      <c r="O480" s="23">
        <v>-0.36763807708598101</v>
      </c>
      <c r="P480" s="21">
        <v>7.8848920863309404</v>
      </c>
      <c r="Q480" s="22">
        <v>214.821079136691</v>
      </c>
    </row>
    <row r="481" spans="1:17" ht="15" customHeight="1" x14ac:dyDescent="0.2">
      <c r="A481" s="26" t="s">
        <v>236</v>
      </c>
      <c r="B481" s="27" t="s">
        <v>148</v>
      </c>
      <c r="C481" s="27" t="s">
        <v>180</v>
      </c>
      <c r="D481" s="29">
        <v>128</v>
      </c>
      <c r="E481" s="26" t="s">
        <v>527</v>
      </c>
      <c r="F481" s="28" t="s">
        <v>501</v>
      </c>
      <c r="G481" s="28" t="s">
        <v>528</v>
      </c>
      <c r="H481" s="28" t="s">
        <v>529</v>
      </c>
      <c r="I481" s="30">
        <v>3006.5</v>
      </c>
      <c r="J481" s="30">
        <v>1.5</v>
      </c>
      <c r="K481" s="31">
        <v>74191.25</v>
      </c>
      <c r="L481" s="31">
        <v>44470</v>
      </c>
      <c r="M481" s="31">
        <v>46169</v>
      </c>
      <c r="N481" s="32">
        <v>0.66834382729930297</v>
      </c>
      <c r="O481" s="32">
        <v>0.60694946825792195</v>
      </c>
      <c r="P481" s="30">
        <v>23.48828125</v>
      </c>
      <c r="Q481" s="31">
        <v>579.619140625</v>
      </c>
    </row>
    <row r="482" spans="1:17" ht="15" customHeight="1" x14ac:dyDescent="0.2">
      <c r="A482" s="17" t="s">
        <v>239</v>
      </c>
      <c r="B482" s="18" t="s">
        <v>148</v>
      </c>
      <c r="C482" s="18" t="s">
        <v>180</v>
      </c>
      <c r="D482" s="20">
        <v>92</v>
      </c>
      <c r="E482" s="17" t="s">
        <v>527</v>
      </c>
      <c r="F482" s="19" t="s">
        <v>501</v>
      </c>
      <c r="G482" s="19" t="s">
        <v>528</v>
      </c>
      <c r="H482" s="19" t="s">
        <v>529</v>
      </c>
      <c r="I482" s="21">
        <v>596</v>
      </c>
      <c r="J482" s="21"/>
      <c r="K482" s="22">
        <v>12963</v>
      </c>
      <c r="L482" s="22">
        <v>25000</v>
      </c>
      <c r="M482" s="22">
        <v>25960</v>
      </c>
      <c r="N482" s="23">
        <v>-0.48148000000000002</v>
      </c>
      <c r="O482" s="23">
        <v>-0.50065485362095496</v>
      </c>
      <c r="P482" s="21">
        <v>6.4782608695652204</v>
      </c>
      <c r="Q482" s="22">
        <v>140.90217391304401</v>
      </c>
    </row>
    <row r="483" spans="1:17" ht="15" customHeight="1" x14ac:dyDescent="0.2">
      <c r="A483" s="26" t="s">
        <v>245</v>
      </c>
      <c r="B483" s="27" t="s">
        <v>148</v>
      </c>
      <c r="C483" s="27" t="s">
        <v>180</v>
      </c>
      <c r="D483" s="29">
        <v>31</v>
      </c>
      <c r="E483" s="26" t="s">
        <v>527</v>
      </c>
      <c r="F483" s="28" t="s">
        <v>501</v>
      </c>
      <c r="G483" s="28" t="s">
        <v>528</v>
      </c>
      <c r="H483" s="28" t="s">
        <v>529</v>
      </c>
      <c r="I483" s="30">
        <v>180</v>
      </c>
      <c r="J483" s="30"/>
      <c r="K483" s="31">
        <v>5620</v>
      </c>
      <c r="L483" s="31">
        <v>2960</v>
      </c>
      <c r="M483" s="31">
        <v>4004</v>
      </c>
      <c r="N483" s="32">
        <v>0.89864864864864902</v>
      </c>
      <c r="O483" s="32">
        <v>0.40359640359640397</v>
      </c>
      <c r="P483" s="30">
        <v>5.8064516129032304</v>
      </c>
      <c r="Q483" s="31">
        <v>181.29032258064501</v>
      </c>
    </row>
    <row r="484" spans="1:17" ht="15" customHeight="1" x14ac:dyDescent="0.2">
      <c r="A484" s="17" t="s">
        <v>249</v>
      </c>
      <c r="B484" s="18" t="s">
        <v>148</v>
      </c>
      <c r="C484" s="18" t="s">
        <v>180</v>
      </c>
      <c r="D484" s="20">
        <v>122</v>
      </c>
      <c r="E484" s="17" t="s">
        <v>527</v>
      </c>
      <c r="F484" s="19" t="s">
        <v>501</v>
      </c>
      <c r="G484" s="19" t="s">
        <v>528</v>
      </c>
      <c r="H484" s="19" t="s">
        <v>529</v>
      </c>
      <c r="I484" s="21">
        <v>983.5</v>
      </c>
      <c r="J484" s="21">
        <v>52</v>
      </c>
      <c r="K484" s="22">
        <v>25492.04</v>
      </c>
      <c r="L484" s="22">
        <v>51720</v>
      </c>
      <c r="M484" s="22">
        <v>51720</v>
      </c>
      <c r="N484" s="23">
        <v>-0.50711446249033298</v>
      </c>
      <c r="O484" s="23">
        <v>-0.50711446249033298</v>
      </c>
      <c r="P484" s="21">
        <v>8.0614754098360706</v>
      </c>
      <c r="Q484" s="22">
        <v>208.95114754098401</v>
      </c>
    </row>
    <row r="485" spans="1:17" ht="15" customHeight="1" x14ac:dyDescent="0.2">
      <c r="A485" s="26" t="s">
        <v>254</v>
      </c>
      <c r="B485" s="27" t="s">
        <v>148</v>
      </c>
      <c r="C485" s="27" t="s">
        <v>180</v>
      </c>
      <c r="D485" s="29">
        <v>80</v>
      </c>
      <c r="E485" s="26" t="s">
        <v>527</v>
      </c>
      <c r="F485" s="28" t="s">
        <v>501</v>
      </c>
      <c r="G485" s="28" t="s">
        <v>528</v>
      </c>
      <c r="H485" s="28" t="s">
        <v>529</v>
      </c>
      <c r="I485" s="30">
        <v>1339</v>
      </c>
      <c r="J485" s="30">
        <v>9</v>
      </c>
      <c r="K485" s="31">
        <v>38061</v>
      </c>
      <c r="L485" s="31">
        <v>31600</v>
      </c>
      <c r="M485" s="31">
        <v>31700</v>
      </c>
      <c r="N485" s="32">
        <v>0.20446202531645599</v>
      </c>
      <c r="O485" s="32">
        <v>0.200662460567823</v>
      </c>
      <c r="P485" s="30">
        <v>16.737500000000001</v>
      </c>
      <c r="Q485" s="31">
        <v>475.76249999999999</v>
      </c>
    </row>
    <row r="486" spans="1:17" ht="15" customHeight="1" x14ac:dyDescent="0.2">
      <c r="A486" s="17" t="s">
        <v>259</v>
      </c>
      <c r="B486" s="18" t="s">
        <v>148</v>
      </c>
      <c r="C486" s="18" t="s">
        <v>180</v>
      </c>
      <c r="D486" s="20"/>
      <c r="E486" s="17" t="s">
        <v>527</v>
      </c>
      <c r="F486" s="19" t="s">
        <v>501</v>
      </c>
      <c r="G486" s="19" t="s">
        <v>528</v>
      </c>
      <c r="H486" s="19" t="s">
        <v>529</v>
      </c>
      <c r="I486" s="21"/>
      <c r="J486" s="21"/>
      <c r="K486" s="22"/>
      <c r="L486" s="22"/>
      <c r="M486" s="22"/>
      <c r="N486" s="23"/>
      <c r="O486" s="23"/>
      <c r="P486" s="21"/>
      <c r="Q486" s="22"/>
    </row>
    <row r="487" spans="1:17" ht="15" customHeight="1" x14ac:dyDescent="0.2">
      <c r="A487" s="26" t="s">
        <v>263</v>
      </c>
      <c r="B487" s="27" t="s">
        <v>148</v>
      </c>
      <c r="C487" s="27" t="s">
        <v>180</v>
      </c>
      <c r="D487" s="29">
        <v>55</v>
      </c>
      <c r="E487" s="26" t="s">
        <v>527</v>
      </c>
      <c r="F487" s="28" t="s">
        <v>501</v>
      </c>
      <c r="G487" s="28" t="s">
        <v>528</v>
      </c>
      <c r="H487" s="28" t="s">
        <v>529</v>
      </c>
      <c r="I487" s="30">
        <v>635.5</v>
      </c>
      <c r="J487" s="30">
        <v>14</v>
      </c>
      <c r="K487" s="31">
        <v>15056.5</v>
      </c>
      <c r="L487" s="31">
        <v>21435</v>
      </c>
      <c r="M487" s="31">
        <v>21435</v>
      </c>
      <c r="N487" s="32">
        <v>-0.29757406111499901</v>
      </c>
      <c r="O487" s="32">
        <v>-0.29757406111499901</v>
      </c>
      <c r="P487" s="30">
        <v>11.554545454545501</v>
      </c>
      <c r="Q487" s="31">
        <v>273.75454545454602</v>
      </c>
    </row>
    <row r="488" spans="1:17" ht="15" customHeight="1" x14ac:dyDescent="0.2">
      <c r="A488" s="17" t="s">
        <v>266</v>
      </c>
      <c r="B488" s="18" t="s">
        <v>148</v>
      </c>
      <c r="C488" s="18" t="s">
        <v>267</v>
      </c>
      <c r="D488" s="20">
        <v>108</v>
      </c>
      <c r="E488" s="17" t="s">
        <v>527</v>
      </c>
      <c r="F488" s="19" t="s">
        <v>501</v>
      </c>
      <c r="G488" s="19" t="s">
        <v>528</v>
      </c>
      <c r="H488" s="19" t="s">
        <v>529</v>
      </c>
      <c r="I488" s="21">
        <v>1697.5</v>
      </c>
      <c r="J488" s="21">
        <v>74</v>
      </c>
      <c r="K488" s="22">
        <v>53432</v>
      </c>
      <c r="L488" s="22">
        <v>52850</v>
      </c>
      <c r="M488" s="22">
        <v>53000</v>
      </c>
      <c r="N488" s="23">
        <v>1.10122989593188E-2</v>
      </c>
      <c r="O488" s="23">
        <v>8.1509433962264205E-3</v>
      </c>
      <c r="P488" s="21">
        <v>15.717592592592601</v>
      </c>
      <c r="Q488" s="22">
        <v>494.74074074074099</v>
      </c>
    </row>
    <row r="489" spans="1:17" ht="15" customHeight="1" x14ac:dyDescent="0.2">
      <c r="A489" s="26" t="s">
        <v>270</v>
      </c>
      <c r="B489" s="27" t="s">
        <v>148</v>
      </c>
      <c r="C489" s="27" t="s">
        <v>267</v>
      </c>
      <c r="D489" s="29">
        <v>75</v>
      </c>
      <c r="E489" s="26" t="s">
        <v>527</v>
      </c>
      <c r="F489" s="28" t="s">
        <v>501</v>
      </c>
      <c r="G489" s="28" t="s">
        <v>528</v>
      </c>
      <c r="H489" s="28" t="s">
        <v>529</v>
      </c>
      <c r="I489" s="30">
        <v>585.5</v>
      </c>
      <c r="J489" s="30">
        <v>23</v>
      </c>
      <c r="K489" s="31">
        <v>13633.5</v>
      </c>
      <c r="L489" s="31">
        <v>26080</v>
      </c>
      <c r="M489" s="31">
        <v>26080</v>
      </c>
      <c r="N489" s="32">
        <v>-0.47724309815950899</v>
      </c>
      <c r="O489" s="32">
        <v>-0.47724309815950899</v>
      </c>
      <c r="P489" s="30">
        <v>7.8066666666666702</v>
      </c>
      <c r="Q489" s="31">
        <v>181.78</v>
      </c>
    </row>
    <row r="490" spans="1:17" ht="15" customHeight="1" x14ac:dyDescent="0.2">
      <c r="A490" s="17" t="s">
        <v>272</v>
      </c>
      <c r="B490" s="18" t="s">
        <v>148</v>
      </c>
      <c r="C490" s="18" t="s">
        <v>267</v>
      </c>
      <c r="D490" s="20">
        <v>89</v>
      </c>
      <c r="E490" s="17" t="s">
        <v>527</v>
      </c>
      <c r="F490" s="19" t="s">
        <v>501</v>
      </c>
      <c r="G490" s="19" t="s">
        <v>528</v>
      </c>
      <c r="H490" s="19" t="s">
        <v>529</v>
      </c>
      <c r="I490" s="21">
        <v>1645</v>
      </c>
      <c r="J490" s="21">
        <v>62</v>
      </c>
      <c r="K490" s="22">
        <v>45112</v>
      </c>
      <c r="L490" s="22">
        <v>38260</v>
      </c>
      <c r="M490" s="22">
        <v>39220</v>
      </c>
      <c r="N490" s="23">
        <v>0.17909043387349699</v>
      </c>
      <c r="O490" s="23">
        <v>0.15022947475777701</v>
      </c>
      <c r="P490" s="21">
        <v>18.483146067415699</v>
      </c>
      <c r="Q490" s="22">
        <v>506.87640449438197</v>
      </c>
    </row>
    <row r="491" spans="1:17" ht="15" customHeight="1" x14ac:dyDescent="0.2">
      <c r="A491" s="26" t="s">
        <v>275</v>
      </c>
      <c r="B491" s="27" t="s">
        <v>148</v>
      </c>
      <c r="C491" s="27" t="s">
        <v>267</v>
      </c>
      <c r="D491" s="29">
        <v>78</v>
      </c>
      <c r="E491" s="26" t="s">
        <v>527</v>
      </c>
      <c r="F491" s="28" t="s">
        <v>501</v>
      </c>
      <c r="G491" s="28" t="s">
        <v>528</v>
      </c>
      <c r="H491" s="28" t="s">
        <v>529</v>
      </c>
      <c r="I491" s="30">
        <v>991</v>
      </c>
      <c r="J491" s="30">
        <v>25</v>
      </c>
      <c r="K491" s="31">
        <v>23970.37</v>
      </c>
      <c r="L491" s="31">
        <v>25485</v>
      </c>
      <c r="M491" s="31">
        <v>25485</v>
      </c>
      <c r="N491" s="32">
        <v>-5.9432215028448199E-2</v>
      </c>
      <c r="O491" s="32">
        <v>-5.9432215028448199E-2</v>
      </c>
      <c r="P491" s="30">
        <v>12.705128205128201</v>
      </c>
      <c r="Q491" s="31">
        <v>307.31243589743599</v>
      </c>
    </row>
    <row r="492" spans="1:17" ht="15" customHeight="1" x14ac:dyDescent="0.2">
      <c r="A492" s="17" t="s">
        <v>277</v>
      </c>
      <c r="B492" s="18" t="s">
        <v>148</v>
      </c>
      <c r="C492" s="18" t="s">
        <v>267</v>
      </c>
      <c r="D492" s="20">
        <v>158</v>
      </c>
      <c r="E492" s="17" t="s">
        <v>527</v>
      </c>
      <c r="F492" s="19" t="s">
        <v>501</v>
      </c>
      <c r="G492" s="19" t="s">
        <v>528</v>
      </c>
      <c r="H492" s="19" t="s">
        <v>529</v>
      </c>
      <c r="I492" s="21">
        <v>698.5</v>
      </c>
      <c r="J492" s="21">
        <v>12</v>
      </c>
      <c r="K492" s="22">
        <v>21040.5</v>
      </c>
      <c r="L492" s="22">
        <v>23050</v>
      </c>
      <c r="M492" s="22">
        <v>29480</v>
      </c>
      <c r="N492" s="23">
        <v>-8.71800433839479E-2</v>
      </c>
      <c r="O492" s="23">
        <v>-0.28627883310719099</v>
      </c>
      <c r="P492" s="21">
        <v>4.4208860759493698</v>
      </c>
      <c r="Q492" s="22">
        <v>133.16772151898701</v>
      </c>
    </row>
    <row r="493" spans="1:17" ht="15" customHeight="1" x14ac:dyDescent="0.2">
      <c r="A493" s="26" t="s">
        <v>280</v>
      </c>
      <c r="B493" s="27" t="s">
        <v>148</v>
      </c>
      <c r="C493" s="27" t="s">
        <v>267</v>
      </c>
      <c r="D493" s="29">
        <v>110</v>
      </c>
      <c r="E493" s="26" t="s">
        <v>527</v>
      </c>
      <c r="F493" s="28" t="s">
        <v>501</v>
      </c>
      <c r="G493" s="28" t="s">
        <v>528</v>
      </c>
      <c r="H493" s="28" t="s">
        <v>529</v>
      </c>
      <c r="I493" s="30">
        <v>2333</v>
      </c>
      <c r="J493" s="30">
        <v>110</v>
      </c>
      <c r="K493" s="31">
        <v>54625.61</v>
      </c>
      <c r="L493" s="31">
        <v>32855</v>
      </c>
      <c r="M493" s="31">
        <v>34835</v>
      </c>
      <c r="N493" s="32">
        <v>0.66262699741287501</v>
      </c>
      <c r="O493" s="32">
        <v>0.56812430027271399</v>
      </c>
      <c r="P493" s="30">
        <v>21.2090909090909</v>
      </c>
      <c r="Q493" s="31">
        <v>496.596454545455</v>
      </c>
    </row>
    <row r="494" spans="1:17" ht="15" customHeight="1" x14ac:dyDescent="0.2">
      <c r="A494" s="17" t="s">
        <v>282</v>
      </c>
      <c r="B494" s="18" t="s">
        <v>148</v>
      </c>
      <c r="C494" s="18" t="s">
        <v>267</v>
      </c>
      <c r="D494" s="20">
        <v>70</v>
      </c>
      <c r="E494" s="17" t="s">
        <v>527</v>
      </c>
      <c r="F494" s="19" t="s">
        <v>501</v>
      </c>
      <c r="G494" s="19" t="s">
        <v>528</v>
      </c>
      <c r="H494" s="19" t="s">
        <v>529</v>
      </c>
      <c r="I494" s="21"/>
      <c r="J494" s="21"/>
      <c r="K494" s="22"/>
      <c r="L494" s="22"/>
      <c r="M494" s="22"/>
      <c r="N494" s="23"/>
      <c r="O494" s="23"/>
      <c r="P494" s="21"/>
      <c r="Q494" s="22"/>
    </row>
    <row r="495" spans="1:17" ht="15" customHeight="1" x14ac:dyDescent="0.2">
      <c r="A495" s="26" t="s">
        <v>285</v>
      </c>
      <c r="B495" s="27" t="s">
        <v>148</v>
      </c>
      <c r="C495" s="27" t="s">
        <v>267</v>
      </c>
      <c r="D495" s="29">
        <v>296</v>
      </c>
      <c r="E495" s="26" t="s">
        <v>527</v>
      </c>
      <c r="F495" s="28" t="s">
        <v>501</v>
      </c>
      <c r="G495" s="28" t="s">
        <v>528</v>
      </c>
      <c r="H495" s="28" t="s">
        <v>529</v>
      </c>
      <c r="I495" s="30">
        <v>2253</v>
      </c>
      <c r="J495" s="30">
        <v>165.5</v>
      </c>
      <c r="K495" s="31">
        <v>55727.75</v>
      </c>
      <c r="L495" s="31">
        <v>124740</v>
      </c>
      <c r="M495" s="31">
        <v>124740</v>
      </c>
      <c r="N495" s="32">
        <v>-0.55324875741542401</v>
      </c>
      <c r="O495" s="32">
        <v>-0.55324875741542401</v>
      </c>
      <c r="P495" s="30">
        <v>7.6114864864864904</v>
      </c>
      <c r="Q495" s="31">
        <v>188.26942567567599</v>
      </c>
    </row>
    <row r="496" spans="1:17" ht="15" customHeight="1" x14ac:dyDescent="0.2">
      <c r="A496" s="17" t="s">
        <v>286</v>
      </c>
      <c r="B496" s="18" t="s">
        <v>148</v>
      </c>
      <c r="C496" s="18" t="s">
        <v>267</v>
      </c>
      <c r="D496" s="20">
        <v>50</v>
      </c>
      <c r="E496" s="17" t="s">
        <v>527</v>
      </c>
      <c r="F496" s="19" t="s">
        <v>501</v>
      </c>
      <c r="G496" s="19" t="s">
        <v>528</v>
      </c>
      <c r="H496" s="19" t="s">
        <v>529</v>
      </c>
      <c r="I496" s="21">
        <v>473</v>
      </c>
      <c r="J496" s="21">
        <v>15</v>
      </c>
      <c r="K496" s="22">
        <v>11432.5</v>
      </c>
      <c r="L496" s="22">
        <v>22280</v>
      </c>
      <c r="M496" s="22">
        <v>22730</v>
      </c>
      <c r="N496" s="23">
        <v>-0.48687163375224402</v>
      </c>
      <c r="O496" s="23">
        <v>-0.49703035635723702</v>
      </c>
      <c r="P496" s="21">
        <v>9.4600000000000009</v>
      </c>
      <c r="Q496" s="22">
        <v>228.65</v>
      </c>
    </row>
    <row r="497" spans="1:17" ht="15" customHeight="1" x14ac:dyDescent="0.2">
      <c r="A497" s="26" t="s">
        <v>287</v>
      </c>
      <c r="B497" s="27" t="s">
        <v>148</v>
      </c>
      <c r="C497" s="27" t="s">
        <v>267</v>
      </c>
      <c r="D497" s="29">
        <v>163</v>
      </c>
      <c r="E497" s="26" t="s">
        <v>527</v>
      </c>
      <c r="F497" s="28" t="s">
        <v>501</v>
      </c>
      <c r="G497" s="28" t="s">
        <v>528</v>
      </c>
      <c r="H497" s="28" t="s">
        <v>529</v>
      </c>
      <c r="I497" s="30">
        <v>1721.5</v>
      </c>
      <c r="J497" s="30">
        <v>34</v>
      </c>
      <c r="K497" s="31">
        <v>46255</v>
      </c>
      <c r="L497" s="31">
        <v>55300</v>
      </c>
      <c r="M497" s="31">
        <v>55500</v>
      </c>
      <c r="N497" s="32">
        <v>-0.163562386980109</v>
      </c>
      <c r="O497" s="32">
        <v>-0.16657657657657701</v>
      </c>
      <c r="P497" s="30">
        <v>10.561349693251501</v>
      </c>
      <c r="Q497" s="31">
        <v>283.77300613496902</v>
      </c>
    </row>
    <row r="498" spans="1:17" ht="15" customHeight="1" x14ac:dyDescent="0.2">
      <c r="A498" s="17" t="s">
        <v>289</v>
      </c>
      <c r="B498" s="18" t="s">
        <v>148</v>
      </c>
      <c r="C498" s="18" t="s">
        <v>267</v>
      </c>
      <c r="D498" s="20">
        <v>107</v>
      </c>
      <c r="E498" s="17" t="s">
        <v>527</v>
      </c>
      <c r="F498" s="19" t="s">
        <v>501</v>
      </c>
      <c r="G498" s="19" t="s">
        <v>528</v>
      </c>
      <c r="H498" s="19" t="s">
        <v>529</v>
      </c>
      <c r="I498" s="21">
        <v>4536.5</v>
      </c>
      <c r="J498" s="21">
        <v>15</v>
      </c>
      <c r="K498" s="22">
        <v>117138.5</v>
      </c>
      <c r="L498" s="22">
        <v>49650</v>
      </c>
      <c r="M498" s="22">
        <v>49650</v>
      </c>
      <c r="N498" s="23">
        <v>1.3592849949647501</v>
      </c>
      <c r="O498" s="23">
        <v>1.3592849949647501</v>
      </c>
      <c r="P498" s="21">
        <v>42.397196261682197</v>
      </c>
      <c r="Q498" s="22">
        <v>1094.7523364486001</v>
      </c>
    </row>
    <row r="499" spans="1:17" ht="15" customHeight="1" x14ac:dyDescent="0.2">
      <c r="A499" s="26" t="s">
        <v>292</v>
      </c>
      <c r="B499" s="27" t="s">
        <v>148</v>
      </c>
      <c r="C499" s="27" t="s">
        <v>267</v>
      </c>
      <c r="D499" s="29">
        <v>136</v>
      </c>
      <c r="E499" s="26" t="s">
        <v>527</v>
      </c>
      <c r="F499" s="28" t="s">
        <v>501</v>
      </c>
      <c r="G499" s="28" t="s">
        <v>528</v>
      </c>
      <c r="H499" s="28" t="s">
        <v>529</v>
      </c>
      <c r="I499" s="30">
        <v>1563.5</v>
      </c>
      <c r="J499" s="30">
        <v>48</v>
      </c>
      <c r="K499" s="31">
        <v>46415.5</v>
      </c>
      <c r="L499" s="31">
        <v>50660</v>
      </c>
      <c r="M499" s="31">
        <v>51080</v>
      </c>
      <c r="N499" s="32">
        <v>-8.3784050532964893E-2</v>
      </c>
      <c r="O499" s="32">
        <v>-9.1317541111981204E-2</v>
      </c>
      <c r="P499" s="30">
        <v>11.4963235294118</v>
      </c>
      <c r="Q499" s="31">
        <v>341.29044117647101</v>
      </c>
    </row>
    <row r="500" spans="1:17" ht="15" customHeight="1" x14ac:dyDescent="0.2">
      <c r="A500" s="17" t="s">
        <v>295</v>
      </c>
      <c r="B500" s="18" t="s">
        <v>148</v>
      </c>
      <c r="C500" s="18" t="s">
        <v>267</v>
      </c>
      <c r="D500" s="20">
        <v>68</v>
      </c>
      <c r="E500" s="17" t="s">
        <v>527</v>
      </c>
      <c r="F500" s="19" t="s">
        <v>501</v>
      </c>
      <c r="G500" s="19" t="s">
        <v>528</v>
      </c>
      <c r="H500" s="19" t="s">
        <v>529</v>
      </c>
      <c r="I500" s="21">
        <v>2949.5</v>
      </c>
      <c r="J500" s="21">
        <v>1</v>
      </c>
      <c r="K500" s="22">
        <v>74881.5</v>
      </c>
      <c r="L500" s="22">
        <v>26735</v>
      </c>
      <c r="M500" s="22">
        <v>26735</v>
      </c>
      <c r="N500" s="23">
        <v>1.80087899756873</v>
      </c>
      <c r="O500" s="23">
        <v>1.80087899756873</v>
      </c>
      <c r="P500" s="21">
        <v>43.375</v>
      </c>
      <c r="Q500" s="22">
        <v>1101.1985294117701</v>
      </c>
    </row>
    <row r="501" spans="1:17" ht="15" customHeight="1" x14ac:dyDescent="0.2">
      <c r="A501" s="26" t="s">
        <v>298</v>
      </c>
      <c r="B501" s="27" t="s">
        <v>148</v>
      </c>
      <c r="C501" s="27" t="s">
        <v>267</v>
      </c>
      <c r="D501" s="29">
        <v>98</v>
      </c>
      <c r="E501" s="26" t="s">
        <v>527</v>
      </c>
      <c r="F501" s="28" t="s">
        <v>501</v>
      </c>
      <c r="G501" s="28" t="s">
        <v>528</v>
      </c>
      <c r="H501" s="28" t="s">
        <v>529</v>
      </c>
      <c r="I501" s="30">
        <v>1130</v>
      </c>
      <c r="J501" s="30">
        <v>48</v>
      </c>
      <c r="K501" s="31">
        <v>37064.5</v>
      </c>
      <c r="L501" s="31">
        <v>36080</v>
      </c>
      <c r="M501" s="31">
        <v>39780</v>
      </c>
      <c r="N501" s="32">
        <v>2.72865853658537E-2</v>
      </c>
      <c r="O501" s="32">
        <v>-6.8262946204122696E-2</v>
      </c>
      <c r="P501" s="30">
        <v>11.530612244898</v>
      </c>
      <c r="Q501" s="31">
        <v>378.209183673469</v>
      </c>
    </row>
    <row r="502" spans="1:17" ht="15" customHeight="1" x14ac:dyDescent="0.2">
      <c r="A502" s="17" t="s">
        <v>300</v>
      </c>
      <c r="B502" s="18" t="s">
        <v>148</v>
      </c>
      <c r="C502" s="18" t="s">
        <v>267</v>
      </c>
      <c r="D502" s="20">
        <v>321</v>
      </c>
      <c r="E502" s="17" t="s">
        <v>527</v>
      </c>
      <c r="F502" s="19" t="s">
        <v>501</v>
      </c>
      <c r="G502" s="19" t="s">
        <v>528</v>
      </c>
      <c r="H502" s="19" t="s">
        <v>529</v>
      </c>
      <c r="I502" s="21">
        <v>4485.5</v>
      </c>
      <c r="J502" s="21">
        <v>85.5</v>
      </c>
      <c r="K502" s="22">
        <v>142511.29</v>
      </c>
      <c r="L502" s="22">
        <v>172094</v>
      </c>
      <c r="M502" s="22">
        <v>181004</v>
      </c>
      <c r="N502" s="23">
        <v>-0.17189855544063101</v>
      </c>
      <c r="O502" s="23">
        <v>-0.21266220636007999</v>
      </c>
      <c r="P502" s="21">
        <v>13.973520249221201</v>
      </c>
      <c r="Q502" s="22">
        <v>443.96040498442397</v>
      </c>
    </row>
    <row r="503" spans="1:17" ht="15" customHeight="1" x14ac:dyDescent="0.2">
      <c r="A503" s="26" t="s">
        <v>302</v>
      </c>
      <c r="B503" s="27" t="s">
        <v>148</v>
      </c>
      <c r="C503" s="27" t="s">
        <v>267</v>
      </c>
      <c r="D503" s="29">
        <v>111</v>
      </c>
      <c r="E503" s="26" t="s">
        <v>527</v>
      </c>
      <c r="F503" s="28" t="s">
        <v>501</v>
      </c>
      <c r="G503" s="28" t="s">
        <v>528</v>
      </c>
      <c r="H503" s="28" t="s">
        <v>529</v>
      </c>
      <c r="I503" s="30">
        <v>1157.5</v>
      </c>
      <c r="J503" s="30"/>
      <c r="K503" s="31">
        <v>35756</v>
      </c>
      <c r="L503" s="31">
        <v>44440</v>
      </c>
      <c r="M503" s="31">
        <v>46100</v>
      </c>
      <c r="N503" s="32">
        <v>-0.19540954095409499</v>
      </c>
      <c r="O503" s="32">
        <v>-0.22438177874186599</v>
      </c>
      <c r="P503" s="30">
        <v>10.4279279279279</v>
      </c>
      <c r="Q503" s="31">
        <v>322.126126126126</v>
      </c>
    </row>
    <row r="504" spans="1:17" ht="15" customHeight="1" x14ac:dyDescent="0.2">
      <c r="A504" s="17" t="s">
        <v>304</v>
      </c>
      <c r="B504" s="18" t="s">
        <v>148</v>
      </c>
      <c r="C504" s="18" t="s">
        <v>267</v>
      </c>
      <c r="D504" s="20">
        <v>77</v>
      </c>
      <c r="E504" s="17" t="s">
        <v>527</v>
      </c>
      <c r="F504" s="19" t="s">
        <v>501</v>
      </c>
      <c r="G504" s="19" t="s">
        <v>528</v>
      </c>
      <c r="H504" s="19" t="s">
        <v>529</v>
      </c>
      <c r="I504" s="21">
        <v>817</v>
      </c>
      <c r="J504" s="21"/>
      <c r="K504" s="22">
        <v>22890</v>
      </c>
      <c r="L504" s="22">
        <v>32180</v>
      </c>
      <c r="M504" s="22">
        <v>32180</v>
      </c>
      <c r="N504" s="23">
        <v>-0.28868862647607202</v>
      </c>
      <c r="O504" s="23">
        <v>-0.28868862647607202</v>
      </c>
      <c r="P504" s="21">
        <v>10.6103896103896</v>
      </c>
      <c r="Q504" s="22">
        <v>297.27272727272702</v>
      </c>
    </row>
    <row r="505" spans="1:17" ht="15" customHeight="1" x14ac:dyDescent="0.2">
      <c r="A505" s="26" t="s">
        <v>306</v>
      </c>
      <c r="B505" s="27" t="s">
        <v>148</v>
      </c>
      <c r="C505" s="27" t="s">
        <v>267</v>
      </c>
      <c r="D505" s="29">
        <v>365</v>
      </c>
      <c r="E505" s="26" t="s">
        <v>527</v>
      </c>
      <c r="F505" s="28" t="s">
        <v>501</v>
      </c>
      <c r="G505" s="28" t="s">
        <v>528</v>
      </c>
      <c r="H505" s="28" t="s">
        <v>529</v>
      </c>
      <c r="I505" s="30">
        <v>4536.75</v>
      </c>
      <c r="J505" s="30"/>
      <c r="K505" s="31">
        <v>131285.25</v>
      </c>
      <c r="L505" s="31">
        <v>73190</v>
      </c>
      <c r="M505" s="31">
        <v>73190</v>
      </c>
      <c r="N505" s="32">
        <v>0.79375939335974899</v>
      </c>
      <c r="O505" s="32">
        <v>0.79375939335974899</v>
      </c>
      <c r="P505" s="30">
        <v>12.429452054794501</v>
      </c>
      <c r="Q505" s="31">
        <v>359.68561643835602</v>
      </c>
    </row>
    <row r="506" spans="1:17" ht="15" customHeight="1" x14ac:dyDescent="0.2">
      <c r="A506" s="17" t="s">
        <v>309</v>
      </c>
      <c r="B506" s="18" t="s">
        <v>148</v>
      </c>
      <c r="C506" s="18" t="s">
        <v>267</v>
      </c>
      <c r="D506" s="20">
        <v>270</v>
      </c>
      <c r="E506" s="17" t="s">
        <v>527</v>
      </c>
      <c r="F506" s="19" t="s">
        <v>501</v>
      </c>
      <c r="G506" s="19" t="s">
        <v>528</v>
      </c>
      <c r="H506" s="19" t="s">
        <v>529</v>
      </c>
      <c r="I506" s="21">
        <v>3846</v>
      </c>
      <c r="J506" s="21">
        <v>170.5</v>
      </c>
      <c r="K506" s="22">
        <v>114150.95</v>
      </c>
      <c r="L506" s="22">
        <v>151330</v>
      </c>
      <c r="M506" s="22">
        <v>159280</v>
      </c>
      <c r="N506" s="23">
        <v>-0.24568195334699</v>
      </c>
      <c r="O506" s="23">
        <v>-0.28333155449522901</v>
      </c>
      <c r="P506" s="21">
        <v>14.244444444444399</v>
      </c>
      <c r="Q506" s="22">
        <v>422.78129629629598</v>
      </c>
    </row>
    <row r="507" spans="1:17" ht="15" customHeight="1" x14ac:dyDescent="0.2">
      <c r="A507" s="35" t="s">
        <v>312</v>
      </c>
      <c r="B507" s="36" t="s">
        <v>313</v>
      </c>
      <c r="C507" s="36" t="s">
        <v>267</v>
      </c>
      <c r="D507" s="38">
        <v>170</v>
      </c>
      <c r="E507" s="35" t="s">
        <v>527</v>
      </c>
      <c r="F507" s="37" t="s">
        <v>501</v>
      </c>
      <c r="G507" s="37" t="s">
        <v>528</v>
      </c>
      <c r="H507" s="37" t="s">
        <v>529</v>
      </c>
      <c r="I507" s="39">
        <v>3297</v>
      </c>
      <c r="J507" s="39">
        <v>138</v>
      </c>
      <c r="K507" s="40">
        <v>120399.72</v>
      </c>
      <c r="L507" s="40">
        <v>141720</v>
      </c>
      <c r="M507" s="40">
        <v>142820</v>
      </c>
      <c r="N507" s="41">
        <v>-0.15043945808636799</v>
      </c>
      <c r="O507" s="41">
        <v>-0.156982775521636</v>
      </c>
      <c r="P507" s="39">
        <v>19.394117647058799</v>
      </c>
      <c r="Q507" s="40">
        <v>708.23364705882398</v>
      </c>
    </row>
    <row r="508" spans="1:17" ht="15" customHeight="1" x14ac:dyDescent="0.2">
      <c r="A508" s="35" t="s">
        <v>316</v>
      </c>
      <c r="B508" s="36" t="s">
        <v>313</v>
      </c>
      <c r="C508" s="36" t="s">
        <v>267</v>
      </c>
      <c r="D508" s="38">
        <v>234</v>
      </c>
      <c r="E508" s="35" t="s">
        <v>527</v>
      </c>
      <c r="F508" s="37" t="s">
        <v>501</v>
      </c>
      <c r="G508" s="37" t="s">
        <v>528</v>
      </c>
      <c r="H508" s="37" t="s">
        <v>529</v>
      </c>
      <c r="I508" s="39">
        <v>4098.75</v>
      </c>
      <c r="J508" s="39">
        <v>123.75</v>
      </c>
      <c r="K508" s="40">
        <v>185051</v>
      </c>
      <c r="L508" s="40">
        <v>181470</v>
      </c>
      <c r="M508" s="40">
        <v>193670</v>
      </c>
      <c r="N508" s="41">
        <v>1.9733289248911701E-2</v>
      </c>
      <c r="O508" s="41">
        <v>-4.4503536944286701E-2</v>
      </c>
      <c r="P508" s="39">
        <v>17.5160256410256</v>
      </c>
      <c r="Q508" s="40">
        <v>790.81623931623903</v>
      </c>
    </row>
    <row r="509" spans="1:17" ht="15" customHeight="1" x14ac:dyDescent="0.2">
      <c r="A509" s="35" t="s">
        <v>319</v>
      </c>
      <c r="B509" s="36" t="s">
        <v>313</v>
      </c>
      <c r="C509" s="36" t="s">
        <v>267</v>
      </c>
      <c r="D509" s="38">
        <v>24</v>
      </c>
      <c r="E509" s="35" t="s">
        <v>527</v>
      </c>
      <c r="F509" s="37" t="s">
        <v>501</v>
      </c>
      <c r="G509" s="37" t="s">
        <v>528</v>
      </c>
      <c r="H509" s="37" t="s">
        <v>529</v>
      </c>
      <c r="I509" s="39">
        <v>438.75</v>
      </c>
      <c r="J509" s="39">
        <v>0.5</v>
      </c>
      <c r="K509" s="40">
        <v>17012.5</v>
      </c>
      <c r="L509" s="40">
        <v>22570</v>
      </c>
      <c r="M509" s="40">
        <v>23420</v>
      </c>
      <c r="N509" s="41">
        <v>-0.24623393885688999</v>
      </c>
      <c r="O509" s="41">
        <v>-0.273590947907771</v>
      </c>
      <c r="P509" s="39">
        <v>18.28125</v>
      </c>
      <c r="Q509" s="40">
        <v>708.85416666666697</v>
      </c>
    </row>
    <row r="510" spans="1:17" ht="15" customHeight="1" x14ac:dyDescent="0.2">
      <c r="A510" s="35" t="s">
        <v>327</v>
      </c>
      <c r="B510" s="36" t="s">
        <v>313</v>
      </c>
      <c r="C510" s="36" t="s">
        <v>267</v>
      </c>
      <c r="D510" s="38">
        <v>244</v>
      </c>
      <c r="E510" s="35" t="s">
        <v>527</v>
      </c>
      <c r="F510" s="37" t="s">
        <v>501</v>
      </c>
      <c r="G510" s="37" t="s">
        <v>528</v>
      </c>
      <c r="H510" s="37" t="s">
        <v>529</v>
      </c>
      <c r="I510" s="39">
        <v>2553</v>
      </c>
      <c r="J510" s="39"/>
      <c r="K510" s="40">
        <v>108097.75</v>
      </c>
      <c r="L510" s="40">
        <v>172570</v>
      </c>
      <c r="M510" s="40">
        <v>184270</v>
      </c>
      <c r="N510" s="41">
        <v>-0.373600567885496</v>
      </c>
      <c r="O510" s="41">
        <v>-0.413373039561513</v>
      </c>
      <c r="P510" s="39">
        <v>10.463114754098401</v>
      </c>
      <c r="Q510" s="40">
        <v>443.02356557377101</v>
      </c>
    </row>
    <row r="511" spans="1:17" ht="15" customHeight="1" x14ac:dyDescent="0.2">
      <c r="A511" s="35" t="s">
        <v>329</v>
      </c>
      <c r="B511" s="36" t="s">
        <v>313</v>
      </c>
      <c r="C511" s="36" t="s">
        <v>330</v>
      </c>
      <c r="D511" s="38">
        <v>186</v>
      </c>
      <c r="E511" s="35" t="s">
        <v>527</v>
      </c>
      <c r="F511" s="37" t="s">
        <v>501</v>
      </c>
      <c r="G511" s="37" t="s">
        <v>528</v>
      </c>
      <c r="H511" s="37" t="s">
        <v>529</v>
      </c>
      <c r="I511" s="39">
        <v>413.75</v>
      </c>
      <c r="J511" s="39"/>
      <c r="K511" s="40">
        <v>16804.5</v>
      </c>
      <c r="L511" s="40">
        <v>129370</v>
      </c>
      <c r="M511" s="40">
        <v>136370</v>
      </c>
      <c r="N511" s="41">
        <v>-0.87010512483574198</v>
      </c>
      <c r="O511" s="41">
        <v>-0.87677275060497195</v>
      </c>
      <c r="P511" s="39">
        <v>2.2244623655914002</v>
      </c>
      <c r="Q511" s="40">
        <v>90.346774193548399</v>
      </c>
    </row>
    <row r="512" spans="1:17" ht="15" customHeight="1" x14ac:dyDescent="0.2">
      <c r="A512" s="35" t="s">
        <v>334</v>
      </c>
      <c r="B512" s="36" t="s">
        <v>313</v>
      </c>
      <c r="C512" s="36" t="s">
        <v>330</v>
      </c>
      <c r="D512" s="38">
        <v>20</v>
      </c>
      <c r="E512" s="35" t="s">
        <v>527</v>
      </c>
      <c r="F512" s="37" t="s">
        <v>501</v>
      </c>
      <c r="G512" s="37" t="s">
        <v>528</v>
      </c>
      <c r="H512" s="37" t="s">
        <v>529</v>
      </c>
      <c r="I512" s="39">
        <v>190</v>
      </c>
      <c r="J512" s="39"/>
      <c r="K512" s="40">
        <v>9882.75</v>
      </c>
      <c r="L512" s="40">
        <v>14420</v>
      </c>
      <c r="M512" s="40">
        <v>15570</v>
      </c>
      <c r="N512" s="41">
        <v>-0.31464979195561699</v>
      </c>
      <c r="O512" s="41">
        <v>-0.36526974951830399</v>
      </c>
      <c r="P512" s="39">
        <v>9.5</v>
      </c>
      <c r="Q512" s="40">
        <v>494.13749999999999</v>
      </c>
    </row>
    <row r="513" spans="1:17" ht="15" customHeight="1" x14ac:dyDescent="0.2">
      <c r="A513" s="26" t="s">
        <v>147</v>
      </c>
      <c r="B513" s="27" t="s">
        <v>148</v>
      </c>
      <c r="C513" s="27" t="s">
        <v>149</v>
      </c>
      <c r="D513" s="29">
        <v>234</v>
      </c>
      <c r="E513" s="26" t="s">
        <v>530</v>
      </c>
      <c r="F513" s="28" t="s">
        <v>501</v>
      </c>
      <c r="G513" s="28" t="s">
        <v>531</v>
      </c>
      <c r="H513" s="28" t="s">
        <v>532</v>
      </c>
      <c r="I513" s="30"/>
      <c r="J513" s="30"/>
      <c r="K513" s="31">
        <v>12626.53</v>
      </c>
      <c r="L513" s="31">
        <v>6250</v>
      </c>
      <c r="M513" s="31">
        <v>6250</v>
      </c>
      <c r="N513" s="32">
        <v>1.0202448</v>
      </c>
      <c r="O513" s="32">
        <v>1.0202448</v>
      </c>
      <c r="P513" s="30"/>
      <c r="Q513" s="31">
        <v>53.959529914529902</v>
      </c>
    </row>
    <row r="514" spans="1:17" ht="15" customHeight="1" x14ac:dyDescent="0.2">
      <c r="A514" s="17" t="s">
        <v>152</v>
      </c>
      <c r="B514" s="18" t="s">
        <v>148</v>
      </c>
      <c r="C514" s="18" t="s">
        <v>149</v>
      </c>
      <c r="D514" s="20">
        <v>258</v>
      </c>
      <c r="E514" s="17" t="s">
        <v>530</v>
      </c>
      <c r="F514" s="19" t="s">
        <v>501</v>
      </c>
      <c r="G514" s="19" t="s">
        <v>531</v>
      </c>
      <c r="H514" s="19" t="s">
        <v>532</v>
      </c>
      <c r="I514" s="21"/>
      <c r="J514" s="21"/>
      <c r="K514" s="22">
        <v>13633.25</v>
      </c>
      <c r="L514" s="22">
        <v>8100</v>
      </c>
      <c r="M514" s="22">
        <v>8100</v>
      </c>
      <c r="N514" s="23">
        <v>0.68311728395061699</v>
      </c>
      <c r="O514" s="23">
        <v>0.68311728395061699</v>
      </c>
      <c r="P514" s="21"/>
      <c r="Q514" s="22">
        <v>52.842054263565899</v>
      </c>
    </row>
    <row r="515" spans="1:17" ht="15" customHeight="1" x14ac:dyDescent="0.2">
      <c r="A515" s="26" t="s">
        <v>154</v>
      </c>
      <c r="B515" s="27" t="s">
        <v>148</v>
      </c>
      <c r="C515" s="27" t="s">
        <v>149</v>
      </c>
      <c r="D515" s="29">
        <v>56</v>
      </c>
      <c r="E515" s="26" t="s">
        <v>530</v>
      </c>
      <c r="F515" s="28" t="s">
        <v>501</v>
      </c>
      <c r="G515" s="28" t="s">
        <v>531</v>
      </c>
      <c r="H515" s="28" t="s">
        <v>532</v>
      </c>
      <c r="I515" s="30"/>
      <c r="J515" s="30"/>
      <c r="K515" s="31">
        <v>1730</v>
      </c>
      <c r="L515" s="31">
        <v>1430</v>
      </c>
      <c r="M515" s="31">
        <v>1430</v>
      </c>
      <c r="N515" s="32">
        <v>0.20979020979021001</v>
      </c>
      <c r="O515" s="32">
        <v>0.20979020979021001</v>
      </c>
      <c r="P515" s="30"/>
      <c r="Q515" s="31">
        <v>30.8928571428571</v>
      </c>
    </row>
    <row r="516" spans="1:17" ht="15" customHeight="1" x14ac:dyDescent="0.2">
      <c r="A516" s="17" t="s">
        <v>157</v>
      </c>
      <c r="B516" s="18" t="s">
        <v>148</v>
      </c>
      <c r="C516" s="18" t="s">
        <v>149</v>
      </c>
      <c r="D516" s="20">
        <v>149</v>
      </c>
      <c r="E516" s="17" t="s">
        <v>530</v>
      </c>
      <c r="F516" s="19" t="s">
        <v>501</v>
      </c>
      <c r="G516" s="19" t="s">
        <v>531</v>
      </c>
      <c r="H516" s="19" t="s">
        <v>532</v>
      </c>
      <c r="I516" s="21"/>
      <c r="J516" s="21"/>
      <c r="K516" s="22">
        <v>1871</v>
      </c>
      <c r="L516" s="22"/>
      <c r="M516" s="22"/>
      <c r="N516" s="23"/>
      <c r="O516" s="23"/>
      <c r="P516" s="21"/>
      <c r="Q516" s="22">
        <v>12.557046979865801</v>
      </c>
    </row>
    <row r="517" spans="1:17" ht="15" customHeight="1" x14ac:dyDescent="0.2">
      <c r="A517" s="26" t="s">
        <v>159</v>
      </c>
      <c r="B517" s="27" t="s">
        <v>148</v>
      </c>
      <c r="C517" s="27" t="s">
        <v>149</v>
      </c>
      <c r="D517" s="29">
        <v>117</v>
      </c>
      <c r="E517" s="26" t="s">
        <v>530</v>
      </c>
      <c r="F517" s="28" t="s">
        <v>501</v>
      </c>
      <c r="G517" s="28" t="s">
        <v>531</v>
      </c>
      <c r="H517" s="28" t="s">
        <v>532</v>
      </c>
      <c r="I517" s="30"/>
      <c r="J517" s="30"/>
      <c r="K517" s="31">
        <v>1007</v>
      </c>
      <c r="L517" s="31">
        <v>1760</v>
      </c>
      <c r="M517" s="31">
        <v>1760</v>
      </c>
      <c r="N517" s="32">
        <v>-0.42784090909090899</v>
      </c>
      <c r="O517" s="32">
        <v>-0.42784090909090899</v>
      </c>
      <c r="P517" s="30"/>
      <c r="Q517" s="31">
        <v>8.60683760683761</v>
      </c>
    </row>
    <row r="518" spans="1:17" ht="15" customHeight="1" x14ac:dyDescent="0.2">
      <c r="A518" s="17" t="s">
        <v>161</v>
      </c>
      <c r="B518" s="18" t="s">
        <v>148</v>
      </c>
      <c r="C518" s="18" t="s">
        <v>149</v>
      </c>
      <c r="D518" s="20">
        <v>162</v>
      </c>
      <c r="E518" s="17" t="s">
        <v>530</v>
      </c>
      <c r="F518" s="19" t="s">
        <v>501</v>
      </c>
      <c r="G518" s="19" t="s">
        <v>531</v>
      </c>
      <c r="H518" s="19" t="s">
        <v>532</v>
      </c>
      <c r="I518" s="21">
        <v>379</v>
      </c>
      <c r="J518" s="21"/>
      <c r="K518" s="22">
        <v>9784</v>
      </c>
      <c r="L518" s="22">
        <v>3525</v>
      </c>
      <c r="M518" s="22">
        <v>3525</v>
      </c>
      <c r="N518" s="23">
        <v>1.7756028368794301</v>
      </c>
      <c r="O518" s="23">
        <v>1.7756028368794301</v>
      </c>
      <c r="P518" s="21">
        <v>2.3395061728395099</v>
      </c>
      <c r="Q518" s="22">
        <v>60.395061728395099</v>
      </c>
    </row>
    <row r="519" spans="1:17" ht="15" customHeight="1" x14ac:dyDescent="0.2">
      <c r="A519" s="26" t="s">
        <v>165</v>
      </c>
      <c r="B519" s="27" t="s">
        <v>148</v>
      </c>
      <c r="C519" s="27" t="s">
        <v>149</v>
      </c>
      <c r="D519" s="29">
        <v>197</v>
      </c>
      <c r="E519" s="26" t="s">
        <v>530</v>
      </c>
      <c r="F519" s="28" t="s">
        <v>501</v>
      </c>
      <c r="G519" s="28" t="s">
        <v>531</v>
      </c>
      <c r="H519" s="28" t="s">
        <v>532</v>
      </c>
      <c r="I519" s="30"/>
      <c r="J519" s="30"/>
      <c r="K519" s="31">
        <v>8975</v>
      </c>
      <c r="L519" s="31">
        <v>5280</v>
      </c>
      <c r="M519" s="31">
        <v>8650</v>
      </c>
      <c r="N519" s="32">
        <v>0.69981060606060597</v>
      </c>
      <c r="O519" s="32">
        <v>3.7572254335260097E-2</v>
      </c>
      <c r="P519" s="30"/>
      <c r="Q519" s="31">
        <v>45.558375634517802</v>
      </c>
    </row>
    <row r="520" spans="1:17" ht="15" customHeight="1" x14ac:dyDescent="0.2">
      <c r="A520" s="17" t="s">
        <v>167</v>
      </c>
      <c r="B520" s="18" t="s">
        <v>148</v>
      </c>
      <c r="C520" s="18" t="s">
        <v>149</v>
      </c>
      <c r="D520" s="20">
        <v>119</v>
      </c>
      <c r="E520" s="17" t="s">
        <v>530</v>
      </c>
      <c r="F520" s="19" t="s">
        <v>501</v>
      </c>
      <c r="G520" s="19" t="s">
        <v>531</v>
      </c>
      <c r="H520" s="19" t="s">
        <v>532</v>
      </c>
      <c r="I520" s="21"/>
      <c r="J520" s="21"/>
      <c r="K520" s="22">
        <v>85</v>
      </c>
      <c r="L520" s="22"/>
      <c r="M520" s="22"/>
      <c r="N520" s="23"/>
      <c r="O520" s="23"/>
      <c r="P520" s="21"/>
      <c r="Q520" s="22">
        <v>0.71428571428571397</v>
      </c>
    </row>
    <row r="521" spans="1:17" ht="15" customHeight="1" x14ac:dyDescent="0.2">
      <c r="A521" s="26" t="s">
        <v>169</v>
      </c>
      <c r="B521" s="27" t="s">
        <v>148</v>
      </c>
      <c r="C521" s="27" t="s">
        <v>149</v>
      </c>
      <c r="D521" s="29">
        <v>211</v>
      </c>
      <c r="E521" s="26" t="s">
        <v>530</v>
      </c>
      <c r="F521" s="28" t="s">
        <v>501</v>
      </c>
      <c r="G521" s="28" t="s">
        <v>531</v>
      </c>
      <c r="H521" s="28" t="s">
        <v>532</v>
      </c>
      <c r="I521" s="30"/>
      <c r="J521" s="30"/>
      <c r="K521" s="31">
        <v>14152</v>
      </c>
      <c r="L521" s="31">
        <v>8400</v>
      </c>
      <c r="M521" s="31">
        <v>8400</v>
      </c>
      <c r="N521" s="32">
        <v>0.68476190476190502</v>
      </c>
      <c r="O521" s="32">
        <v>0.68476190476190502</v>
      </c>
      <c r="P521" s="30"/>
      <c r="Q521" s="31">
        <v>67.071090047393398</v>
      </c>
    </row>
    <row r="522" spans="1:17" ht="15" customHeight="1" x14ac:dyDescent="0.2">
      <c r="A522" s="17" t="s">
        <v>171</v>
      </c>
      <c r="B522" s="18" t="s">
        <v>148</v>
      </c>
      <c r="C522" s="18" t="s">
        <v>149</v>
      </c>
      <c r="D522" s="20">
        <v>211</v>
      </c>
      <c r="E522" s="17" t="s">
        <v>530</v>
      </c>
      <c r="F522" s="19" t="s">
        <v>501</v>
      </c>
      <c r="G522" s="19" t="s">
        <v>531</v>
      </c>
      <c r="H522" s="19" t="s">
        <v>532</v>
      </c>
      <c r="I522" s="21"/>
      <c r="J522" s="21"/>
      <c r="K522" s="22">
        <v>814</v>
      </c>
      <c r="L522" s="22"/>
      <c r="M522" s="22"/>
      <c r="N522" s="23"/>
      <c r="O522" s="23"/>
      <c r="P522" s="21"/>
      <c r="Q522" s="22">
        <v>3.8578199052132698</v>
      </c>
    </row>
    <row r="523" spans="1:17" ht="15" customHeight="1" x14ac:dyDescent="0.2">
      <c r="A523" s="26" t="s">
        <v>173</v>
      </c>
      <c r="B523" s="27" t="s">
        <v>148</v>
      </c>
      <c r="C523" s="27" t="s">
        <v>149</v>
      </c>
      <c r="D523" s="29">
        <v>256</v>
      </c>
      <c r="E523" s="26" t="s">
        <v>530</v>
      </c>
      <c r="F523" s="28" t="s">
        <v>501</v>
      </c>
      <c r="G523" s="28" t="s">
        <v>531</v>
      </c>
      <c r="H523" s="28" t="s">
        <v>532</v>
      </c>
      <c r="I523" s="30"/>
      <c r="J523" s="30"/>
      <c r="K523" s="31">
        <v>26035.5</v>
      </c>
      <c r="L523" s="31">
        <v>9900</v>
      </c>
      <c r="M523" s="31">
        <v>12705</v>
      </c>
      <c r="N523" s="32">
        <v>1.62984848484849</v>
      </c>
      <c r="O523" s="32">
        <v>1.0492325855962199</v>
      </c>
      <c r="P523" s="30"/>
      <c r="Q523" s="31">
        <v>101.701171875</v>
      </c>
    </row>
    <row r="524" spans="1:17" ht="15" customHeight="1" x14ac:dyDescent="0.2">
      <c r="A524" s="17" t="s">
        <v>175</v>
      </c>
      <c r="B524" s="18" t="s">
        <v>148</v>
      </c>
      <c r="C524" s="18" t="s">
        <v>149</v>
      </c>
      <c r="D524" s="20">
        <v>136</v>
      </c>
      <c r="E524" s="17" t="s">
        <v>530</v>
      </c>
      <c r="F524" s="19" t="s">
        <v>501</v>
      </c>
      <c r="G524" s="19" t="s">
        <v>531</v>
      </c>
      <c r="H524" s="19" t="s">
        <v>532</v>
      </c>
      <c r="I524" s="21"/>
      <c r="J524" s="21"/>
      <c r="K524" s="22">
        <v>1144.5</v>
      </c>
      <c r="L524" s="22"/>
      <c r="M524" s="22"/>
      <c r="N524" s="23"/>
      <c r="O524" s="23"/>
      <c r="P524" s="21"/>
      <c r="Q524" s="22">
        <v>8.4154411764705905</v>
      </c>
    </row>
    <row r="525" spans="1:17" ht="15" customHeight="1" x14ac:dyDescent="0.2">
      <c r="A525" s="26" t="s">
        <v>179</v>
      </c>
      <c r="B525" s="27" t="s">
        <v>148</v>
      </c>
      <c r="C525" s="27" t="s">
        <v>180</v>
      </c>
      <c r="D525" s="29">
        <v>209</v>
      </c>
      <c r="E525" s="26" t="s">
        <v>530</v>
      </c>
      <c r="F525" s="28" t="s">
        <v>501</v>
      </c>
      <c r="G525" s="28" t="s">
        <v>531</v>
      </c>
      <c r="H525" s="28" t="s">
        <v>532</v>
      </c>
      <c r="I525" s="30">
        <v>875.5</v>
      </c>
      <c r="J525" s="30"/>
      <c r="K525" s="31">
        <v>21196.26</v>
      </c>
      <c r="L525" s="31">
        <v>7200</v>
      </c>
      <c r="M525" s="31">
        <v>7200</v>
      </c>
      <c r="N525" s="32">
        <v>1.9439249999999999</v>
      </c>
      <c r="O525" s="32">
        <v>1.9439249999999999</v>
      </c>
      <c r="P525" s="30">
        <v>4.1889952153110102</v>
      </c>
      <c r="Q525" s="31">
        <v>101.41751196172299</v>
      </c>
    </row>
    <row r="526" spans="1:17" ht="15" customHeight="1" x14ac:dyDescent="0.2">
      <c r="A526" s="17" t="s">
        <v>185</v>
      </c>
      <c r="B526" s="18" t="s">
        <v>148</v>
      </c>
      <c r="C526" s="18" t="s">
        <v>180</v>
      </c>
      <c r="D526" s="20">
        <v>117</v>
      </c>
      <c r="E526" s="17" t="s">
        <v>530</v>
      </c>
      <c r="F526" s="19" t="s">
        <v>501</v>
      </c>
      <c r="G526" s="19" t="s">
        <v>531</v>
      </c>
      <c r="H526" s="19" t="s">
        <v>532</v>
      </c>
      <c r="I526" s="21">
        <v>343.5</v>
      </c>
      <c r="J526" s="21"/>
      <c r="K526" s="22">
        <v>10740.5</v>
      </c>
      <c r="L526" s="22">
        <v>7000</v>
      </c>
      <c r="M526" s="22">
        <v>7097</v>
      </c>
      <c r="N526" s="23">
        <v>0.53435714285714297</v>
      </c>
      <c r="O526" s="23">
        <v>0.51338593772016405</v>
      </c>
      <c r="P526" s="21">
        <v>2.9358974358974401</v>
      </c>
      <c r="Q526" s="22">
        <v>91.799145299145295</v>
      </c>
    </row>
    <row r="527" spans="1:17" ht="15" customHeight="1" x14ac:dyDescent="0.2">
      <c r="A527" s="26" t="s">
        <v>190</v>
      </c>
      <c r="B527" s="27" t="s">
        <v>148</v>
      </c>
      <c r="C527" s="27" t="s">
        <v>180</v>
      </c>
      <c r="D527" s="29">
        <v>75</v>
      </c>
      <c r="E527" s="26" t="s">
        <v>530</v>
      </c>
      <c r="F527" s="28" t="s">
        <v>501</v>
      </c>
      <c r="G527" s="28" t="s">
        <v>531</v>
      </c>
      <c r="H527" s="28" t="s">
        <v>532</v>
      </c>
      <c r="I527" s="30">
        <v>494.5</v>
      </c>
      <c r="J527" s="30"/>
      <c r="K527" s="31">
        <v>13230</v>
      </c>
      <c r="L527" s="31">
        <v>6900</v>
      </c>
      <c r="M527" s="31">
        <v>6900</v>
      </c>
      <c r="N527" s="32">
        <v>0.91739130434782601</v>
      </c>
      <c r="O527" s="32">
        <v>0.91739130434782601</v>
      </c>
      <c r="P527" s="30">
        <v>6.5933333333333302</v>
      </c>
      <c r="Q527" s="31">
        <v>176.4</v>
      </c>
    </row>
    <row r="528" spans="1:17" ht="15" customHeight="1" x14ac:dyDescent="0.2">
      <c r="A528" s="17" t="s">
        <v>195</v>
      </c>
      <c r="B528" s="18" t="s">
        <v>148</v>
      </c>
      <c r="C528" s="18" t="s">
        <v>180</v>
      </c>
      <c r="D528" s="20">
        <v>49</v>
      </c>
      <c r="E528" s="17" t="s">
        <v>530</v>
      </c>
      <c r="F528" s="19" t="s">
        <v>501</v>
      </c>
      <c r="G528" s="19" t="s">
        <v>531</v>
      </c>
      <c r="H528" s="19" t="s">
        <v>532</v>
      </c>
      <c r="I528" s="21">
        <v>435</v>
      </c>
      <c r="J528" s="21"/>
      <c r="K528" s="22">
        <v>14056.5</v>
      </c>
      <c r="L528" s="22">
        <v>9180</v>
      </c>
      <c r="M528" s="22">
        <v>9180</v>
      </c>
      <c r="N528" s="23">
        <v>0.53120915032679705</v>
      </c>
      <c r="O528" s="23">
        <v>0.53120915032679705</v>
      </c>
      <c r="P528" s="21">
        <v>8.8775510204081591</v>
      </c>
      <c r="Q528" s="22">
        <v>286.867346938776</v>
      </c>
    </row>
    <row r="529" spans="1:17" ht="15" customHeight="1" x14ac:dyDescent="0.2">
      <c r="A529" s="26" t="s">
        <v>201</v>
      </c>
      <c r="B529" s="27" t="s">
        <v>148</v>
      </c>
      <c r="C529" s="27" t="s">
        <v>180</v>
      </c>
      <c r="D529" s="29">
        <v>170</v>
      </c>
      <c r="E529" s="26" t="s">
        <v>530</v>
      </c>
      <c r="F529" s="28" t="s">
        <v>501</v>
      </c>
      <c r="G529" s="28" t="s">
        <v>531</v>
      </c>
      <c r="H529" s="28" t="s">
        <v>532</v>
      </c>
      <c r="I529" s="30">
        <v>412.5</v>
      </c>
      <c r="J529" s="30">
        <v>6</v>
      </c>
      <c r="K529" s="31">
        <v>12684.5</v>
      </c>
      <c r="L529" s="31">
        <v>11000</v>
      </c>
      <c r="M529" s="31">
        <v>11000</v>
      </c>
      <c r="N529" s="32">
        <v>0.15313636363636399</v>
      </c>
      <c r="O529" s="32">
        <v>0.15313636363636399</v>
      </c>
      <c r="P529" s="30">
        <v>2.4264705882352899</v>
      </c>
      <c r="Q529" s="31">
        <v>74.614705882352894</v>
      </c>
    </row>
    <row r="530" spans="1:17" ht="15" customHeight="1" x14ac:dyDescent="0.2">
      <c r="A530" s="17" t="s">
        <v>205</v>
      </c>
      <c r="B530" s="18" t="s">
        <v>148</v>
      </c>
      <c r="C530" s="18" t="s">
        <v>180</v>
      </c>
      <c r="D530" s="20">
        <v>296</v>
      </c>
      <c r="E530" s="17" t="s">
        <v>530</v>
      </c>
      <c r="F530" s="19" t="s">
        <v>501</v>
      </c>
      <c r="G530" s="19" t="s">
        <v>531</v>
      </c>
      <c r="H530" s="19" t="s">
        <v>532</v>
      </c>
      <c r="I530" s="21">
        <v>664.5</v>
      </c>
      <c r="J530" s="21"/>
      <c r="K530" s="22">
        <v>18210</v>
      </c>
      <c r="L530" s="22">
        <v>12500</v>
      </c>
      <c r="M530" s="22">
        <v>14310</v>
      </c>
      <c r="N530" s="23">
        <v>0.45679999999999998</v>
      </c>
      <c r="O530" s="23">
        <v>0.27253668763102701</v>
      </c>
      <c r="P530" s="21">
        <v>2.2449324324324298</v>
      </c>
      <c r="Q530" s="22">
        <v>61.520270270270302</v>
      </c>
    </row>
    <row r="531" spans="1:17" ht="15" customHeight="1" x14ac:dyDescent="0.2">
      <c r="A531" s="26" t="s">
        <v>210</v>
      </c>
      <c r="B531" s="27" t="s">
        <v>148</v>
      </c>
      <c r="C531" s="27" t="s">
        <v>180</v>
      </c>
      <c r="D531" s="29">
        <v>83</v>
      </c>
      <c r="E531" s="26" t="s">
        <v>530</v>
      </c>
      <c r="F531" s="28" t="s">
        <v>501</v>
      </c>
      <c r="G531" s="28" t="s">
        <v>531</v>
      </c>
      <c r="H531" s="28" t="s">
        <v>532</v>
      </c>
      <c r="I531" s="30">
        <v>465</v>
      </c>
      <c r="J531" s="30"/>
      <c r="K531" s="31">
        <v>12326</v>
      </c>
      <c r="L531" s="31">
        <v>11400</v>
      </c>
      <c r="M531" s="31">
        <v>11400</v>
      </c>
      <c r="N531" s="32">
        <v>8.1228070175438594E-2</v>
      </c>
      <c r="O531" s="32">
        <v>8.1228070175438594E-2</v>
      </c>
      <c r="P531" s="30">
        <v>5.6024096385542199</v>
      </c>
      <c r="Q531" s="31">
        <v>148.506024096386</v>
      </c>
    </row>
    <row r="532" spans="1:17" ht="15" customHeight="1" x14ac:dyDescent="0.2">
      <c r="A532" s="17" t="s">
        <v>214</v>
      </c>
      <c r="B532" s="18" t="s">
        <v>148</v>
      </c>
      <c r="C532" s="18" t="s">
        <v>180</v>
      </c>
      <c r="D532" s="20">
        <v>144</v>
      </c>
      <c r="E532" s="17" t="s">
        <v>530</v>
      </c>
      <c r="F532" s="19" t="s">
        <v>501</v>
      </c>
      <c r="G532" s="19" t="s">
        <v>531</v>
      </c>
      <c r="H532" s="19" t="s">
        <v>532</v>
      </c>
      <c r="I532" s="21">
        <v>617</v>
      </c>
      <c r="J532" s="21">
        <v>93</v>
      </c>
      <c r="K532" s="22">
        <v>18473</v>
      </c>
      <c r="L532" s="22">
        <v>21000</v>
      </c>
      <c r="M532" s="22">
        <v>24886</v>
      </c>
      <c r="N532" s="23">
        <v>-0.120333333333333</v>
      </c>
      <c r="O532" s="23">
        <v>-0.25769508960861498</v>
      </c>
      <c r="P532" s="21">
        <v>4.2847222222222197</v>
      </c>
      <c r="Q532" s="22">
        <v>128.284722222222</v>
      </c>
    </row>
    <row r="533" spans="1:17" ht="15" customHeight="1" x14ac:dyDescent="0.2">
      <c r="A533" s="26" t="s">
        <v>219</v>
      </c>
      <c r="B533" s="27" t="s">
        <v>148</v>
      </c>
      <c r="C533" s="27" t="s">
        <v>180</v>
      </c>
      <c r="D533" s="29">
        <v>398</v>
      </c>
      <c r="E533" s="26" t="s">
        <v>530</v>
      </c>
      <c r="F533" s="28" t="s">
        <v>501</v>
      </c>
      <c r="G533" s="28" t="s">
        <v>531</v>
      </c>
      <c r="H533" s="28" t="s">
        <v>532</v>
      </c>
      <c r="I533" s="30">
        <v>920</v>
      </c>
      <c r="J533" s="30">
        <v>3</v>
      </c>
      <c r="K533" s="31">
        <v>32815</v>
      </c>
      <c r="L533" s="31">
        <v>23440</v>
      </c>
      <c r="M533" s="31">
        <v>27517</v>
      </c>
      <c r="N533" s="32">
        <v>0.39995733788395899</v>
      </c>
      <c r="O533" s="32">
        <v>0.19253552349456701</v>
      </c>
      <c r="P533" s="30">
        <v>2.3115577889447199</v>
      </c>
      <c r="Q533" s="31">
        <v>82.449748743718601</v>
      </c>
    </row>
    <row r="534" spans="1:17" ht="15" customHeight="1" x14ac:dyDescent="0.2">
      <c r="A534" s="17" t="s">
        <v>224</v>
      </c>
      <c r="B534" s="18" t="s">
        <v>148</v>
      </c>
      <c r="C534" s="18" t="s">
        <v>180</v>
      </c>
      <c r="D534" s="20">
        <v>71</v>
      </c>
      <c r="E534" s="17" t="s">
        <v>530</v>
      </c>
      <c r="F534" s="19" t="s">
        <v>501</v>
      </c>
      <c r="G534" s="19" t="s">
        <v>531</v>
      </c>
      <c r="H534" s="19" t="s">
        <v>532</v>
      </c>
      <c r="I534" s="21">
        <v>274</v>
      </c>
      <c r="J534" s="21"/>
      <c r="K534" s="22">
        <v>9868.5</v>
      </c>
      <c r="L534" s="22">
        <v>12060</v>
      </c>
      <c r="M534" s="22">
        <v>12762</v>
      </c>
      <c r="N534" s="23">
        <v>-0.18171641791044801</v>
      </c>
      <c r="O534" s="23">
        <v>-0.22672778561354001</v>
      </c>
      <c r="P534" s="21">
        <v>3.8591549295774699</v>
      </c>
      <c r="Q534" s="22">
        <v>138.99295774647899</v>
      </c>
    </row>
    <row r="535" spans="1:17" ht="15" customHeight="1" x14ac:dyDescent="0.2">
      <c r="A535" s="26" t="s">
        <v>230</v>
      </c>
      <c r="B535" s="27" t="s">
        <v>148</v>
      </c>
      <c r="C535" s="27" t="s">
        <v>180</v>
      </c>
      <c r="D535" s="29">
        <v>139</v>
      </c>
      <c r="E535" s="26" t="s">
        <v>530</v>
      </c>
      <c r="F535" s="28" t="s">
        <v>501</v>
      </c>
      <c r="G535" s="28" t="s">
        <v>531</v>
      </c>
      <c r="H535" s="28" t="s">
        <v>532</v>
      </c>
      <c r="I535" s="30">
        <v>355</v>
      </c>
      <c r="J535" s="30">
        <v>10</v>
      </c>
      <c r="K535" s="31">
        <v>13827</v>
      </c>
      <c r="L535" s="31">
        <v>18900</v>
      </c>
      <c r="M535" s="31">
        <v>19400</v>
      </c>
      <c r="N535" s="32">
        <v>-0.26841269841269799</v>
      </c>
      <c r="O535" s="32">
        <v>-0.28726804123711303</v>
      </c>
      <c r="P535" s="30">
        <v>2.5539568345323702</v>
      </c>
      <c r="Q535" s="31">
        <v>99.474820143884898</v>
      </c>
    </row>
    <row r="536" spans="1:17" ht="15" customHeight="1" x14ac:dyDescent="0.2">
      <c r="A536" s="17" t="s">
        <v>236</v>
      </c>
      <c r="B536" s="18" t="s">
        <v>148</v>
      </c>
      <c r="C536" s="18" t="s">
        <v>180</v>
      </c>
      <c r="D536" s="20">
        <v>128</v>
      </c>
      <c r="E536" s="17" t="s">
        <v>530</v>
      </c>
      <c r="F536" s="19" t="s">
        <v>501</v>
      </c>
      <c r="G536" s="19" t="s">
        <v>531</v>
      </c>
      <c r="H536" s="19" t="s">
        <v>532</v>
      </c>
      <c r="I536" s="21">
        <v>206</v>
      </c>
      <c r="J536" s="21"/>
      <c r="K536" s="22">
        <v>8618.5</v>
      </c>
      <c r="L536" s="22">
        <v>16650</v>
      </c>
      <c r="M536" s="22">
        <v>16882</v>
      </c>
      <c r="N536" s="23">
        <v>-0.48237237237237202</v>
      </c>
      <c r="O536" s="23">
        <v>-0.489485842909608</v>
      </c>
      <c r="P536" s="21">
        <v>1.609375</v>
      </c>
      <c r="Q536" s="22">
        <v>67.33203125</v>
      </c>
    </row>
    <row r="537" spans="1:17" ht="15" customHeight="1" x14ac:dyDescent="0.2">
      <c r="A537" s="26" t="s">
        <v>239</v>
      </c>
      <c r="B537" s="27" t="s">
        <v>148</v>
      </c>
      <c r="C537" s="27" t="s">
        <v>180</v>
      </c>
      <c r="D537" s="29">
        <v>92</v>
      </c>
      <c r="E537" s="26" t="s">
        <v>530</v>
      </c>
      <c r="F537" s="28" t="s">
        <v>501</v>
      </c>
      <c r="G537" s="28" t="s">
        <v>531</v>
      </c>
      <c r="H537" s="28" t="s">
        <v>532</v>
      </c>
      <c r="I537" s="30">
        <v>14</v>
      </c>
      <c r="J537" s="30"/>
      <c r="K537" s="31">
        <v>588</v>
      </c>
      <c r="L537" s="31">
        <v>4200</v>
      </c>
      <c r="M537" s="31">
        <v>4200</v>
      </c>
      <c r="N537" s="32">
        <v>-0.86</v>
      </c>
      <c r="O537" s="32">
        <v>-0.86</v>
      </c>
      <c r="P537" s="30">
        <v>0.15217391304347799</v>
      </c>
      <c r="Q537" s="31">
        <v>6.3913043478260896</v>
      </c>
    </row>
    <row r="538" spans="1:17" ht="15" customHeight="1" x14ac:dyDescent="0.2">
      <c r="A538" s="17" t="s">
        <v>245</v>
      </c>
      <c r="B538" s="18" t="s">
        <v>148</v>
      </c>
      <c r="C538" s="18" t="s">
        <v>180</v>
      </c>
      <c r="D538" s="20">
        <v>31</v>
      </c>
      <c r="E538" s="17" t="s">
        <v>530</v>
      </c>
      <c r="F538" s="19" t="s">
        <v>501</v>
      </c>
      <c r="G538" s="19" t="s">
        <v>531</v>
      </c>
      <c r="H538" s="19" t="s">
        <v>532</v>
      </c>
      <c r="I538" s="21">
        <v>9.5</v>
      </c>
      <c r="J538" s="21"/>
      <c r="K538" s="22">
        <v>405</v>
      </c>
      <c r="L538" s="22">
        <v>2600</v>
      </c>
      <c r="M538" s="22">
        <v>2600</v>
      </c>
      <c r="N538" s="23">
        <v>-0.84423076923076901</v>
      </c>
      <c r="O538" s="23">
        <v>-0.84423076923076901</v>
      </c>
      <c r="P538" s="21">
        <v>0.30645161290322598</v>
      </c>
      <c r="Q538" s="22">
        <v>13.064516129032301</v>
      </c>
    </row>
    <row r="539" spans="1:17" ht="15" customHeight="1" x14ac:dyDescent="0.2">
      <c r="A539" s="26" t="s">
        <v>249</v>
      </c>
      <c r="B539" s="27" t="s">
        <v>148</v>
      </c>
      <c r="C539" s="27" t="s">
        <v>180</v>
      </c>
      <c r="D539" s="29">
        <v>122</v>
      </c>
      <c r="E539" s="26" t="s">
        <v>530</v>
      </c>
      <c r="F539" s="28" t="s">
        <v>501</v>
      </c>
      <c r="G539" s="28" t="s">
        <v>531</v>
      </c>
      <c r="H539" s="28" t="s">
        <v>532</v>
      </c>
      <c r="I539" s="30">
        <v>446.5</v>
      </c>
      <c r="J539" s="30">
        <v>0.5</v>
      </c>
      <c r="K539" s="31">
        <v>17394.75</v>
      </c>
      <c r="L539" s="31">
        <v>13000</v>
      </c>
      <c r="M539" s="31">
        <v>24060</v>
      </c>
      <c r="N539" s="32">
        <v>0.338057692307692</v>
      </c>
      <c r="O539" s="32">
        <v>-0.27702618453865302</v>
      </c>
      <c r="P539" s="30">
        <v>3.6598360655737698</v>
      </c>
      <c r="Q539" s="31">
        <v>142.57991803278699</v>
      </c>
    </row>
    <row r="540" spans="1:17" ht="15" customHeight="1" x14ac:dyDescent="0.2">
      <c r="A540" s="17" t="s">
        <v>254</v>
      </c>
      <c r="B540" s="18" t="s">
        <v>148</v>
      </c>
      <c r="C540" s="18" t="s">
        <v>180</v>
      </c>
      <c r="D540" s="20">
        <v>80</v>
      </c>
      <c r="E540" s="17" t="s">
        <v>530</v>
      </c>
      <c r="F540" s="19" t="s">
        <v>501</v>
      </c>
      <c r="G540" s="19" t="s">
        <v>531</v>
      </c>
      <c r="H540" s="19" t="s">
        <v>532</v>
      </c>
      <c r="I540" s="21"/>
      <c r="J540" s="21"/>
      <c r="K540" s="22">
        <v>7634.5</v>
      </c>
      <c r="L540" s="22">
        <v>20000</v>
      </c>
      <c r="M540" s="22">
        <v>20300</v>
      </c>
      <c r="N540" s="23">
        <v>-0.61827500000000002</v>
      </c>
      <c r="O540" s="23">
        <v>-0.62391625615763602</v>
      </c>
      <c r="P540" s="21"/>
      <c r="Q540" s="22">
        <v>95.431250000000006</v>
      </c>
    </row>
    <row r="541" spans="1:17" ht="15" customHeight="1" x14ac:dyDescent="0.2">
      <c r="A541" s="26" t="s">
        <v>263</v>
      </c>
      <c r="B541" s="27" t="s">
        <v>148</v>
      </c>
      <c r="C541" s="27" t="s">
        <v>180</v>
      </c>
      <c r="D541" s="29">
        <v>55</v>
      </c>
      <c r="E541" s="26" t="s">
        <v>530</v>
      </c>
      <c r="F541" s="28" t="s">
        <v>501</v>
      </c>
      <c r="G541" s="28" t="s">
        <v>531</v>
      </c>
      <c r="H541" s="28" t="s">
        <v>532</v>
      </c>
      <c r="I541" s="30">
        <v>192</v>
      </c>
      <c r="J541" s="30"/>
      <c r="K541" s="31">
        <v>7174</v>
      </c>
      <c r="L541" s="31">
        <v>12060</v>
      </c>
      <c r="M541" s="31">
        <v>12060</v>
      </c>
      <c r="N541" s="32">
        <v>-0.40514096185738002</v>
      </c>
      <c r="O541" s="32">
        <v>-0.40514096185738002</v>
      </c>
      <c r="P541" s="30">
        <v>3.4909090909090899</v>
      </c>
      <c r="Q541" s="31">
        <v>130.43636363636401</v>
      </c>
    </row>
    <row r="542" spans="1:17" ht="15" customHeight="1" x14ac:dyDescent="0.2">
      <c r="A542" s="17" t="s">
        <v>266</v>
      </c>
      <c r="B542" s="18" t="s">
        <v>148</v>
      </c>
      <c r="C542" s="18" t="s">
        <v>267</v>
      </c>
      <c r="D542" s="20">
        <v>108</v>
      </c>
      <c r="E542" s="17" t="s">
        <v>530</v>
      </c>
      <c r="F542" s="19" t="s">
        <v>501</v>
      </c>
      <c r="G542" s="19" t="s">
        <v>531</v>
      </c>
      <c r="H542" s="19" t="s">
        <v>532</v>
      </c>
      <c r="I542" s="21">
        <v>424.5</v>
      </c>
      <c r="J542" s="21"/>
      <c r="K542" s="22">
        <v>15740.5</v>
      </c>
      <c r="L542" s="22">
        <v>17500</v>
      </c>
      <c r="M542" s="22">
        <v>17500</v>
      </c>
      <c r="N542" s="23">
        <v>-0.100542857142857</v>
      </c>
      <c r="O542" s="23">
        <v>-0.100542857142857</v>
      </c>
      <c r="P542" s="21">
        <v>3.9305555555555598</v>
      </c>
      <c r="Q542" s="22">
        <v>145.74537037037001</v>
      </c>
    </row>
    <row r="543" spans="1:17" ht="15" customHeight="1" x14ac:dyDescent="0.2">
      <c r="A543" s="26" t="s">
        <v>270</v>
      </c>
      <c r="B543" s="27" t="s">
        <v>148</v>
      </c>
      <c r="C543" s="27" t="s">
        <v>267</v>
      </c>
      <c r="D543" s="29">
        <v>75</v>
      </c>
      <c r="E543" s="26" t="s">
        <v>530</v>
      </c>
      <c r="F543" s="28" t="s">
        <v>501</v>
      </c>
      <c r="G543" s="28" t="s">
        <v>531</v>
      </c>
      <c r="H543" s="28" t="s">
        <v>532</v>
      </c>
      <c r="I543" s="30">
        <v>284.5</v>
      </c>
      <c r="J543" s="30"/>
      <c r="K543" s="31">
        <v>12026.5</v>
      </c>
      <c r="L543" s="31">
        <v>17500</v>
      </c>
      <c r="M543" s="31">
        <v>17750</v>
      </c>
      <c r="N543" s="32">
        <v>-0.31277142857142898</v>
      </c>
      <c r="O543" s="32">
        <v>-0.32245070422535199</v>
      </c>
      <c r="P543" s="30">
        <v>3.7933333333333299</v>
      </c>
      <c r="Q543" s="31">
        <v>160.35333333333301</v>
      </c>
    </row>
    <row r="544" spans="1:17" ht="15" customHeight="1" x14ac:dyDescent="0.2">
      <c r="A544" s="17" t="s">
        <v>272</v>
      </c>
      <c r="B544" s="18" t="s">
        <v>148</v>
      </c>
      <c r="C544" s="18" t="s">
        <v>267</v>
      </c>
      <c r="D544" s="20">
        <v>89</v>
      </c>
      <c r="E544" s="17" t="s">
        <v>530</v>
      </c>
      <c r="F544" s="19" t="s">
        <v>501</v>
      </c>
      <c r="G544" s="19" t="s">
        <v>531</v>
      </c>
      <c r="H544" s="19" t="s">
        <v>532</v>
      </c>
      <c r="I544" s="21">
        <v>288</v>
      </c>
      <c r="J544" s="21">
        <v>3</v>
      </c>
      <c r="K544" s="22">
        <v>10649.5</v>
      </c>
      <c r="L544" s="22">
        <v>10600</v>
      </c>
      <c r="M544" s="22">
        <v>11140</v>
      </c>
      <c r="N544" s="23">
        <v>4.6698113207547199E-3</v>
      </c>
      <c r="O544" s="23">
        <v>-4.4030520646319599E-2</v>
      </c>
      <c r="P544" s="21">
        <v>3.2359550561797801</v>
      </c>
      <c r="Q544" s="22">
        <v>119.65730337078701</v>
      </c>
    </row>
    <row r="545" spans="1:17" ht="15" customHeight="1" x14ac:dyDescent="0.2">
      <c r="A545" s="26" t="s">
        <v>275</v>
      </c>
      <c r="B545" s="27" t="s">
        <v>148</v>
      </c>
      <c r="C545" s="27" t="s">
        <v>267</v>
      </c>
      <c r="D545" s="29">
        <v>78</v>
      </c>
      <c r="E545" s="26" t="s">
        <v>530</v>
      </c>
      <c r="F545" s="28" t="s">
        <v>501</v>
      </c>
      <c r="G545" s="28" t="s">
        <v>531</v>
      </c>
      <c r="H545" s="28" t="s">
        <v>532</v>
      </c>
      <c r="I545" s="30">
        <v>249</v>
      </c>
      <c r="J545" s="30"/>
      <c r="K545" s="31">
        <v>9685</v>
      </c>
      <c r="L545" s="31">
        <v>13400</v>
      </c>
      <c r="M545" s="31">
        <v>13400</v>
      </c>
      <c r="N545" s="32">
        <v>-0.27723880597014899</v>
      </c>
      <c r="O545" s="32">
        <v>-0.27723880597014899</v>
      </c>
      <c r="P545" s="30">
        <v>3.1923076923076898</v>
      </c>
      <c r="Q545" s="31">
        <v>124.166666666667</v>
      </c>
    </row>
    <row r="546" spans="1:17" ht="15" customHeight="1" x14ac:dyDescent="0.2">
      <c r="A546" s="17" t="s">
        <v>277</v>
      </c>
      <c r="B546" s="18" t="s">
        <v>148</v>
      </c>
      <c r="C546" s="18" t="s">
        <v>267</v>
      </c>
      <c r="D546" s="20">
        <v>158</v>
      </c>
      <c r="E546" s="17" t="s">
        <v>530</v>
      </c>
      <c r="F546" s="19" t="s">
        <v>501</v>
      </c>
      <c r="G546" s="19" t="s">
        <v>531</v>
      </c>
      <c r="H546" s="19" t="s">
        <v>532</v>
      </c>
      <c r="I546" s="21">
        <v>125</v>
      </c>
      <c r="J546" s="21"/>
      <c r="K546" s="22">
        <v>4376</v>
      </c>
      <c r="L546" s="22">
        <v>5250</v>
      </c>
      <c r="M546" s="22">
        <v>8250</v>
      </c>
      <c r="N546" s="23">
        <v>-0.166476190476191</v>
      </c>
      <c r="O546" s="23">
        <v>-0.46957575757575798</v>
      </c>
      <c r="P546" s="21">
        <v>0.791139240506329</v>
      </c>
      <c r="Q546" s="22">
        <v>27.6962025316456</v>
      </c>
    </row>
    <row r="547" spans="1:17" ht="15" customHeight="1" x14ac:dyDescent="0.2">
      <c r="A547" s="26" t="s">
        <v>280</v>
      </c>
      <c r="B547" s="27" t="s">
        <v>148</v>
      </c>
      <c r="C547" s="27" t="s">
        <v>267</v>
      </c>
      <c r="D547" s="29">
        <v>110</v>
      </c>
      <c r="E547" s="26" t="s">
        <v>530</v>
      </c>
      <c r="F547" s="28" t="s">
        <v>501</v>
      </c>
      <c r="G547" s="28" t="s">
        <v>531</v>
      </c>
      <c r="H547" s="28" t="s">
        <v>532</v>
      </c>
      <c r="I547" s="30">
        <v>272.5</v>
      </c>
      <c r="J547" s="30">
        <v>2</v>
      </c>
      <c r="K547" s="31">
        <v>9940.82</v>
      </c>
      <c r="L547" s="31">
        <v>14740</v>
      </c>
      <c r="M547" s="31">
        <v>15760</v>
      </c>
      <c r="N547" s="32">
        <v>-0.32558887381275398</v>
      </c>
      <c r="O547" s="32">
        <v>-0.36923730964467</v>
      </c>
      <c r="P547" s="30">
        <v>2.4772727272727302</v>
      </c>
      <c r="Q547" s="31">
        <v>90.371090909090896</v>
      </c>
    </row>
    <row r="548" spans="1:17" ht="15" customHeight="1" x14ac:dyDescent="0.2">
      <c r="A548" s="17" t="s">
        <v>282</v>
      </c>
      <c r="B548" s="18" t="s">
        <v>148</v>
      </c>
      <c r="C548" s="18" t="s">
        <v>267</v>
      </c>
      <c r="D548" s="20">
        <v>70</v>
      </c>
      <c r="E548" s="17" t="s">
        <v>530</v>
      </c>
      <c r="F548" s="19" t="s">
        <v>501</v>
      </c>
      <c r="G548" s="19" t="s">
        <v>531</v>
      </c>
      <c r="H548" s="19" t="s">
        <v>532</v>
      </c>
      <c r="I548" s="21"/>
      <c r="J548" s="21"/>
      <c r="K548" s="22"/>
      <c r="L548" s="22"/>
      <c r="M548" s="22"/>
      <c r="N548" s="23"/>
      <c r="O548" s="23"/>
      <c r="P548" s="21"/>
      <c r="Q548" s="22"/>
    </row>
    <row r="549" spans="1:17" ht="15" customHeight="1" x14ac:dyDescent="0.2">
      <c r="A549" s="26" t="s">
        <v>285</v>
      </c>
      <c r="B549" s="27" t="s">
        <v>148</v>
      </c>
      <c r="C549" s="27" t="s">
        <v>267</v>
      </c>
      <c r="D549" s="29">
        <v>296</v>
      </c>
      <c r="E549" s="26" t="s">
        <v>530</v>
      </c>
      <c r="F549" s="28" t="s">
        <v>501</v>
      </c>
      <c r="G549" s="28" t="s">
        <v>531</v>
      </c>
      <c r="H549" s="28" t="s">
        <v>532</v>
      </c>
      <c r="I549" s="30">
        <v>371.25</v>
      </c>
      <c r="J549" s="30">
        <v>41.25</v>
      </c>
      <c r="K549" s="31">
        <v>11736.7</v>
      </c>
      <c r="L549" s="31">
        <v>20000</v>
      </c>
      <c r="M549" s="31">
        <v>20880</v>
      </c>
      <c r="N549" s="32">
        <v>-0.413165</v>
      </c>
      <c r="O549" s="32">
        <v>-0.43789750957854401</v>
      </c>
      <c r="P549" s="30">
        <v>1.2542229729729699</v>
      </c>
      <c r="Q549" s="31">
        <v>39.651013513513497</v>
      </c>
    </row>
    <row r="550" spans="1:17" ht="15" customHeight="1" x14ac:dyDescent="0.2">
      <c r="A550" s="17" t="s">
        <v>286</v>
      </c>
      <c r="B550" s="18" t="s">
        <v>148</v>
      </c>
      <c r="C550" s="18" t="s">
        <v>267</v>
      </c>
      <c r="D550" s="20">
        <v>50</v>
      </c>
      <c r="E550" s="17" t="s">
        <v>530</v>
      </c>
      <c r="F550" s="19" t="s">
        <v>501</v>
      </c>
      <c r="G550" s="19" t="s">
        <v>531</v>
      </c>
      <c r="H550" s="19" t="s">
        <v>532</v>
      </c>
      <c r="I550" s="21">
        <v>254.5</v>
      </c>
      <c r="J550" s="21"/>
      <c r="K550" s="22">
        <v>9014</v>
      </c>
      <c r="L550" s="22">
        <v>7800</v>
      </c>
      <c r="M550" s="22">
        <v>7800</v>
      </c>
      <c r="N550" s="23">
        <v>0.155641025641026</v>
      </c>
      <c r="O550" s="23">
        <v>0.155641025641026</v>
      </c>
      <c r="P550" s="21">
        <v>5.09</v>
      </c>
      <c r="Q550" s="22">
        <v>180.28</v>
      </c>
    </row>
    <row r="551" spans="1:17" ht="15" customHeight="1" x14ac:dyDescent="0.2">
      <c r="A551" s="26" t="s">
        <v>287</v>
      </c>
      <c r="B551" s="27" t="s">
        <v>148</v>
      </c>
      <c r="C551" s="27" t="s">
        <v>267</v>
      </c>
      <c r="D551" s="29">
        <v>163</v>
      </c>
      <c r="E551" s="26" t="s">
        <v>530</v>
      </c>
      <c r="F551" s="28" t="s">
        <v>501</v>
      </c>
      <c r="G551" s="28" t="s">
        <v>531</v>
      </c>
      <c r="H551" s="28" t="s">
        <v>532</v>
      </c>
      <c r="I551" s="30">
        <v>455.5</v>
      </c>
      <c r="J551" s="30"/>
      <c r="K551" s="31">
        <v>16058</v>
      </c>
      <c r="L551" s="31">
        <v>17000</v>
      </c>
      <c r="M551" s="31">
        <v>17000</v>
      </c>
      <c r="N551" s="32">
        <v>-5.5411764705882403E-2</v>
      </c>
      <c r="O551" s="32">
        <v>-5.5411764705882403E-2</v>
      </c>
      <c r="P551" s="30">
        <v>2.7944785276073598</v>
      </c>
      <c r="Q551" s="31">
        <v>98.5153374233129</v>
      </c>
    </row>
    <row r="552" spans="1:17" ht="15" customHeight="1" x14ac:dyDescent="0.2">
      <c r="A552" s="17" t="s">
        <v>289</v>
      </c>
      <c r="B552" s="18" t="s">
        <v>148</v>
      </c>
      <c r="C552" s="18" t="s">
        <v>267</v>
      </c>
      <c r="D552" s="20">
        <v>107</v>
      </c>
      <c r="E552" s="17" t="s">
        <v>530</v>
      </c>
      <c r="F552" s="19" t="s">
        <v>501</v>
      </c>
      <c r="G552" s="19" t="s">
        <v>531</v>
      </c>
      <c r="H552" s="19" t="s">
        <v>532</v>
      </c>
      <c r="I552" s="21">
        <v>320</v>
      </c>
      <c r="J552" s="21"/>
      <c r="K552" s="22">
        <v>11567</v>
      </c>
      <c r="L552" s="22">
        <v>16000</v>
      </c>
      <c r="M552" s="22">
        <v>19000</v>
      </c>
      <c r="N552" s="23">
        <v>-0.27706249999999999</v>
      </c>
      <c r="O552" s="23">
        <v>-0.39121052631579001</v>
      </c>
      <c r="P552" s="21">
        <v>2.9906542056074801</v>
      </c>
      <c r="Q552" s="22">
        <v>108.102803738318</v>
      </c>
    </row>
    <row r="553" spans="1:17" ht="15" customHeight="1" x14ac:dyDescent="0.2">
      <c r="A553" s="26" t="s">
        <v>292</v>
      </c>
      <c r="B553" s="27" t="s">
        <v>148</v>
      </c>
      <c r="C553" s="27" t="s">
        <v>267</v>
      </c>
      <c r="D553" s="29">
        <v>136</v>
      </c>
      <c r="E553" s="26" t="s">
        <v>530</v>
      </c>
      <c r="F553" s="28" t="s">
        <v>501</v>
      </c>
      <c r="G553" s="28" t="s">
        <v>531</v>
      </c>
      <c r="H553" s="28" t="s">
        <v>532</v>
      </c>
      <c r="I553" s="30">
        <v>527</v>
      </c>
      <c r="J553" s="30">
        <v>1.5</v>
      </c>
      <c r="K553" s="31">
        <v>17521.5</v>
      </c>
      <c r="L553" s="31">
        <v>18150</v>
      </c>
      <c r="M553" s="31">
        <v>18150</v>
      </c>
      <c r="N553" s="32">
        <v>-3.4628099173553702E-2</v>
      </c>
      <c r="O553" s="32">
        <v>-3.4628099173553702E-2</v>
      </c>
      <c r="P553" s="30">
        <v>3.875</v>
      </c>
      <c r="Q553" s="31">
        <v>128.83455882352899</v>
      </c>
    </row>
    <row r="554" spans="1:17" ht="15" customHeight="1" x14ac:dyDescent="0.2">
      <c r="A554" s="17" t="s">
        <v>295</v>
      </c>
      <c r="B554" s="18" t="s">
        <v>148</v>
      </c>
      <c r="C554" s="18" t="s">
        <v>267</v>
      </c>
      <c r="D554" s="20">
        <v>68</v>
      </c>
      <c r="E554" s="17" t="s">
        <v>530</v>
      </c>
      <c r="F554" s="19" t="s">
        <v>501</v>
      </c>
      <c r="G554" s="19" t="s">
        <v>531</v>
      </c>
      <c r="H554" s="19" t="s">
        <v>532</v>
      </c>
      <c r="I554" s="21">
        <v>320</v>
      </c>
      <c r="J554" s="21"/>
      <c r="K554" s="22">
        <v>12228</v>
      </c>
      <c r="L554" s="22">
        <v>12000</v>
      </c>
      <c r="M554" s="22">
        <v>12000</v>
      </c>
      <c r="N554" s="23">
        <v>1.9E-2</v>
      </c>
      <c r="O554" s="23">
        <v>1.9E-2</v>
      </c>
      <c r="P554" s="21">
        <v>4.7058823529411802</v>
      </c>
      <c r="Q554" s="22">
        <v>179.82352941176501</v>
      </c>
    </row>
    <row r="555" spans="1:17" ht="15" customHeight="1" x14ac:dyDescent="0.2">
      <c r="A555" s="26" t="s">
        <v>298</v>
      </c>
      <c r="B555" s="27" t="s">
        <v>148</v>
      </c>
      <c r="C555" s="27" t="s">
        <v>267</v>
      </c>
      <c r="D555" s="29">
        <v>98</v>
      </c>
      <c r="E555" s="26" t="s">
        <v>530</v>
      </c>
      <c r="F555" s="28" t="s">
        <v>501</v>
      </c>
      <c r="G555" s="28" t="s">
        <v>531</v>
      </c>
      <c r="H555" s="28" t="s">
        <v>532</v>
      </c>
      <c r="I555" s="30">
        <v>673.5</v>
      </c>
      <c r="J555" s="30"/>
      <c r="K555" s="31">
        <v>28376</v>
      </c>
      <c r="L555" s="31">
        <v>15600</v>
      </c>
      <c r="M555" s="31">
        <v>15600</v>
      </c>
      <c r="N555" s="32">
        <v>0.818974358974359</v>
      </c>
      <c r="O555" s="32">
        <v>0.818974358974359</v>
      </c>
      <c r="P555" s="30">
        <v>6.87244897959184</v>
      </c>
      <c r="Q555" s="31">
        <v>289.55102040816303</v>
      </c>
    </row>
    <row r="556" spans="1:17" ht="15" customHeight="1" x14ac:dyDescent="0.2">
      <c r="A556" s="17" t="s">
        <v>300</v>
      </c>
      <c r="B556" s="18" t="s">
        <v>148</v>
      </c>
      <c r="C556" s="18" t="s">
        <v>267</v>
      </c>
      <c r="D556" s="20">
        <v>321</v>
      </c>
      <c r="E556" s="17" t="s">
        <v>530</v>
      </c>
      <c r="F556" s="19" t="s">
        <v>501</v>
      </c>
      <c r="G556" s="19" t="s">
        <v>531</v>
      </c>
      <c r="H556" s="19" t="s">
        <v>532</v>
      </c>
      <c r="I556" s="21">
        <v>814.5</v>
      </c>
      <c r="J556" s="21"/>
      <c r="K556" s="22">
        <v>35212</v>
      </c>
      <c r="L556" s="22">
        <v>115500</v>
      </c>
      <c r="M556" s="22">
        <v>115500</v>
      </c>
      <c r="N556" s="23">
        <v>-0.69513419913419905</v>
      </c>
      <c r="O556" s="23">
        <v>-0.69513419913419905</v>
      </c>
      <c r="P556" s="21">
        <v>2.5373831775700899</v>
      </c>
      <c r="Q556" s="22">
        <v>109.69470404984401</v>
      </c>
    </row>
    <row r="557" spans="1:17" ht="15" customHeight="1" x14ac:dyDescent="0.2">
      <c r="A557" s="26" t="s">
        <v>302</v>
      </c>
      <c r="B557" s="27" t="s">
        <v>148</v>
      </c>
      <c r="C557" s="27" t="s">
        <v>267</v>
      </c>
      <c r="D557" s="29">
        <v>111</v>
      </c>
      <c r="E557" s="26" t="s">
        <v>530</v>
      </c>
      <c r="F557" s="28" t="s">
        <v>501</v>
      </c>
      <c r="G557" s="28" t="s">
        <v>531</v>
      </c>
      <c r="H557" s="28" t="s">
        <v>532</v>
      </c>
      <c r="I557" s="30">
        <v>138.5</v>
      </c>
      <c r="J557" s="30"/>
      <c r="K557" s="31">
        <v>5049.5</v>
      </c>
      <c r="L557" s="31">
        <v>7000</v>
      </c>
      <c r="M557" s="31">
        <v>7300</v>
      </c>
      <c r="N557" s="32">
        <v>-0.27864285714285703</v>
      </c>
      <c r="O557" s="32">
        <v>-0.30828767123287698</v>
      </c>
      <c r="P557" s="30">
        <v>1.2477477477477501</v>
      </c>
      <c r="Q557" s="31">
        <v>45.490990990991001</v>
      </c>
    </row>
    <row r="558" spans="1:17" ht="15" customHeight="1" x14ac:dyDescent="0.2">
      <c r="A558" s="17" t="s">
        <v>304</v>
      </c>
      <c r="B558" s="18" t="s">
        <v>148</v>
      </c>
      <c r="C558" s="18" t="s">
        <v>267</v>
      </c>
      <c r="D558" s="20">
        <v>77</v>
      </c>
      <c r="E558" s="17" t="s">
        <v>530</v>
      </c>
      <c r="F558" s="19" t="s">
        <v>501</v>
      </c>
      <c r="G558" s="19" t="s">
        <v>531</v>
      </c>
      <c r="H558" s="19" t="s">
        <v>532</v>
      </c>
      <c r="I558" s="21">
        <v>332.5</v>
      </c>
      <c r="J558" s="21"/>
      <c r="K558" s="22">
        <v>12628.5</v>
      </c>
      <c r="L558" s="22">
        <v>14400</v>
      </c>
      <c r="M558" s="22">
        <v>14400</v>
      </c>
      <c r="N558" s="23">
        <v>-0.123020833333333</v>
      </c>
      <c r="O558" s="23">
        <v>-0.123020833333333</v>
      </c>
      <c r="P558" s="21">
        <v>4.3181818181818201</v>
      </c>
      <c r="Q558" s="22">
        <v>164.006493506494</v>
      </c>
    </row>
    <row r="559" spans="1:17" ht="15" customHeight="1" x14ac:dyDescent="0.2">
      <c r="A559" s="26" t="s">
        <v>309</v>
      </c>
      <c r="B559" s="27" t="s">
        <v>148</v>
      </c>
      <c r="C559" s="27" t="s">
        <v>267</v>
      </c>
      <c r="D559" s="29">
        <v>270</v>
      </c>
      <c r="E559" s="26" t="s">
        <v>530</v>
      </c>
      <c r="F559" s="28" t="s">
        <v>501</v>
      </c>
      <c r="G559" s="28" t="s">
        <v>531</v>
      </c>
      <c r="H559" s="28" t="s">
        <v>532</v>
      </c>
      <c r="I559" s="30">
        <v>966.5</v>
      </c>
      <c r="J559" s="30">
        <v>6</v>
      </c>
      <c r="K559" s="31">
        <v>47501.5</v>
      </c>
      <c r="L559" s="31">
        <v>40000</v>
      </c>
      <c r="M559" s="31">
        <v>40500</v>
      </c>
      <c r="N559" s="32">
        <v>0.1875375</v>
      </c>
      <c r="O559" s="32">
        <v>0.172876543209877</v>
      </c>
      <c r="P559" s="30">
        <v>3.5796296296296299</v>
      </c>
      <c r="Q559" s="31">
        <v>175.931481481482</v>
      </c>
    </row>
    <row r="560" spans="1:17" ht="15" customHeight="1" x14ac:dyDescent="0.2">
      <c r="A560" s="35" t="s">
        <v>312</v>
      </c>
      <c r="B560" s="36" t="s">
        <v>313</v>
      </c>
      <c r="C560" s="36" t="s">
        <v>267</v>
      </c>
      <c r="D560" s="38">
        <v>170</v>
      </c>
      <c r="E560" s="35" t="s">
        <v>530</v>
      </c>
      <c r="F560" s="37" t="s">
        <v>501</v>
      </c>
      <c r="G560" s="37" t="s">
        <v>531</v>
      </c>
      <c r="H560" s="37" t="s">
        <v>532</v>
      </c>
      <c r="I560" s="39"/>
      <c r="J560" s="39"/>
      <c r="K560" s="40">
        <v>80791</v>
      </c>
      <c r="L560" s="40">
        <v>65600</v>
      </c>
      <c r="M560" s="40">
        <v>65600</v>
      </c>
      <c r="N560" s="41">
        <v>0.23157012195122001</v>
      </c>
      <c r="O560" s="41">
        <v>0.23157012195122001</v>
      </c>
      <c r="P560" s="39"/>
      <c r="Q560" s="40">
        <v>475.24117647058802</v>
      </c>
    </row>
    <row r="561" spans="1:17" ht="15" customHeight="1" x14ac:dyDescent="0.2">
      <c r="A561" s="35" t="s">
        <v>316</v>
      </c>
      <c r="B561" s="36" t="s">
        <v>313</v>
      </c>
      <c r="C561" s="36" t="s">
        <v>267</v>
      </c>
      <c r="D561" s="38">
        <v>234</v>
      </c>
      <c r="E561" s="35" t="s">
        <v>530</v>
      </c>
      <c r="F561" s="37" t="s">
        <v>501</v>
      </c>
      <c r="G561" s="37" t="s">
        <v>531</v>
      </c>
      <c r="H561" s="37" t="s">
        <v>532</v>
      </c>
      <c r="I561" s="39">
        <v>1081.25</v>
      </c>
      <c r="J561" s="39">
        <v>9</v>
      </c>
      <c r="K561" s="40">
        <v>61170.75</v>
      </c>
      <c r="L561" s="40">
        <v>99200</v>
      </c>
      <c r="M561" s="40">
        <v>107100</v>
      </c>
      <c r="N561" s="41">
        <v>-0.383359375</v>
      </c>
      <c r="O561" s="41">
        <v>-0.42884453781512599</v>
      </c>
      <c r="P561" s="39">
        <v>4.6207264957265002</v>
      </c>
      <c r="Q561" s="40">
        <v>261.413461538462</v>
      </c>
    </row>
    <row r="562" spans="1:17" ht="15" customHeight="1" x14ac:dyDescent="0.2">
      <c r="A562" s="35" t="s">
        <v>319</v>
      </c>
      <c r="B562" s="36" t="s">
        <v>313</v>
      </c>
      <c r="C562" s="36" t="s">
        <v>267</v>
      </c>
      <c r="D562" s="38">
        <v>24</v>
      </c>
      <c r="E562" s="35" t="s">
        <v>530</v>
      </c>
      <c r="F562" s="37" t="s">
        <v>501</v>
      </c>
      <c r="G562" s="37" t="s">
        <v>531</v>
      </c>
      <c r="H562" s="37" t="s">
        <v>532</v>
      </c>
      <c r="I562" s="39">
        <v>136.75</v>
      </c>
      <c r="J562" s="39"/>
      <c r="K562" s="40">
        <v>9336</v>
      </c>
      <c r="L562" s="40">
        <v>39600</v>
      </c>
      <c r="M562" s="40">
        <v>42600</v>
      </c>
      <c r="N562" s="41">
        <v>-0.76424242424242395</v>
      </c>
      <c r="O562" s="41">
        <v>-0.78084507042253504</v>
      </c>
      <c r="P562" s="39">
        <v>5.6979166666666696</v>
      </c>
      <c r="Q562" s="40">
        <v>389</v>
      </c>
    </row>
    <row r="563" spans="1:17" ht="15" customHeight="1" x14ac:dyDescent="0.2">
      <c r="A563" s="35" t="s">
        <v>322</v>
      </c>
      <c r="B563" s="36" t="s">
        <v>313</v>
      </c>
      <c r="C563" s="36" t="s">
        <v>267</v>
      </c>
      <c r="D563" s="38">
        <v>219</v>
      </c>
      <c r="E563" s="35" t="s">
        <v>530</v>
      </c>
      <c r="F563" s="37" t="s">
        <v>501</v>
      </c>
      <c r="G563" s="37" t="s">
        <v>531</v>
      </c>
      <c r="H563" s="37" t="s">
        <v>532</v>
      </c>
      <c r="I563" s="39">
        <v>3</v>
      </c>
      <c r="J563" s="39"/>
      <c r="K563" s="40">
        <v>204</v>
      </c>
      <c r="L563" s="40"/>
      <c r="M563" s="40"/>
      <c r="N563" s="41"/>
      <c r="O563" s="41"/>
      <c r="P563" s="39">
        <v>1.3698630136986301E-2</v>
      </c>
      <c r="Q563" s="40">
        <v>0.931506849315068</v>
      </c>
    </row>
    <row r="564" spans="1:17" ht="15" customHeight="1" x14ac:dyDescent="0.2">
      <c r="A564" s="35" t="s">
        <v>327</v>
      </c>
      <c r="B564" s="36" t="s">
        <v>313</v>
      </c>
      <c r="C564" s="36" t="s">
        <v>267</v>
      </c>
      <c r="D564" s="38">
        <v>244</v>
      </c>
      <c r="E564" s="35" t="s">
        <v>530</v>
      </c>
      <c r="F564" s="37" t="s">
        <v>501</v>
      </c>
      <c r="G564" s="37" t="s">
        <v>531</v>
      </c>
      <c r="H564" s="37" t="s">
        <v>532</v>
      </c>
      <c r="I564" s="39">
        <v>642.25</v>
      </c>
      <c r="J564" s="39"/>
      <c r="K564" s="40">
        <v>28970</v>
      </c>
      <c r="L564" s="40">
        <v>122400</v>
      </c>
      <c r="M564" s="40">
        <v>122250</v>
      </c>
      <c r="N564" s="41">
        <v>-0.76331699346405202</v>
      </c>
      <c r="O564" s="41">
        <v>-0.76302658486707597</v>
      </c>
      <c r="P564" s="39">
        <v>2.6321721311475401</v>
      </c>
      <c r="Q564" s="40">
        <v>118.729508196721</v>
      </c>
    </row>
    <row r="565" spans="1:17" ht="15" customHeight="1" x14ac:dyDescent="0.2">
      <c r="A565" s="35" t="s">
        <v>334</v>
      </c>
      <c r="B565" s="36" t="s">
        <v>313</v>
      </c>
      <c r="C565" s="36" t="s">
        <v>330</v>
      </c>
      <c r="D565" s="38">
        <v>20</v>
      </c>
      <c r="E565" s="35" t="s">
        <v>530</v>
      </c>
      <c r="F565" s="37" t="s">
        <v>501</v>
      </c>
      <c r="G565" s="37" t="s">
        <v>531</v>
      </c>
      <c r="H565" s="37" t="s">
        <v>532</v>
      </c>
      <c r="I565" s="39">
        <v>12.75</v>
      </c>
      <c r="J565" s="39"/>
      <c r="K565" s="40">
        <v>535.5</v>
      </c>
      <c r="L565" s="40">
        <v>49500</v>
      </c>
      <c r="M565" s="40">
        <v>50650</v>
      </c>
      <c r="N565" s="41">
        <v>-0.98918181818181805</v>
      </c>
      <c r="O565" s="41">
        <v>-0.98942744323790699</v>
      </c>
      <c r="P565" s="39">
        <v>0.63749999999999996</v>
      </c>
      <c r="Q565" s="40">
        <v>26.774999999999999</v>
      </c>
    </row>
    <row r="566" spans="1:17" ht="15" customHeight="1" x14ac:dyDescent="0.2">
      <c r="A566" s="17" t="s">
        <v>179</v>
      </c>
      <c r="B566" s="18" t="s">
        <v>148</v>
      </c>
      <c r="C566" s="18" t="s">
        <v>180</v>
      </c>
      <c r="D566" s="20">
        <v>209</v>
      </c>
      <c r="E566" s="17" t="s">
        <v>533</v>
      </c>
      <c r="F566" s="19" t="s">
        <v>501</v>
      </c>
      <c r="G566" s="19" t="s">
        <v>534</v>
      </c>
      <c r="H566" s="19" t="s">
        <v>535</v>
      </c>
      <c r="I566" s="21">
        <v>7</v>
      </c>
      <c r="J566" s="21"/>
      <c r="K566" s="22">
        <v>175</v>
      </c>
      <c r="L566" s="22"/>
      <c r="M566" s="22"/>
      <c r="N566" s="23"/>
      <c r="O566" s="23"/>
      <c r="P566" s="21">
        <v>3.3492822966507199E-2</v>
      </c>
      <c r="Q566" s="22">
        <v>0.83732057416268002</v>
      </c>
    </row>
    <row r="567" spans="1:17" ht="15" customHeight="1" x14ac:dyDescent="0.2">
      <c r="A567" s="26" t="s">
        <v>185</v>
      </c>
      <c r="B567" s="27" t="s">
        <v>148</v>
      </c>
      <c r="C567" s="27" t="s">
        <v>180</v>
      </c>
      <c r="D567" s="29">
        <v>117</v>
      </c>
      <c r="E567" s="26" t="s">
        <v>533</v>
      </c>
      <c r="F567" s="28" t="s">
        <v>501</v>
      </c>
      <c r="G567" s="28" t="s">
        <v>534</v>
      </c>
      <c r="H567" s="28" t="s">
        <v>535</v>
      </c>
      <c r="I567" s="30">
        <v>854.5</v>
      </c>
      <c r="J567" s="30"/>
      <c r="K567" s="31">
        <v>20595.5</v>
      </c>
      <c r="L567" s="31"/>
      <c r="M567" s="31">
        <v>46</v>
      </c>
      <c r="N567" s="32"/>
      <c r="O567" s="32">
        <v>446.72826086956502</v>
      </c>
      <c r="P567" s="30">
        <v>7.3034188034187997</v>
      </c>
      <c r="Q567" s="31">
        <v>176.029914529915</v>
      </c>
    </row>
    <row r="568" spans="1:17" ht="15" customHeight="1" x14ac:dyDescent="0.2">
      <c r="A568" s="17" t="s">
        <v>205</v>
      </c>
      <c r="B568" s="18" t="s">
        <v>148</v>
      </c>
      <c r="C568" s="18" t="s">
        <v>180</v>
      </c>
      <c r="D568" s="20">
        <v>296</v>
      </c>
      <c r="E568" s="17" t="s">
        <v>533</v>
      </c>
      <c r="F568" s="19" t="s">
        <v>501</v>
      </c>
      <c r="G568" s="19" t="s">
        <v>534</v>
      </c>
      <c r="H568" s="19" t="s">
        <v>535</v>
      </c>
      <c r="I568" s="21">
        <v>37</v>
      </c>
      <c r="J568" s="21"/>
      <c r="K568" s="22">
        <v>905</v>
      </c>
      <c r="L568" s="22"/>
      <c r="M568" s="22"/>
      <c r="N568" s="23"/>
      <c r="O568" s="23"/>
      <c r="P568" s="21">
        <v>0.125</v>
      </c>
      <c r="Q568" s="22">
        <v>3.0574324324324298</v>
      </c>
    </row>
    <row r="569" spans="1:17" ht="15" customHeight="1" x14ac:dyDescent="0.2">
      <c r="A569" s="26" t="s">
        <v>219</v>
      </c>
      <c r="B569" s="27" t="s">
        <v>148</v>
      </c>
      <c r="C569" s="27" t="s">
        <v>180</v>
      </c>
      <c r="D569" s="29">
        <v>398</v>
      </c>
      <c r="E569" s="26" t="s">
        <v>533</v>
      </c>
      <c r="F569" s="28" t="s">
        <v>501</v>
      </c>
      <c r="G569" s="28" t="s">
        <v>534</v>
      </c>
      <c r="H569" s="28" t="s">
        <v>535</v>
      </c>
      <c r="I569" s="30">
        <v>37</v>
      </c>
      <c r="J569" s="30"/>
      <c r="K569" s="31">
        <v>1419</v>
      </c>
      <c r="L569" s="31"/>
      <c r="M569" s="31"/>
      <c r="N569" s="32"/>
      <c r="O569" s="32"/>
      <c r="P569" s="30">
        <v>9.2964824120603001E-2</v>
      </c>
      <c r="Q569" s="31">
        <v>3.5653266331658302</v>
      </c>
    </row>
    <row r="570" spans="1:17" ht="15" customHeight="1" x14ac:dyDescent="0.2">
      <c r="A570" s="17" t="s">
        <v>230</v>
      </c>
      <c r="B570" s="18" t="s">
        <v>148</v>
      </c>
      <c r="C570" s="18" t="s">
        <v>180</v>
      </c>
      <c r="D570" s="20">
        <v>139</v>
      </c>
      <c r="E570" s="17" t="s">
        <v>533</v>
      </c>
      <c r="F570" s="19" t="s">
        <v>501</v>
      </c>
      <c r="G570" s="19" t="s">
        <v>534</v>
      </c>
      <c r="H570" s="19" t="s">
        <v>535</v>
      </c>
      <c r="I570" s="21">
        <v>1117</v>
      </c>
      <c r="J570" s="21">
        <v>1</v>
      </c>
      <c r="K570" s="22">
        <v>29278.5</v>
      </c>
      <c r="L570" s="22"/>
      <c r="M570" s="22">
        <v>2808</v>
      </c>
      <c r="N570" s="23"/>
      <c r="O570" s="23">
        <v>9.4268162393162402</v>
      </c>
      <c r="P570" s="21">
        <v>8.0359712230215798</v>
      </c>
      <c r="Q570" s="22">
        <v>210.636690647482</v>
      </c>
    </row>
    <row r="571" spans="1:17" ht="15" customHeight="1" x14ac:dyDescent="0.2">
      <c r="A571" s="26" t="s">
        <v>236</v>
      </c>
      <c r="B571" s="27" t="s">
        <v>148</v>
      </c>
      <c r="C571" s="27" t="s">
        <v>180</v>
      </c>
      <c r="D571" s="29">
        <v>128</v>
      </c>
      <c r="E571" s="26" t="s">
        <v>533</v>
      </c>
      <c r="F571" s="28" t="s">
        <v>501</v>
      </c>
      <c r="G571" s="28" t="s">
        <v>534</v>
      </c>
      <c r="H571" s="28" t="s">
        <v>535</v>
      </c>
      <c r="I571" s="30">
        <v>1037.5</v>
      </c>
      <c r="J571" s="30"/>
      <c r="K571" s="31">
        <v>23734</v>
      </c>
      <c r="L571" s="31"/>
      <c r="M571" s="31">
        <v>2900</v>
      </c>
      <c r="N571" s="32"/>
      <c r="O571" s="32">
        <v>7.1841379310344804</v>
      </c>
      <c r="P571" s="30">
        <v>8.10546875</v>
      </c>
      <c r="Q571" s="31">
        <v>185.421875</v>
      </c>
    </row>
    <row r="572" spans="1:17" ht="15" customHeight="1" x14ac:dyDescent="0.2">
      <c r="A572" s="17" t="s">
        <v>249</v>
      </c>
      <c r="B572" s="18" t="s">
        <v>148</v>
      </c>
      <c r="C572" s="18" t="s">
        <v>180</v>
      </c>
      <c r="D572" s="20">
        <v>122</v>
      </c>
      <c r="E572" s="17" t="s">
        <v>533</v>
      </c>
      <c r="F572" s="19" t="s">
        <v>501</v>
      </c>
      <c r="G572" s="19" t="s">
        <v>534</v>
      </c>
      <c r="H572" s="19" t="s">
        <v>535</v>
      </c>
      <c r="I572" s="21">
        <v>24</v>
      </c>
      <c r="J572" s="21"/>
      <c r="K572" s="22">
        <v>432</v>
      </c>
      <c r="L572" s="22"/>
      <c r="M572" s="22"/>
      <c r="N572" s="23"/>
      <c r="O572" s="23"/>
      <c r="P572" s="21">
        <v>0.19672131147541</v>
      </c>
      <c r="Q572" s="22">
        <v>3.5409836065573801</v>
      </c>
    </row>
    <row r="573" spans="1:17" ht="15" customHeight="1" x14ac:dyDescent="0.2">
      <c r="A573" s="26" t="s">
        <v>266</v>
      </c>
      <c r="B573" s="27" t="s">
        <v>148</v>
      </c>
      <c r="C573" s="27" t="s">
        <v>267</v>
      </c>
      <c r="D573" s="29">
        <v>108</v>
      </c>
      <c r="E573" s="26" t="s">
        <v>533</v>
      </c>
      <c r="F573" s="28" t="s">
        <v>501</v>
      </c>
      <c r="G573" s="28" t="s">
        <v>534</v>
      </c>
      <c r="H573" s="28" t="s">
        <v>535</v>
      </c>
      <c r="I573" s="30">
        <v>69</v>
      </c>
      <c r="J573" s="30"/>
      <c r="K573" s="31">
        <v>2447</v>
      </c>
      <c r="L573" s="31"/>
      <c r="M573" s="31"/>
      <c r="N573" s="32"/>
      <c r="O573" s="32"/>
      <c r="P573" s="30">
        <v>0.63888888888888895</v>
      </c>
      <c r="Q573" s="31">
        <v>22.657407407407401</v>
      </c>
    </row>
    <row r="574" spans="1:17" ht="15" customHeight="1" x14ac:dyDescent="0.2">
      <c r="A574" s="17" t="s">
        <v>272</v>
      </c>
      <c r="B574" s="18" t="s">
        <v>148</v>
      </c>
      <c r="C574" s="18" t="s">
        <v>267</v>
      </c>
      <c r="D574" s="20">
        <v>89</v>
      </c>
      <c r="E574" s="17" t="s">
        <v>533</v>
      </c>
      <c r="F574" s="19" t="s">
        <v>501</v>
      </c>
      <c r="G574" s="19" t="s">
        <v>534</v>
      </c>
      <c r="H574" s="19" t="s">
        <v>535</v>
      </c>
      <c r="I574" s="21">
        <v>489</v>
      </c>
      <c r="J574" s="21">
        <v>14</v>
      </c>
      <c r="K574" s="22">
        <v>13291</v>
      </c>
      <c r="L574" s="22"/>
      <c r="M574" s="22"/>
      <c r="N574" s="23"/>
      <c r="O574" s="23"/>
      <c r="P574" s="21">
        <v>5.4943820224719104</v>
      </c>
      <c r="Q574" s="22">
        <v>149.337078651685</v>
      </c>
    </row>
    <row r="575" spans="1:17" ht="15" customHeight="1" x14ac:dyDescent="0.2">
      <c r="A575" s="26" t="s">
        <v>280</v>
      </c>
      <c r="B575" s="27" t="s">
        <v>148</v>
      </c>
      <c r="C575" s="27" t="s">
        <v>267</v>
      </c>
      <c r="D575" s="29">
        <v>110</v>
      </c>
      <c r="E575" s="26" t="s">
        <v>533</v>
      </c>
      <c r="F575" s="28" t="s">
        <v>501</v>
      </c>
      <c r="G575" s="28" t="s">
        <v>534</v>
      </c>
      <c r="H575" s="28" t="s">
        <v>535</v>
      </c>
      <c r="I575" s="30">
        <v>20.5</v>
      </c>
      <c r="J575" s="30"/>
      <c r="K575" s="31">
        <v>722.5</v>
      </c>
      <c r="L575" s="31"/>
      <c r="M575" s="31"/>
      <c r="N575" s="32"/>
      <c r="O575" s="32"/>
      <c r="P575" s="30">
        <v>0.18636363636363601</v>
      </c>
      <c r="Q575" s="31">
        <v>6.5681818181818201</v>
      </c>
    </row>
    <row r="576" spans="1:17" ht="15" customHeight="1" x14ac:dyDescent="0.2">
      <c r="A576" s="17" t="s">
        <v>282</v>
      </c>
      <c r="B576" s="18" t="s">
        <v>148</v>
      </c>
      <c r="C576" s="18" t="s">
        <v>267</v>
      </c>
      <c r="D576" s="20">
        <v>70</v>
      </c>
      <c r="E576" s="17" t="s">
        <v>533</v>
      </c>
      <c r="F576" s="19" t="s">
        <v>501</v>
      </c>
      <c r="G576" s="19" t="s">
        <v>534</v>
      </c>
      <c r="H576" s="19" t="s">
        <v>535</v>
      </c>
      <c r="I576" s="21"/>
      <c r="J576" s="21"/>
      <c r="K576" s="22"/>
      <c r="L576" s="22"/>
      <c r="M576" s="22"/>
      <c r="N576" s="23"/>
      <c r="O576" s="23"/>
      <c r="P576" s="21"/>
      <c r="Q576" s="22"/>
    </row>
    <row r="577" spans="1:17" ht="15" customHeight="1" x14ac:dyDescent="0.2">
      <c r="A577" s="26" t="s">
        <v>285</v>
      </c>
      <c r="B577" s="27" t="s">
        <v>148</v>
      </c>
      <c r="C577" s="27" t="s">
        <v>267</v>
      </c>
      <c r="D577" s="29">
        <v>296</v>
      </c>
      <c r="E577" s="26" t="s">
        <v>533</v>
      </c>
      <c r="F577" s="28" t="s">
        <v>501</v>
      </c>
      <c r="G577" s="28" t="s">
        <v>534</v>
      </c>
      <c r="H577" s="28" t="s">
        <v>535</v>
      </c>
      <c r="I577" s="30">
        <v>16</v>
      </c>
      <c r="J577" s="30">
        <v>4</v>
      </c>
      <c r="K577" s="31">
        <v>530</v>
      </c>
      <c r="L577" s="31"/>
      <c r="M577" s="31"/>
      <c r="N577" s="32"/>
      <c r="O577" s="32"/>
      <c r="P577" s="30">
        <v>5.4054054054054099E-2</v>
      </c>
      <c r="Q577" s="31">
        <v>1.7905405405405399</v>
      </c>
    </row>
    <row r="578" spans="1:17" ht="15" customHeight="1" x14ac:dyDescent="0.2">
      <c r="A578" s="17" t="s">
        <v>287</v>
      </c>
      <c r="B578" s="18" t="s">
        <v>148</v>
      </c>
      <c r="C578" s="18" t="s">
        <v>267</v>
      </c>
      <c r="D578" s="20">
        <v>163</v>
      </c>
      <c r="E578" s="17" t="s">
        <v>533</v>
      </c>
      <c r="F578" s="19" t="s">
        <v>501</v>
      </c>
      <c r="G578" s="19" t="s">
        <v>534</v>
      </c>
      <c r="H578" s="19" t="s">
        <v>535</v>
      </c>
      <c r="I578" s="21">
        <v>16</v>
      </c>
      <c r="J578" s="21"/>
      <c r="K578" s="22">
        <v>416</v>
      </c>
      <c r="L578" s="22"/>
      <c r="M578" s="22"/>
      <c r="N578" s="23"/>
      <c r="O578" s="23"/>
      <c r="P578" s="21">
        <v>9.8159509202454004E-2</v>
      </c>
      <c r="Q578" s="22">
        <v>2.5521472392638</v>
      </c>
    </row>
    <row r="579" spans="1:17" ht="15" customHeight="1" x14ac:dyDescent="0.2">
      <c r="A579" s="26" t="s">
        <v>292</v>
      </c>
      <c r="B579" s="27" t="s">
        <v>148</v>
      </c>
      <c r="C579" s="27" t="s">
        <v>267</v>
      </c>
      <c r="D579" s="29">
        <v>136</v>
      </c>
      <c r="E579" s="26" t="s">
        <v>533</v>
      </c>
      <c r="F579" s="28" t="s">
        <v>501</v>
      </c>
      <c r="G579" s="28" t="s">
        <v>534</v>
      </c>
      <c r="H579" s="28" t="s">
        <v>535</v>
      </c>
      <c r="I579" s="30">
        <v>3</v>
      </c>
      <c r="J579" s="30"/>
      <c r="K579" s="31">
        <v>106</v>
      </c>
      <c r="L579" s="31"/>
      <c r="M579" s="31"/>
      <c r="N579" s="32"/>
      <c r="O579" s="32"/>
      <c r="P579" s="30">
        <v>2.2058823529411801E-2</v>
      </c>
      <c r="Q579" s="31">
        <v>0.77941176470588203</v>
      </c>
    </row>
    <row r="580" spans="1:17" ht="15" customHeight="1" x14ac:dyDescent="0.2">
      <c r="A580" s="17" t="s">
        <v>306</v>
      </c>
      <c r="B580" s="18" t="s">
        <v>148</v>
      </c>
      <c r="C580" s="18" t="s">
        <v>267</v>
      </c>
      <c r="D580" s="20">
        <v>365</v>
      </c>
      <c r="E580" s="17" t="s">
        <v>533</v>
      </c>
      <c r="F580" s="19" t="s">
        <v>501</v>
      </c>
      <c r="G580" s="19" t="s">
        <v>534</v>
      </c>
      <c r="H580" s="19" t="s">
        <v>535</v>
      </c>
      <c r="I580" s="21">
        <v>11</v>
      </c>
      <c r="J580" s="21"/>
      <c r="K580" s="22">
        <v>284</v>
      </c>
      <c r="L580" s="22"/>
      <c r="M580" s="22"/>
      <c r="N580" s="23"/>
      <c r="O580" s="23"/>
      <c r="P580" s="21">
        <v>3.0136986301369899E-2</v>
      </c>
      <c r="Q580" s="22">
        <v>0.77808219178082205</v>
      </c>
    </row>
    <row r="581" spans="1:17" ht="15" customHeight="1" x14ac:dyDescent="0.2">
      <c r="A581" s="35" t="s">
        <v>312</v>
      </c>
      <c r="B581" s="36" t="s">
        <v>313</v>
      </c>
      <c r="C581" s="36" t="s">
        <v>267</v>
      </c>
      <c r="D581" s="38">
        <v>170</v>
      </c>
      <c r="E581" s="35" t="s">
        <v>533</v>
      </c>
      <c r="F581" s="37" t="s">
        <v>501</v>
      </c>
      <c r="G581" s="37" t="s">
        <v>534</v>
      </c>
      <c r="H581" s="37" t="s">
        <v>535</v>
      </c>
      <c r="I581" s="39"/>
      <c r="J581" s="39"/>
      <c r="K581" s="40"/>
      <c r="L581" s="40"/>
      <c r="M581" s="40"/>
      <c r="N581" s="41"/>
      <c r="O581" s="41"/>
      <c r="P581" s="39"/>
      <c r="Q581" s="40"/>
    </row>
    <row r="582" spans="1:17" ht="15" customHeight="1" x14ac:dyDescent="0.2">
      <c r="A582" s="17" t="s">
        <v>147</v>
      </c>
      <c r="B582" s="18" t="s">
        <v>148</v>
      </c>
      <c r="C582" s="18" t="s">
        <v>149</v>
      </c>
      <c r="D582" s="20">
        <v>234</v>
      </c>
      <c r="E582" s="17" t="s">
        <v>536</v>
      </c>
      <c r="F582" s="19" t="s">
        <v>501</v>
      </c>
      <c r="G582" s="19" t="s">
        <v>522</v>
      </c>
      <c r="H582" s="19" t="s">
        <v>537</v>
      </c>
      <c r="I582" s="21"/>
      <c r="J582" s="21"/>
      <c r="K582" s="22">
        <v>16.5</v>
      </c>
      <c r="L582" s="22"/>
      <c r="M582" s="22"/>
      <c r="N582" s="23"/>
      <c r="O582" s="23"/>
      <c r="P582" s="21"/>
      <c r="Q582" s="22">
        <v>7.0512820512820498E-2</v>
      </c>
    </row>
    <row r="583" spans="1:17" ht="15" customHeight="1" x14ac:dyDescent="0.2">
      <c r="A583" s="26" t="s">
        <v>152</v>
      </c>
      <c r="B583" s="27" t="s">
        <v>148</v>
      </c>
      <c r="C583" s="27" t="s">
        <v>149</v>
      </c>
      <c r="D583" s="29">
        <v>258</v>
      </c>
      <c r="E583" s="26" t="s">
        <v>536</v>
      </c>
      <c r="F583" s="28" t="s">
        <v>501</v>
      </c>
      <c r="G583" s="28" t="s">
        <v>522</v>
      </c>
      <c r="H583" s="28" t="s">
        <v>537</v>
      </c>
      <c r="I583" s="30"/>
      <c r="J583" s="30"/>
      <c r="K583" s="31">
        <v>101.5</v>
      </c>
      <c r="L583" s="31"/>
      <c r="M583" s="31"/>
      <c r="N583" s="32"/>
      <c r="O583" s="32"/>
      <c r="P583" s="30"/>
      <c r="Q583" s="31">
        <v>0.39341085271317799</v>
      </c>
    </row>
    <row r="584" spans="1:17" ht="15" customHeight="1" x14ac:dyDescent="0.2">
      <c r="A584" s="17" t="s">
        <v>154</v>
      </c>
      <c r="B584" s="18" t="s">
        <v>148</v>
      </c>
      <c r="C584" s="18" t="s">
        <v>149</v>
      </c>
      <c r="D584" s="20">
        <v>56</v>
      </c>
      <c r="E584" s="17" t="s">
        <v>536</v>
      </c>
      <c r="F584" s="19" t="s">
        <v>501</v>
      </c>
      <c r="G584" s="19" t="s">
        <v>522</v>
      </c>
      <c r="H584" s="19" t="s">
        <v>537</v>
      </c>
      <c r="I584" s="21"/>
      <c r="J584" s="21"/>
      <c r="K584" s="22">
        <v>138.5</v>
      </c>
      <c r="L584" s="22"/>
      <c r="M584" s="22"/>
      <c r="N584" s="23"/>
      <c r="O584" s="23"/>
      <c r="P584" s="21"/>
      <c r="Q584" s="22">
        <v>2.47321428571429</v>
      </c>
    </row>
    <row r="585" spans="1:17" ht="15" customHeight="1" x14ac:dyDescent="0.2">
      <c r="A585" s="26" t="s">
        <v>157</v>
      </c>
      <c r="B585" s="27" t="s">
        <v>148</v>
      </c>
      <c r="C585" s="27" t="s">
        <v>149</v>
      </c>
      <c r="D585" s="29">
        <v>149</v>
      </c>
      <c r="E585" s="26" t="s">
        <v>536</v>
      </c>
      <c r="F585" s="28" t="s">
        <v>501</v>
      </c>
      <c r="G585" s="28" t="s">
        <v>522</v>
      </c>
      <c r="H585" s="28" t="s">
        <v>537</v>
      </c>
      <c r="I585" s="30"/>
      <c r="J585" s="30"/>
      <c r="K585" s="31">
        <v>373</v>
      </c>
      <c r="L585" s="31"/>
      <c r="M585" s="31"/>
      <c r="N585" s="32"/>
      <c r="O585" s="32"/>
      <c r="P585" s="30"/>
      <c r="Q585" s="31">
        <v>2.5033557046979902</v>
      </c>
    </row>
    <row r="586" spans="1:17" ht="15" customHeight="1" x14ac:dyDescent="0.2">
      <c r="A586" s="17" t="s">
        <v>159</v>
      </c>
      <c r="B586" s="18" t="s">
        <v>148</v>
      </c>
      <c r="C586" s="18" t="s">
        <v>149</v>
      </c>
      <c r="D586" s="20">
        <v>117</v>
      </c>
      <c r="E586" s="17" t="s">
        <v>536</v>
      </c>
      <c r="F586" s="19" t="s">
        <v>501</v>
      </c>
      <c r="G586" s="19" t="s">
        <v>522</v>
      </c>
      <c r="H586" s="19" t="s">
        <v>537</v>
      </c>
      <c r="I586" s="21"/>
      <c r="J586" s="21"/>
      <c r="K586" s="22">
        <v>9024</v>
      </c>
      <c r="L586" s="22">
        <v>9360</v>
      </c>
      <c r="M586" s="22">
        <v>9360</v>
      </c>
      <c r="N586" s="23">
        <v>-3.5897435897435902E-2</v>
      </c>
      <c r="O586" s="23">
        <v>-3.5897435897435902E-2</v>
      </c>
      <c r="P586" s="21"/>
      <c r="Q586" s="22">
        <v>77.128205128205096</v>
      </c>
    </row>
    <row r="587" spans="1:17" ht="15" customHeight="1" x14ac:dyDescent="0.2">
      <c r="A587" s="26" t="s">
        <v>161</v>
      </c>
      <c r="B587" s="27" t="s">
        <v>148</v>
      </c>
      <c r="C587" s="27" t="s">
        <v>149</v>
      </c>
      <c r="D587" s="29">
        <v>162</v>
      </c>
      <c r="E587" s="26" t="s">
        <v>536</v>
      </c>
      <c r="F587" s="28" t="s">
        <v>501</v>
      </c>
      <c r="G587" s="28" t="s">
        <v>522</v>
      </c>
      <c r="H587" s="28" t="s">
        <v>537</v>
      </c>
      <c r="I587" s="30">
        <v>338</v>
      </c>
      <c r="J587" s="30"/>
      <c r="K587" s="31">
        <v>6781</v>
      </c>
      <c r="L587" s="31">
        <v>19800</v>
      </c>
      <c r="M587" s="31">
        <v>19800</v>
      </c>
      <c r="N587" s="32">
        <v>-0.65752525252525296</v>
      </c>
      <c r="O587" s="32">
        <v>-0.65752525252525296</v>
      </c>
      <c r="P587" s="30">
        <v>2.0864197530864201</v>
      </c>
      <c r="Q587" s="31">
        <v>41.858024691357997</v>
      </c>
    </row>
    <row r="588" spans="1:17" ht="15" customHeight="1" x14ac:dyDescent="0.2">
      <c r="A588" s="17" t="s">
        <v>169</v>
      </c>
      <c r="B588" s="18" t="s">
        <v>148</v>
      </c>
      <c r="C588" s="18" t="s">
        <v>149</v>
      </c>
      <c r="D588" s="20">
        <v>211</v>
      </c>
      <c r="E588" s="17" t="s">
        <v>536</v>
      </c>
      <c r="F588" s="19" t="s">
        <v>501</v>
      </c>
      <c r="G588" s="19" t="s">
        <v>522</v>
      </c>
      <c r="H588" s="19" t="s">
        <v>537</v>
      </c>
      <c r="I588" s="21"/>
      <c r="J588" s="21"/>
      <c r="K588" s="22">
        <v>805</v>
      </c>
      <c r="L588" s="22">
        <v>20485</v>
      </c>
      <c r="M588" s="22">
        <v>20485</v>
      </c>
      <c r="N588" s="23">
        <v>-0.96070295338052203</v>
      </c>
      <c r="O588" s="23">
        <v>-0.96070295338052203</v>
      </c>
      <c r="P588" s="21"/>
      <c r="Q588" s="22">
        <v>3.8151658767772498</v>
      </c>
    </row>
    <row r="589" spans="1:17" ht="15" customHeight="1" x14ac:dyDescent="0.2">
      <c r="A589" s="26" t="s">
        <v>179</v>
      </c>
      <c r="B589" s="27" t="s">
        <v>148</v>
      </c>
      <c r="C589" s="27" t="s">
        <v>180</v>
      </c>
      <c r="D589" s="29">
        <v>209</v>
      </c>
      <c r="E589" s="26" t="s">
        <v>538</v>
      </c>
      <c r="F589" s="28" t="s">
        <v>501</v>
      </c>
      <c r="G589" s="28" t="s">
        <v>539</v>
      </c>
      <c r="H589" s="28" t="s">
        <v>540</v>
      </c>
      <c r="I589" s="30">
        <v>3</v>
      </c>
      <c r="J589" s="30"/>
      <c r="K589" s="31">
        <v>111</v>
      </c>
      <c r="L589" s="31"/>
      <c r="M589" s="31">
        <v>96</v>
      </c>
      <c r="N589" s="32"/>
      <c r="O589" s="32">
        <v>0.15625</v>
      </c>
      <c r="P589" s="30">
        <v>1.43540669856459E-2</v>
      </c>
      <c r="Q589" s="31">
        <v>0.53110047846889996</v>
      </c>
    </row>
    <row r="590" spans="1:17" ht="15" customHeight="1" x14ac:dyDescent="0.2">
      <c r="A590" s="17" t="s">
        <v>185</v>
      </c>
      <c r="B590" s="18" t="s">
        <v>148</v>
      </c>
      <c r="C590" s="18" t="s">
        <v>180</v>
      </c>
      <c r="D590" s="20">
        <v>117</v>
      </c>
      <c r="E590" s="17" t="s">
        <v>538</v>
      </c>
      <c r="F590" s="19" t="s">
        <v>501</v>
      </c>
      <c r="G590" s="19" t="s">
        <v>539</v>
      </c>
      <c r="H590" s="19" t="s">
        <v>540</v>
      </c>
      <c r="I590" s="21">
        <v>9</v>
      </c>
      <c r="J590" s="21"/>
      <c r="K590" s="22">
        <v>343</v>
      </c>
      <c r="L590" s="22"/>
      <c r="M590" s="22"/>
      <c r="N590" s="23"/>
      <c r="O590" s="23"/>
      <c r="P590" s="21">
        <v>7.69230769230769E-2</v>
      </c>
      <c r="Q590" s="22">
        <v>2.9316239316239301</v>
      </c>
    </row>
    <row r="591" spans="1:17" ht="15" customHeight="1" x14ac:dyDescent="0.2">
      <c r="A591" s="26" t="s">
        <v>190</v>
      </c>
      <c r="B591" s="27" t="s">
        <v>148</v>
      </c>
      <c r="C591" s="27" t="s">
        <v>180</v>
      </c>
      <c r="D591" s="29">
        <v>75</v>
      </c>
      <c r="E591" s="26" t="s">
        <v>538</v>
      </c>
      <c r="F591" s="28" t="s">
        <v>501</v>
      </c>
      <c r="G591" s="28" t="s">
        <v>539</v>
      </c>
      <c r="H591" s="28" t="s">
        <v>540</v>
      </c>
      <c r="I591" s="30">
        <v>2</v>
      </c>
      <c r="J591" s="30"/>
      <c r="K591" s="31">
        <v>80</v>
      </c>
      <c r="L591" s="31"/>
      <c r="M591" s="31"/>
      <c r="N591" s="32"/>
      <c r="O591" s="32"/>
      <c r="P591" s="30">
        <v>2.66666666666667E-2</v>
      </c>
      <c r="Q591" s="31">
        <v>1.06666666666667</v>
      </c>
    </row>
    <row r="592" spans="1:17" ht="15" customHeight="1" x14ac:dyDescent="0.2">
      <c r="A592" s="17" t="s">
        <v>195</v>
      </c>
      <c r="B592" s="18" t="s">
        <v>148</v>
      </c>
      <c r="C592" s="18" t="s">
        <v>180</v>
      </c>
      <c r="D592" s="20">
        <v>49</v>
      </c>
      <c r="E592" s="17" t="s">
        <v>538</v>
      </c>
      <c r="F592" s="19" t="s">
        <v>501</v>
      </c>
      <c r="G592" s="19" t="s">
        <v>539</v>
      </c>
      <c r="H592" s="19" t="s">
        <v>540</v>
      </c>
      <c r="I592" s="21">
        <v>3</v>
      </c>
      <c r="J592" s="21"/>
      <c r="K592" s="22">
        <v>126</v>
      </c>
      <c r="L592" s="22"/>
      <c r="M592" s="22"/>
      <c r="N592" s="23"/>
      <c r="O592" s="23"/>
      <c r="P592" s="21">
        <v>6.1224489795918401E-2</v>
      </c>
      <c r="Q592" s="22">
        <v>2.5714285714285698</v>
      </c>
    </row>
    <row r="593" spans="1:17" ht="15" customHeight="1" x14ac:dyDescent="0.2">
      <c r="A593" s="26" t="s">
        <v>205</v>
      </c>
      <c r="B593" s="27" t="s">
        <v>148</v>
      </c>
      <c r="C593" s="27" t="s">
        <v>180</v>
      </c>
      <c r="D593" s="29">
        <v>296</v>
      </c>
      <c r="E593" s="26" t="s">
        <v>538</v>
      </c>
      <c r="F593" s="28" t="s">
        <v>501</v>
      </c>
      <c r="G593" s="28" t="s">
        <v>539</v>
      </c>
      <c r="H593" s="28" t="s">
        <v>540</v>
      </c>
      <c r="I593" s="30">
        <v>6.5</v>
      </c>
      <c r="J593" s="30"/>
      <c r="K593" s="31">
        <v>240.5</v>
      </c>
      <c r="L593" s="31"/>
      <c r="M593" s="31"/>
      <c r="N593" s="32"/>
      <c r="O593" s="32"/>
      <c r="P593" s="30">
        <v>2.1959459459459499E-2</v>
      </c>
      <c r="Q593" s="31">
        <v>0.8125</v>
      </c>
    </row>
    <row r="594" spans="1:17" ht="15" customHeight="1" x14ac:dyDescent="0.2">
      <c r="A594" s="17" t="s">
        <v>210</v>
      </c>
      <c r="B594" s="18" t="s">
        <v>148</v>
      </c>
      <c r="C594" s="18" t="s">
        <v>180</v>
      </c>
      <c r="D594" s="20">
        <v>83</v>
      </c>
      <c r="E594" s="17" t="s">
        <v>538</v>
      </c>
      <c r="F594" s="19" t="s">
        <v>501</v>
      </c>
      <c r="G594" s="19" t="s">
        <v>539</v>
      </c>
      <c r="H594" s="19" t="s">
        <v>540</v>
      </c>
      <c r="I594" s="21">
        <v>8</v>
      </c>
      <c r="J594" s="21"/>
      <c r="K594" s="22">
        <v>320</v>
      </c>
      <c r="L594" s="22"/>
      <c r="M594" s="22"/>
      <c r="N594" s="23"/>
      <c r="O594" s="23"/>
      <c r="P594" s="21">
        <v>9.6385542168674704E-2</v>
      </c>
      <c r="Q594" s="22">
        <v>3.8554216867469902</v>
      </c>
    </row>
    <row r="595" spans="1:17" ht="15" customHeight="1" x14ac:dyDescent="0.2">
      <c r="A595" s="26" t="s">
        <v>249</v>
      </c>
      <c r="B595" s="27" t="s">
        <v>148</v>
      </c>
      <c r="C595" s="27" t="s">
        <v>180</v>
      </c>
      <c r="D595" s="29">
        <v>122</v>
      </c>
      <c r="E595" s="26" t="s">
        <v>538</v>
      </c>
      <c r="F595" s="28" t="s">
        <v>501</v>
      </c>
      <c r="G595" s="28" t="s">
        <v>539</v>
      </c>
      <c r="H595" s="28" t="s">
        <v>540</v>
      </c>
      <c r="I595" s="30">
        <v>5</v>
      </c>
      <c r="J595" s="30"/>
      <c r="K595" s="31">
        <v>250</v>
      </c>
      <c r="L595" s="31"/>
      <c r="M595" s="31"/>
      <c r="N595" s="32"/>
      <c r="O595" s="32"/>
      <c r="P595" s="30">
        <v>4.0983606557377102E-2</v>
      </c>
      <c r="Q595" s="31">
        <v>2.0491803278688501</v>
      </c>
    </row>
    <row r="596" spans="1:17" ht="15" customHeight="1" x14ac:dyDescent="0.2">
      <c r="A596" s="17" t="s">
        <v>254</v>
      </c>
      <c r="B596" s="18" t="s">
        <v>148</v>
      </c>
      <c r="C596" s="18" t="s">
        <v>180</v>
      </c>
      <c r="D596" s="20">
        <v>80</v>
      </c>
      <c r="E596" s="17" t="s">
        <v>538</v>
      </c>
      <c r="F596" s="19" t="s">
        <v>501</v>
      </c>
      <c r="G596" s="19" t="s">
        <v>539</v>
      </c>
      <c r="H596" s="19" t="s">
        <v>540</v>
      </c>
      <c r="I596" s="21">
        <v>10.5</v>
      </c>
      <c r="J596" s="21">
        <v>10.5</v>
      </c>
      <c r="K596" s="22">
        <v>719.25</v>
      </c>
      <c r="L596" s="22"/>
      <c r="M596" s="22"/>
      <c r="N596" s="23"/>
      <c r="O596" s="23"/>
      <c r="P596" s="21">
        <v>0.13125000000000001</v>
      </c>
      <c r="Q596" s="22">
        <v>8.9906249999999996</v>
      </c>
    </row>
    <row r="597" spans="1:17" ht="15" customHeight="1" x14ac:dyDescent="0.2">
      <c r="A597" s="26" t="s">
        <v>263</v>
      </c>
      <c r="B597" s="27" t="s">
        <v>148</v>
      </c>
      <c r="C597" s="27" t="s">
        <v>180</v>
      </c>
      <c r="D597" s="29">
        <v>55</v>
      </c>
      <c r="E597" s="26" t="s">
        <v>538</v>
      </c>
      <c r="F597" s="28" t="s">
        <v>501</v>
      </c>
      <c r="G597" s="28" t="s">
        <v>539</v>
      </c>
      <c r="H597" s="28" t="s">
        <v>540</v>
      </c>
      <c r="I597" s="30">
        <v>1</v>
      </c>
      <c r="J597" s="30"/>
      <c r="K597" s="31">
        <v>48</v>
      </c>
      <c r="L597" s="31"/>
      <c r="M597" s="31"/>
      <c r="N597" s="32"/>
      <c r="O597" s="32"/>
      <c r="P597" s="30">
        <v>1.8181818181818198E-2</v>
      </c>
      <c r="Q597" s="31">
        <v>0.87272727272727302</v>
      </c>
    </row>
    <row r="598" spans="1:17" ht="15" customHeight="1" x14ac:dyDescent="0.2">
      <c r="A598" s="17" t="s">
        <v>266</v>
      </c>
      <c r="B598" s="18" t="s">
        <v>148</v>
      </c>
      <c r="C598" s="18" t="s">
        <v>267</v>
      </c>
      <c r="D598" s="20">
        <v>108</v>
      </c>
      <c r="E598" s="17" t="s">
        <v>538</v>
      </c>
      <c r="F598" s="19" t="s">
        <v>501</v>
      </c>
      <c r="G598" s="19" t="s">
        <v>539</v>
      </c>
      <c r="H598" s="19" t="s">
        <v>540</v>
      </c>
      <c r="I598" s="21">
        <v>1.5</v>
      </c>
      <c r="J598" s="21"/>
      <c r="K598" s="22">
        <v>73.5</v>
      </c>
      <c r="L598" s="22"/>
      <c r="M598" s="22"/>
      <c r="N598" s="23"/>
      <c r="O598" s="23"/>
      <c r="P598" s="21">
        <v>1.38888888888889E-2</v>
      </c>
      <c r="Q598" s="22">
        <v>0.68055555555555602</v>
      </c>
    </row>
    <row r="599" spans="1:17" ht="15" customHeight="1" x14ac:dyDescent="0.2">
      <c r="A599" s="26" t="s">
        <v>285</v>
      </c>
      <c r="B599" s="27" t="s">
        <v>148</v>
      </c>
      <c r="C599" s="27" t="s">
        <v>267</v>
      </c>
      <c r="D599" s="29">
        <v>296</v>
      </c>
      <c r="E599" s="26" t="s">
        <v>538</v>
      </c>
      <c r="F599" s="28" t="s">
        <v>501</v>
      </c>
      <c r="G599" s="28" t="s">
        <v>539</v>
      </c>
      <c r="H599" s="28" t="s">
        <v>540</v>
      </c>
      <c r="I599" s="30">
        <v>1</v>
      </c>
      <c r="J599" s="30"/>
      <c r="K599" s="31">
        <v>50</v>
      </c>
      <c r="L599" s="31"/>
      <c r="M599" s="31"/>
      <c r="N599" s="32"/>
      <c r="O599" s="32"/>
      <c r="P599" s="30">
        <v>3.3783783783783799E-3</v>
      </c>
      <c r="Q599" s="31">
        <v>0.168918918918919</v>
      </c>
    </row>
    <row r="600" spans="1:17" ht="15" customHeight="1" x14ac:dyDescent="0.2">
      <c r="A600" s="17" t="s">
        <v>300</v>
      </c>
      <c r="B600" s="18" t="s">
        <v>148</v>
      </c>
      <c r="C600" s="18" t="s">
        <v>267</v>
      </c>
      <c r="D600" s="20">
        <v>321</v>
      </c>
      <c r="E600" s="17" t="s">
        <v>538</v>
      </c>
      <c r="F600" s="19" t="s">
        <v>501</v>
      </c>
      <c r="G600" s="19" t="s">
        <v>539</v>
      </c>
      <c r="H600" s="19" t="s">
        <v>540</v>
      </c>
      <c r="I600" s="21">
        <v>2.5</v>
      </c>
      <c r="J600" s="21"/>
      <c r="K600" s="22">
        <v>137.5</v>
      </c>
      <c r="L600" s="22"/>
      <c r="M600" s="22"/>
      <c r="N600" s="23"/>
      <c r="O600" s="23"/>
      <c r="P600" s="21">
        <v>7.7881619937694704E-3</v>
      </c>
      <c r="Q600" s="22">
        <v>0.42834890965732098</v>
      </c>
    </row>
    <row r="601" spans="1:17" ht="15" customHeight="1" x14ac:dyDescent="0.2">
      <c r="A601" s="26" t="s">
        <v>309</v>
      </c>
      <c r="B601" s="27" t="s">
        <v>148</v>
      </c>
      <c r="C601" s="27" t="s">
        <v>267</v>
      </c>
      <c r="D601" s="29">
        <v>270</v>
      </c>
      <c r="E601" s="26" t="s">
        <v>538</v>
      </c>
      <c r="F601" s="28" t="s">
        <v>501</v>
      </c>
      <c r="G601" s="28" t="s">
        <v>539</v>
      </c>
      <c r="H601" s="28" t="s">
        <v>540</v>
      </c>
      <c r="I601" s="30">
        <v>13.5</v>
      </c>
      <c r="J601" s="30"/>
      <c r="K601" s="31">
        <v>829</v>
      </c>
      <c r="L601" s="31"/>
      <c r="M601" s="31"/>
      <c r="N601" s="32"/>
      <c r="O601" s="32"/>
      <c r="P601" s="30">
        <v>0.05</v>
      </c>
      <c r="Q601" s="31">
        <v>3.07037037037037</v>
      </c>
    </row>
    <row r="602" spans="1:17" ht="15" customHeight="1" x14ac:dyDescent="0.2">
      <c r="A602" s="35" t="s">
        <v>312</v>
      </c>
      <c r="B602" s="36" t="s">
        <v>313</v>
      </c>
      <c r="C602" s="36" t="s">
        <v>267</v>
      </c>
      <c r="D602" s="38">
        <v>170</v>
      </c>
      <c r="E602" s="35" t="s">
        <v>538</v>
      </c>
      <c r="F602" s="37" t="s">
        <v>501</v>
      </c>
      <c r="G602" s="37" t="s">
        <v>539</v>
      </c>
      <c r="H602" s="37" t="s">
        <v>540</v>
      </c>
      <c r="I602" s="39"/>
      <c r="J602" s="39"/>
      <c r="K602" s="40">
        <v>26715.88</v>
      </c>
      <c r="L602" s="40"/>
      <c r="M602" s="40"/>
      <c r="N602" s="41"/>
      <c r="O602" s="41"/>
      <c r="P602" s="39"/>
      <c r="Q602" s="40">
        <v>157.15223529411799</v>
      </c>
    </row>
    <row r="603" spans="1:17" ht="15" customHeight="1" x14ac:dyDescent="0.2">
      <c r="A603" s="26" t="s">
        <v>259</v>
      </c>
      <c r="B603" s="27" t="s">
        <v>148</v>
      </c>
      <c r="C603" s="27" t="s">
        <v>180</v>
      </c>
      <c r="D603" s="29"/>
      <c r="E603" s="26" t="s">
        <v>541</v>
      </c>
      <c r="F603" s="28" t="s">
        <v>501</v>
      </c>
      <c r="G603" s="28" t="s">
        <v>542</v>
      </c>
      <c r="H603" s="28" t="s">
        <v>543</v>
      </c>
      <c r="I603" s="30"/>
      <c r="J603" s="30"/>
      <c r="K603" s="31">
        <v>178.25</v>
      </c>
      <c r="L603" s="31"/>
      <c r="M603" s="31"/>
      <c r="N603" s="32"/>
      <c r="O603" s="32"/>
      <c r="P603" s="30"/>
      <c r="Q603" s="31"/>
    </row>
    <row r="604" spans="1:17" ht="15" customHeight="1" x14ac:dyDescent="0.2">
      <c r="A604" s="17" t="s">
        <v>286</v>
      </c>
      <c r="B604" s="18" t="s">
        <v>148</v>
      </c>
      <c r="C604" s="18" t="s">
        <v>267</v>
      </c>
      <c r="D604" s="20">
        <v>50</v>
      </c>
      <c r="E604" s="17" t="s">
        <v>541</v>
      </c>
      <c r="F604" s="19" t="s">
        <v>501</v>
      </c>
      <c r="G604" s="19" t="s">
        <v>542</v>
      </c>
      <c r="H604" s="19" t="s">
        <v>543</v>
      </c>
      <c r="I604" s="21">
        <v>3</v>
      </c>
      <c r="J604" s="21"/>
      <c r="K604" s="22">
        <v>187.5</v>
      </c>
      <c r="L604" s="22"/>
      <c r="M604" s="22"/>
      <c r="N604" s="23"/>
      <c r="O604" s="23"/>
      <c r="P604" s="21">
        <v>0.06</v>
      </c>
      <c r="Q604" s="22">
        <v>3.75</v>
      </c>
    </row>
    <row r="605" spans="1:17" ht="15" customHeight="1" x14ac:dyDescent="0.2">
      <c r="A605" s="35" t="s">
        <v>312</v>
      </c>
      <c r="B605" s="36" t="s">
        <v>313</v>
      </c>
      <c r="C605" s="36" t="s">
        <v>267</v>
      </c>
      <c r="D605" s="38">
        <v>170</v>
      </c>
      <c r="E605" s="35" t="s">
        <v>541</v>
      </c>
      <c r="F605" s="37" t="s">
        <v>501</v>
      </c>
      <c r="G605" s="37" t="s">
        <v>542</v>
      </c>
      <c r="H605" s="37" t="s">
        <v>543</v>
      </c>
      <c r="I605" s="39">
        <v>8</v>
      </c>
      <c r="J605" s="39"/>
      <c r="K605" s="40">
        <v>224</v>
      </c>
      <c r="L605" s="40"/>
      <c r="M605" s="40"/>
      <c r="N605" s="41"/>
      <c r="O605" s="41"/>
      <c r="P605" s="39">
        <v>4.7058823529411799E-2</v>
      </c>
      <c r="Q605" s="40">
        <v>1.3176470588235301</v>
      </c>
    </row>
    <row r="606" spans="1:17" ht="15" customHeight="1" x14ac:dyDescent="0.2">
      <c r="A606" s="35" t="s">
        <v>316</v>
      </c>
      <c r="B606" s="36" t="s">
        <v>313</v>
      </c>
      <c r="C606" s="36" t="s">
        <v>267</v>
      </c>
      <c r="D606" s="38">
        <v>234</v>
      </c>
      <c r="E606" s="35" t="s">
        <v>541</v>
      </c>
      <c r="F606" s="37" t="s">
        <v>501</v>
      </c>
      <c r="G606" s="37" t="s">
        <v>542</v>
      </c>
      <c r="H606" s="37" t="s">
        <v>543</v>
      </c>
      <c r="I606" s="39">
        <v>19.75</v>
      </c>
      <c r="J606" s="39"/>
      <c r="K606" s="40">
        <v>869</v>
      </c>
      <c r="L606" s="40"/>
      <c r="M606" s="40"/>
      <c r="N606" s="41"/>
      <c r="O606" s="41"/>
      <c r="P606" s="39">
        <v>8.4401709401709393E-2</v>
      </c>
      <c r="Q606" s="40">
        <v>3.7136752136752098</v>
      </c>
    </row>
    <row r="607" spans="1:17" ht="15" customHeight="1" x14ac:dyDescent="0.2">
      <c r="A607" s="26" t="s">
        <v>147</v>
      </c>
      <c r="B607" s="27" t="s">
        <v>148</v>
      </c>
      <c r="C607" s="27" t="s">
        <v>149</v>
      </c>
      <c r="D607" s="29">
        <v>234</v>
      </c>
      <c r="E607" s="26" t="s">
        <v>544</v>
      </c>
      <c r="F607" s="28" t="s">
        <v>545</v>
      </c>
      <c r="G607" s="28" t="s">
        <v>502</v>
      </c>
      <c r="H607" s="28" t="s">
        <v>546</v>
      </c>
      <c r="I607" s="30"/>
      <c r="J607" s="30"/>
      <c r="K607" s="31">
        <v>10684.8</v>
      </c>
      <c r="L607" s="31">
        <v>34350</v>
      </c>
      <c r="M607" s="31">
        <v>34350</v>
      </c>
      <c r="N607" s="32">
        <v>-0.68894323144104797</v>
      </c>
      <c r="O607" s="32">
        <v>-0.68894323144104797</v>
      </c>
      <c r="P607" s="30"/>
      <c r="Q607" s="31">
        <v>45.661538461538498</v>
      </c>
    </row>
    <row r="608" spans="1:17" ht="15" customHeight="1" x14ac:dyDescent="0.2">
      <c r="A608" s="17" t="s">
        <v>152</v>
      </c>
      <c r="B608" s="18" t="s">
        <v>148</v>
      </c>
      <c r="C608" s="18" t="s">
        <v>149</v>
      </c>
      <c r="D608" s="20">
        <v>258</v>
      </c>
      <c r="E608" s="17" t="s">
        <v>544</v>
      </c>
      <c r="F608" s="19" t="s">
        <v>545</v>
      </c>
      <c r="G608" s="19" t="s">
        <v>502</v>
      </c>
      <c r="H608" s="19" t="s">
        <v>546</v>
      </c>
      <c r="I608" s="21"/>
      <c r="J608" s="21"/>
      <c r="K608" s="22">
        <v>26220.27</v>
      </c>
      <c r="L608" s="22">
        <v>60420</v>
      </c>
      <c r="M608" s="22">
        <v>60420</v>
      </c>
      <c r="N608" s="23">
        <v>-0.56603326713008895</v>
      </c>
      <c r="O608" s="23">
        <v>-0.56603326713008895</v>
      </c>
      <c r="P608" s="21"/>
      <c r="Q608" s="22">
        <v>101.62895348837201</v>
      </c>
    </row>
    <row r="609" spans="1:17" ht="15" customHeight="1" x14ac:dyDescent="0.2">
      <c r="A609" s="26" t="s">
        <v>154</v>
      </c>
      <c r="B609" s="27" t="s">
        <v>148</v>
      </c>
      <c r="C609" s="27" t="s">
        <v>149</v>
      </c>
      <c r="D609" s="29">
        <v>56</v>
      </c>
      <c r="E609" s="26" t="s">
        <v>544</v>
      </c>
      <c r="F609" s="28" t="s">
        <v>545</v>
      </c>
      <c r="G609" s="28" t="s">
        <v>502</v>
      </c>
      <c r="H609" s="28" t="s">
        <v>546</v>
      </c>
      <c r="I609" s="30"/>
      <c r="J609" s="30"/>
      <c r="K609" s="31">
        <v>369.06</v>
      </c>
      <c r="L609" s="31">
        <v>1250</v>
      </c>
      <c r="M609" s="31">
        <v>1250</v>
      </c>
      <c r="N609" s="32">
        <v>-0.70475200000000005</v>
      </c>
      <c r="O609" s="32">
        <v>-0.70475200000000005</v>
      </c>
      <c r="P609" s="30"/>
      <c r="Q609" s="31">
        <v>6.5903571428571404</v>
      </c>
    </row>
    <row r="610" spans="1:17" ht="15" customHeight="1" x14ac:dyDescent="0.2">
      <c r="A610" s="17" t="s">
        <v>157</v>
      </c>
      <c r="B610" s="18" t="s">
        <v>148</v>
      </c>
      <c r="C610" s="18" t="s">
        <v>149</v>
      </c>
      <c r="D610" s="20">
        <v>149</v>
      </c>
      <c r="E610" s="17" t="s">
        <v>544</v>
      </c>
      <c r="F610" s="19" t="s">
        <v>545</v>
      </c>
      <c r="G610" s="19" t="s">
        <v>502</v>
      </c>
      <c r="H610" s="19" t="s">
        <v>546</v>
      </c>
      <c r="I610" s="21"/>
      <c r="J610" s="21"/>
      <c r="K610" s="22">
        <v>1188.8599999999999</v>
      </c>
      <c r="L610" s="22">
        <v>11500</v>
      </c>
      <c r="M610" s="22">
        <v>11500</v>
      </c>
      <c r="N610" s="23">
        <v>-0.89662086956521703</v>
      </c>
      <c r="O610" s="23">
        <v>-0.89662086956521703</v>
      </c>
      <c r="P610" s="21"/>
      <c r="Q610" s="22">
        <v>7.9789261744966398</v>
      </c>
    </row>
    <row r="611" spans="1:17" ht="15" customHeight="1" x14ac:dyDescent="0.2">
      <c r="A611" s="26" t="s">
        <v>159</v>
      </c>
      <c r="B611" s="27" t="s">
        <v>148</v>
      </c>
      <c r="C611" s="27" t="s">
        <v>149</v>
      </c>
      <c r="D611" s="29">
        <v>117</v>
      </c>
      <c r="E611" s="26" t="s">
        <v>544</v>
      </c>
      <c r="F611" s="28" t="s">
        <v>545</v>
      </c>
      <c r="G611" s="28" t="s">
        <v>502</v>
      </c>
      <c r="H611" s="28" t="s">
        <v>546</v>
      </c>
      <c r="I611" s="30"/>
      <c r="J611" s="30"/>
      <c r="K611" s="31">
        <v>1134.76</v>
      </c>
      <c r="L611" s="31">
        <v>4725</v>
      </c>
      <c r="M611" s="31">
        <v>4725</v>
      </c>
      <c r="N611" s="32">
        <v>-0.75983915343915298</v>
      </c>
      <c r="O611" s="32">
        <v>-0.75983915343915298</v>
      </c>
      <c r="P611" s="30"/>
      <c r="Q611" s="31">
        <v>9.6988034188034202</v>
      </c>
    </row>
    <row r="612" spans="1:17" ht="15" customHeight="1" x14ac:dyDescent="0.2">
      <c r="A612" s="17" t="s">
        <v>161</v>
      </c>
      <c r="B612" s="18" t="s">
        <v>148</v>
      </c>
      <c r="C612" s="18" t="s">
        <v>149</v>
      </c>
      <c r="D612" s="20">
        <v>162</v>
      </c>
      <c r="E612" s="17" t="s">
        <v>544</v>
      </c>
      <c r="F612" s="19" t="s">
        <v>545</v>
      </c>
      <c r="G612" s="19" t="s">
        <v>502</v>
      </c>
      <c r="H612" s="19" t="s">
        <v>546</v>
      </c>
      <c r="I612" s="21"/>
      <c r="J612" s="21"/>
      <c r="K612" s="22">
        <v>5066.8</v>
      </c>
      <c r="L612" s="22">
        <v>17900</v>
      </c>
      <c r="M612" s="22">
        <v>17900</v>
      </c>
      <c r="N612" s="23">
        <v>-0.71693854748603403</v>
      </c>
      <c r="O612" s="23">
        <v>-0.71693854748603403</v>
      </c>
      <c r="P612" s="21"/>
      <c r="Q612" s="22">
        <v>31.2765432098765</v>
      </c>
    </row>
    <row r="613" spans="1:17" ht="15" customHeight="1" x14ac:dyDescent="0.2">
      <c r="A613" s="26" t="s">
        <v>167</v>
      </c>
      <c r="B613" s="27" t="s">
        <v>148</v>
      </c>
      <c r="C613" s="27" t="s">
        <v>149</v>
      </c>
      <c r="D613" s="29">
        <v>119</v>
      </c>
      <c r="E613" s="26" t="s">
        <v>544</v>
      </c>
      <c r="F613" s="28" t="s">
        <v>545</v>
      </c>
      <c r="G613" s="28" t="s">
        <v>502</v>
      </c>
      <c r="H613" s="28" t="s">
        <v>546</v>
      </c>
      <c r="I613" s="30"/>
      <c r="J613" s="30"/>
      <c r="K613" s="31">
        <v>2380.94</v>
      </c>
      <c r="L613" s="31"/>
      <c r="M613" s="31"/>
      <c r="N613" s="32"/>
      <c r="O613" s="32"/>
      <c r="P613" s="30"/>
      <c r="Q613" s="31">
        <v>20.0078991596639</v>
      </c>
    </row>
    <row r="614" spans="1:17" ht="15" customHeight="1" x14ac:dyDescent="0.2">
      <c r="A614" s="17" t="s">
        <v>147</v>
      </c>
      <c r="B614" s="18" t="s">
        <v>148</v>
      </c>
      <c r="C614" s="18" t="s">
        <v>149</v>
      </c>
      <c r="D614" s="20">
        <v>234</v>
      </c>
      <c r="E614" s="17" t="s">
        <v>547</v>
      </c>
      <c r="F614" s="19" t="s">
        <v>545</v>
      </c>
      <c r="G614" s="19" t="s">
        <v>502</v>
      </c>
      <c r="H614" s="19" t="s">
        <v>548</v>
      </c>
      <c r="I614" s="21"/>
      <c r="J614" s="21"/>
      <c r="K614" s="22">
        <v>6150.1</v>
      </c>
      <c r="L614" s="22">
        <v>5400</v>
      </c>
      <c r="M614" s="22">
        <v>5400</v>
      </c>
      <c r="N614" s="23">
        <v>0.13890740740740801</v>
      </c>
      <c r="O614" s="23">
        <v>0.13890740740740801</v>
      </c>
      <c r="P614" s="21"/>
      <c r="Q614" s="22">
        <v>26.2824786324786</v>
      </c>
    </row>
    <row r="615" spans="1:17" ht="15" customHeight="1" x14ac:dyDescent="0.2">
      <c r="A615" s="26" t="s">
        <v>152</v>
      </c>
      <c r="B615" s="27" t="s">
        <v>148</v>
      </c>
      <c r="C615" s="27" t="s">
        <v>149</v>
      </c>
      <c r="D615" s="29">
        <v>258</v>
      </c>
      <c r="E615" s="26" t="s">
        <v>547</v>
      </c>
      <c r="F615" s="28" t="s">
        <v>545</v>
      </c>
      <c r="G615" s="28" t="s">
        <v>502</v>
      </c>
      <c r="H615" s="28" t="s">
        <v>548</v>
      </c>
      <c r="I615" s="30"/>
      <c r="J615" s="30"/>
      <c r="K615" s="31">
        <v>10852.76</v>
      </c>
      <c r="L615" s="31">
        <v>3000</v>
      </c>
      <c r="M615" s="31">
        <v>3000</v>
      </c>
      <c r="N615" s="32">
        <v>2.6175866666666701</v>
      </c>
      <c r="O615" s="32">
        <v>2.6175866666666701</v>
      </c>
      <c r="P615" s="30"/>
      <c r="Q615" s="31">
        <v>42.064961240310097</v>
      </c>
    </row>
    <row r="616" spans="1:17" ht="15" customHeight="1" x14ac:dyDescent="0.2">
      <c r="A616" s="17" t="s">
        <v>154</v>
      </c>
      <c r="B616" s="18" t="s">
        <v>148</v>
      </c>
      <c r="C616" s="18" t="s">
        <v>149</v>
      </c>
      <c r="D616" s="20">
        <v>56</v>
      </c>
      <c r="E616" s="17" t="s">
        <v>547</v>
      </c>
      <c r="F616" s="19" t="s">
        <v>545</v>
      </c>
      <c r="G616" s="19" t="s">
        <v>502</v>
      </c>
      <c r="H616" s="19" t="s">
        <v>548</v>
      </c>
      <c r="I616" s="21"/>
      <c r="J616" s="21"/>
      <c r="K616" s="22">
        <v>2613.58</v>
      </c>
      <c r="L616" s="22">
        <v>2800</v>
      </c>
      <c r="M616" s="22">
        <v>2800</v>
      </c>
      <c r="N616" s="23">
        <v>-6.6578571428571501E-2</v>
      </c>
      <c r="O616" s="23">
        <v>-6.6578571428571501E-2</v>
      </c>
      <c r="P616" s="21"/>
      <c r="Q616" s="22">
        <v>46.671071428571402</v>
      </c>
    </row>
    <row r="617" spans="1:17" ht="15" customHeight="1" x14ac:dyDescent="0.2">
      <c r="A617" s="26" t="s">
        <v>157</v>
      </c>
      <c r="B617" s="27" t="s">
        <v>148</v>
      </c>
      <c r="C617" s="27" t="s">
        <v>149</v>
      </c>
      <c r="D617" s="29">
        <v>149</v>
      </c>
      <c r="E617" s="26" t="s">
        <v>547</v>
      </c>
      <c r="F617" s="28" t="s">
        <v>545</v>
      </c>
      <c r="G617" s="28" t="s">
        <v>502</v>
      </c>
      <c r="H617" s="28" t="s">
        <v>548</v>
      </c>
      <c r="I617" s="30"/>
      <c r="J617" s="30"/>
      <c r="K617" s="31">
        <v>1514.24</v>
      </c>
      <c r="L617" s="31">
        <v>3000</v>
      </c>
      <c r="M617" s="31">
        <v>3000</v>
      </c>
      <c r="N617" s="32">
        <v>-0.49525333333333299</v>
      </c>
      <c r="O617" s="32">
        <v>-0.49525333333333299</v>
      </c>
      <c r="P617" s="30"/>
      <c r="Q617" s="31">
        <v>10.1626845637584</v>
      </c>
    </row>
    <row r="618" spans="1:17" ht="15" customHeight="1" x14ac:dyDescent="0.2">
      <c r="A618" s="17" t="s">
        <v>159</v>
      </c>
      <c r="B618" s="18" t="s">
        <v>148</v>
      </c>
      <c r="C618" s="18" t="s">
        <v>149</v>
      </c>
      <c r="D618" s="20">
        <v>117</v>
      </c>
      <c r="E618" s="17" t="s">
        <v>547</v>
      </c>
      <c r="F618" s="19" t="s">
        <v>545</v>
      </c>
      <c r="G618" s="19" t="s">
        <v>502</v>
      </c>
      <c r="H618" s="19" t="s">
        <v>548</v>
      </c>
      <c r="I618" s="21"/>
      <c r="J618" s="21"/>
      <c r="K618" s="22">
        <v>5311</v>
      </c>
      <c r="L618" s="22">
        <v>10300</v>
      </c>
      <c r="M618" s="22">
        <v>10300</v>
      </c>
      <c r="N618" s="23">
        <v>-0.48436893203883502</v>
      </c>
      <c r="O618" s="23">
        <v>-0.48436893203883502</v>
      </c>
      <c r="P618" s="21"/>
      <c r="Q618" s="22">
        <v>45.393162393162399</v>
      </c>
    </row>
    <row r="619" spans="1:17" ht="15" customHeight="1" x14ac:dyDescent="0.2">
      <c r="A619" s="26" t="s">
        <v>161</v>
      </c>
      <c r="B619" s="27" t="s">
        <v>148</v>
      </c>
      <c r="C619" s="27" t="s">
        <v>149</v>
      </c>
      <c r="D619" s="29">
        <v>162</v>
      </c>
      <c r="E619" s="26" t="s">
        <v>547</v>
      </c>
      <c r="F619" s="28" t="s">
        <v>545</v>
      </c>
      <c r="G619" s="28" t="s">
        <v>502</v>
      </c>
      <c r="H619" s="28" t="s">
        <v>548</v>
      </c>
      <c r="I619" s="30"/>
      <c r="J619" s="30"/>
      <c r="K619" s="31">
        <v>1635.51</v>
      </c>
      <c r="L619" s="31">
        <v>4300</v>
      </c>
      <c r="M619" s="31">
        <v>4300</v>
      </c>
      <c r="N619" s="32">
        <v>-0.61964883720930197</v>
      </c>
      <c r="O619" s="32">
        <v>-0.61964883720930197</v>
      </c>
      <c r="P619" s="30"/>
      <c r="Q619" s="31">
        <v>10.0957407407407</v>
      </c>
    </row>
    <row r="620" spans="1:17" ht="15" customHeight="1" x14ac:dyDescent="0.2">
      <c r="A620" s="17" t="s">
        <v>165</v>
      </c>
      <c r="B620" s="18" t="s">
        <v>148</v>
      </c>
      <c r="C620" s="18" t="s">
        <v>149</v>
      </c>
      <c r="D620" s="20">
        <v>197</v>
      </c>
      <c r="E620" s="17" t="s">
        <v>547</v>
      </c>
      <c r="F620" s="19" t="s">
        <v>545</v>
      </c>
      <c r="G620" s="19" t="s">
        <v>502</v>
      </c>
      <c r="H620" s="19" t="s">
        <v>548</v>
      </c>
      <c r="I620" s="21"/>
      <c r="J620" s="21"/>
      <c r="K620" s="22">
        <v>7557.66</v>
      </c>
      <c r="L620" s="22">
        <v>9825</v>
      </c>
      <c r="M620" s="22">
        <v>9385</v>
      </c>
      <c r="N620" s="23">
        <v>-0.23077251908397001</v>
      </c>
      <c r="O620" s="23">
        <v>-0.19470857751731499</v>
      </c>
      <c r="P620" s="21"/>
      <c r="Q620" s="22">
        <v>38.363756345177698</v>
      </c>
    </row>
    <row r="621" spans="1:17" ht="15" customHeight="1" x14ac:dyDescent="0.2">
      <c r="A621" s="26" t="s">
        <v>167</v>
      </c>
      <c r="B621" s="27" t="s">
        <v>148</v>
      </c>
      <c r="C621" s="27" t="s">
        <v>149</v>
      </c>
      <c r="D621" s="29">
        <v>119</v>
      </c>
      <c r="E621" s="26" t="s">
        <v>547</v>
      </c>
      <c r="F621" s="28" t="s">
        <v>545</v>
      </c>
      <c r="G621" s="28" t="s">
        <v>502</v>
      </c>
      <c r="H621" s="28" t="s">
        <v>548</v>
      </c>
      <c r="I621" s="30"/>
      <c r="J621" s="30"/>
      <c r="K621" s="31">
        <v>3861</v>
      </c>
      <c r="L621" s="31">
        <v>5685</v>
      </c>
      <c r="M621" s="31">
        <v>5685</v>
      </c>
      <c r="N621" s="32">
        <v>-0.32084432717678102</v>
      </c>
      <c r="O621" s="32">
        <v>-0.32084432717678102</v>
      </c>
      <c r="P621" s="30"/>
      <c r="Q621" s="31">
        <v>32.445378151260499</v>
      </c>
    </row>
    <row r="622" spans="1:17" ht="15" customHeight="1" x14ac:dyDescent="0.2">
      <c r="A622" s="17" t="s">
        <v>169</v>
      </c>
      <c r="B622" s="18" t="s">
        <v>148</v>
      </c>
      <c r="C622" s="18" t="s">
        <v>149</v>
      </c>
      <c r="D622" s="20">
        <v>211</v>
      </c>
      <c r="E622" s="17" t="s">
        <v>547</v>
      </c>
      <c r="F622" s="19" t="s">
        <v>545</v>
      </c>
      <c r="G622" s="19" t="s">
        <v>502</v>
      </c>
      <c r="H622" s="19" t="s">
        <v>548</v>
      </c>
      <c r="I622" s="21"/>
      <c r="J622" s="21"/>
      <c r="K622" s="22">
        <v>3233.67</v>
      </c>
      <c r="L622" s="22">
        <v>5900</v>
      </c>
      <c r="M622" s="22">
        <v>5900</v>
      </c>
      <c r="N622" s="23">
        <v>-0.45192033898305101</v>
      </c>
      <c r="O622" s="23">
        <v>-0.45192033898305101</v>
      </c>
      <c r="P622" s="21"/>
      <c r="Q622" s="22">
        <v>15.3254502369668</v>
      </c>
    </row>
    <row r="623" spans="1:17" ht="15" customHeight="1" x14ac:dyDescent="0.2">
      <c r="A623" s="26" t="s">
        <v>171</v>
      </c>
      <c r="B623" s="27" t="s">
        <v>148</v>
      </c>
      <c r="C623" s="27" t="s">
        <v>149</v>
      </c>
      <c r="D623" s="29">
        <v>211</v>
      </c>
      <c r="E623" s="26" t="s">
        <v>547</v>
      </c>
      <c r="F623" s="28" t="s">
        <v>545</v>
      </c>
      <c r="G623" s="28" t="s">
        <v>502</v>
      </c>
      <c r="H623" s="28" t="s">
        <v>548</v>
      </c>
      <c r="I623" s="30"/>
      <c r="J623" s="30"/>
      <c r="K623" s="31">
        <v>9932.16</v>
      </c>
      <c r="L623" s="31">
        <v>16500</v>
      </c>
      <c r="M623" s="31">
        <v>16500</v>
      </c>
      <c r="N623" s="32">
        <v>-0.39805090909090901</v>
      </c>
      <c r="O623" s="32">
        <v>-0.39805090909090901</v>
      </c>
      <c r="P623" s="30"/>
      <c r="Q623" s="31">
        <v>47.071848341232197</v>
      </c>
    </row>
    <row r="624" spans="1:17" ht="15" customHeight="1" x14ac:dyDescent="0.2">
      <c r="A624" s="17" t="s">
        <v>173</v>
      </c>
      <c r="B624" s="18" t="s">
        <v>148</v>
      </c>
      <c r="C624" s="18" t="s">
        <v>149</v>
      </c>
      <c r="D624" s="20">
        <v>256</v>
      </c>
      <c r="E624" s="17" t="s">
        <v>547</v>
      </c>
      <c r="F624" s="19" t="s">
        <v>545</v>
      </c>
      <c r="G624" s="19" t="s">
        <v>502</v>
      </c>
      <c r="H624" s="19" t="s">
        <v>548</v>
      </c>
      <c r="I624" s="21"/>
      <c r="J624" s="21"/>
      <c r="K624" s="22">
        <v>24415.78</v>
      </c>
      <c r="L624" s="22">
        <v>23100</v>
      </c>
      <c r="M624" s="22">
        <v>23300</v>
      </c>
      <c r="N624" s="23">
        <v>5.69601731601731E-2</v>
      </c>
      <c r="O624" s="23">
        <v>4.7887553648068598E-2</v>
      </c>
      <c r="P624" s="21"/>
      <c r="Q624" s="22">
        <v>95.374140624999995</v>
      </c>
    </row>
    <row r="625" spans="1:17" ht="15" customHeight="1" x14ac:dyDescent="0.2">
      <c r="A625" s="26" t="s">
        <v>175</v>
      </c>
      <c r="B625" s="27" t="s">
        <v>148</v>
      </c>
      <c r="C625" s="27" t="s">
        <v>149</v>
      </c>
      <c r="D625" s="29">
        <v>136</v>
      </c>
      <c r="E625" s="26" t="s">
        <v>547</v>
      </c>
      <c r="F625" s="28" t="s">
        <v>545</v>
      </c>
      <c r="G625" s="28" t="s">
        <v>502</v>
      </c>
      <c r="H625" s="28" t="s">
        <v>548</v>
      </c>
      <c r="I625" s="30"/>
      <c r="J625" s="30"/>
      <c r="K625" s="31">
        <v>21743.86</v>
      </c>
      <c r="L625" s="31">
        <v>13250</v>
      </c>
      <c r="M625" s="31">
        <v>13550</v>
      </c>
      <c r="N625" s="32">
        <v>0.64104603773584901</v>
      </c>
      <c r="O625" s="32">
        <v>0.60471291512915104</v>
      </c>
      <c r="P625" s="30"/>
      <c r="Q625" s="31">
        <v>159.88132352941199</v>
      </c>
    </row>
    <row r="626" spans="1:17" ht="15" customHeight="1" x14ac:dyDescent="0.2">
      <c r="A626" s="17" t="s">
        <v>177</v>
      </c>
      <c r="B626" s="18" t="s">
        <v>148</v>
      </c>
      <c r="C626" s="18" t="s">
        <v>149</v>
      </c>
      <c r="D626" s="20">
        <v>18</v>
      </c>
      <c r="E626" s="17" t="s">
        <v>547</v>
      </c>
      <c r="F626" s="19" t="s">
        <v>545</v>
      </c>
      <c r="G626" s="19" t="s">
        <v>502</v>
      </c>
      <c r="H626" s="19" t="s">
        <v>548</v>
      </c>
      <c r="I626" s="21"/>
      <c r="J626" s="21"/>
      <c r="K626" s="22">
        <v>3879.67</v>
      </c>
      <c r="L626" s="22">
        <v>5550</v>
      </c>
      <c r="M626" s="22">
        <v>5550</v>
      </c>
      <c r="N626" s="23">
        <v>-0.30096036036036</v>
      </c>
      <c r="O626" s="23">
        <v>-0.30096036036036</v>
      </c>
      <c r="P626" s="21"/>
      <c r="Q626" s="22">
        <v>215.537222222222</v>
      </c>
    </row>
    <row r="627" spans="1:17" ht="15" customHeight="1" x14ac:dyDescent="0.2">
      <c r="A627" s="26" t="s">
        <v>179</v>
      </c>
      <c r="B627" s="27" t="s">
        <v>148</v>
      </c>
      <c r="C627" s="27" t="s">
        <v>180</v>
      </c>
      <c r="D627" s="29">
        <v>209</v>
      </c>
      <c r="E627" s="26" t="s">
        <v>547</v>
      </c>
      <c r="F627" s="28" t="s">
        <v>545</v>
      </c>
      <c r="G627" s="28" t="s">
        <v>502</v>
      </c>
      <c r="H627" s="28" t="s">
        <v>548</v>
      </c>
      <c r="I627" s="30"/>
      <c r="J627" s="30"/>
      <c r="K627" s="31">
        <v>45918.239999999998</v>
      </c>
      <c r="L627" s="31">
        <v>23150</v>
      </c>
      <c r="M627" s="31">
        <v>38304</v>
      </c>
      <c r="N627" s="32">
        <v>0.98350928725701903</v>
      </c>
      <c r="O627" s="32">
        <v>0.19878446115288201</v>
      </c>
      <c r="P627" s="30"/>
      <c r="Q627" s="31">
        <v>219.70449760765601</v>
      </c>
    </row>
    <row r="628" spans="1:17" ht="15" customHeight="1" x14ac:dyDescent="0.2">
      <c r="A628" s="17" t="s">
        <v>185</v>
      </c>
      <c r="B628" s="18" t="s">
        <v>148</v>
      </c>
      <c r="C628" s="18" t="s">
        <v>180</v>
      </c>
      <c r="D628" s="20">
        <v>117</v>
      </c>
      <c r="E628" s="17" t="s">
        <v>547</v>
      </c>
      <c r="F628" s="19" t="s">
        <v>545</v>
      </c>
      <c r="G628" s="19" t="s">
        <v>502</v>
      </c>
      <c r="H628" s="19" t="s">
        <v>548</v>
      </c>
      <c r="I628" s="21"/>
      <c r="J628" s="21"/>
      <c r="K628" s="22">
        <v>22920.93</v>
      </c>
      <c r="L628" s="22">
        <v>17800</v>
      </c>
      <c r="M628" s="22">
        <v>17800</v>
      </c>
      <c r="N628" s="23">
        <v>0.28769269662921398</v>
      </c>
      <c r="O628" s="23">
        <v>0.28769269662921398</v>
      </c>
      <c r="P628" s="21"/>
      <c r="Q628" s="22">
        <v>195.905384615385</v>
      </c>
    </row>
    <row r="629" spans="1:17" ht="15" customHeight="1" x14ac:dyDescent="0.2">
      <c r="A629" s="26" t="s">
        <v>190</v>
      </c>
      <c r="B629" s="27" t="s">
        <v>148</v>
      </c>
      <c r="C629" s="27" t="s">
        <v>180</v>
      </c>
      <c r="D629" s="29">
        <v>75</v>
      </c>
      <c r="E629" s="26" t="s">
        <v>547</v>
      </c>
      <c r="F629" s="28" t="s">
        <v>545</v>
      </c>
      <c r="G629" s="28" t="s">
        <v>502</v>
      </c>
      <c r="H629" s="28" t="s">
        <v>548</v>
      </c>
      <c r="I629" s="30"/>
      <c r="J629" s="30"/>
      <c r="K629" s="31">
        <v>12323.48</v>
      </c>
      <c r="L629" s="31">
        <v>23000</v>
      </c>
      <c r="M629" s="31">
        <v>27199</v>
      </c>
      <c r="N629" s="32">
        <v>-0.46419652173913101</v>
      </c>
      <c r="O629" s="32">
        <v>-0.54691422478767604</v>
      </c>
      <c r="P629" s="30"/>
      <c r="Q629" s="31">
        <v>164.313066666667</v>
      </c>
    </row>
    <row r="630" spans="1:17" ht="15" customHeight="1" x14ac:dyDescent="0.2">
      <c r="A630" s="17" t="s">
        <v>195</v>
      </c>
      <c r="B630" s="18" t="s">
        <v>148</v>
      </c>
      <c r="C630" s="18" t="s">
        <v>180</v>
      </c>
      <c r="D630" s="20">
        <v>49</v>
      </c>
      <c r="E630" s="17" t="s">
        <v>547</v>
      </c>
      <c r="F630" s="19" t="s">
        <v>545</v>
      </c>
      <c r="G630" s="19" t="s">
        <v>502</v>
      </c>
      <c r="H630" s="19" t="s">
        <v>548</v>
      </c>
      <c r="I630" s="21"/>
      <c r="J630" s="21"/>
      <c r="K630" s="22">
        <v>6574.76</v>
      </c>
      <c r="L630" s="22">
        <v>11900</v>
      </c>
      <c r="M630" s="22">
        <v>11900</v>
      </c>
      <c r="N630" s="23">
        <v>-0.447499159663866</v>
      </c>
      <c r="O630" s="23">
        <v>-0.447499159663866</v>
      </c>
      <c r="P630" s="21"/>
      <c r="Q630" s="22">
        <v>134.17877551020399</v>
      </c>
    </row>
    <row r="631" spans="1:17" ht="15" customHeight="1" x14ac:dyDescent="0.2">
      <c r="A631" s="26" t="s">
        <v>201</v>
      </c>
      <c r="B631" s="27" t="s">
        <v>148</v>
      </c>
      <c r="C631" s="27" t="s">
        <v>180</v>
      </c>
      <c r="D631" s="29">
        <v>170</v>
      </c>
      <c r="E631" s="26" t="s">
        <v>547</v>
      </c>
      <c r="F631" s="28" t="s">
        <v>545</v>
      </c>
      <c r="G631" s="28" t="s">
        <v>502</v>
      </c>
      <c r="H631" s="28" t="s">
        <v>548</v>
      </c>
      <c r="I631" s="30"/>
      <c r="J631" s="30"/>
      <c r="K631" s="31">
        <v>13388.88</v>
      </c>
      <c r="L631" s="31">
        <v>18300</v>
      </c>
      <c r="M631" s="31">
        <v>15078</v>
      </c>
      <c r="N631" s="32">
        <v>-0.26836721311475398</v>
      </c>
      <c r="O631" s="32">
        <v>-0.112025467568643</v>
      </c>
      <c r="P631" s="30"/>
      <c r="Q631" s="31">
        <v>78.758117647058796</v>
      </c>
    </row>
    <row r="632" spans="1:17" ht="15" customHeight="1" x14ac:dyDescent="0.2">
      <c r="A632" s="17" t="s">
        <v>205</v>
      </c>
      <c r="B632" s="18" t="s">
        <v>148</v>
      </c>
      <c r="C632" s="18" t="s">
        <v>180</v>
      </c>
      <c r="D632" s="20">
        <v>296</v>
      </c>
      <c r="E632" s="17" t="s">
        <v>547</v>
      </c>
      <c r="F632" s="19" t="s">
        <v>545</v>
      </c>
      <c r="G632" s="19" t="s">
        <v>502</v>
      </c>
      <c r="H632" s="19" t="s">
        <v>548</v>
      </c>
      <c r="I632" s="21"/>
      <c r="J632" s="21"/>
      <c r="K632" s="22">
        <v>19678.27</v>
      </c>
      <c r="L632" s="22">
        <v>62400</v>
      </c>
      <c r="M632" s="22">
        <v>58475</v>
      </c>
      <c r="N632" s="23">
        <v>-0.68464310897435898</v>
      </c>
      <c r="O632" s="23">
        <v>-0.66347550235143204</v>
      </c>
      <c r="P632" s="21"/>
      <c r="Q632" s="22">
        <v>66.480641891891906</v>
      </c>
    </row>
    <row r="633" spans="1:17" ht="15" customHeight="1" x14ac:dyDescent="0.2">
      <c r="A633" s="26" t="s">
        <v>210</v>
      </c>
      <c r="B633" s="27" t="s">
        <v>148</v>
      </c>
      <c r="C633" s="27" t="s">
        <v>180</v>
      </c>
      <c r="D633" s="29">
        <v>83</v>
      </c>
      <c r="E633" s="26" t="s">
        <v>547</v>
      </c>
      <c r="F633" s="28" t="s">
        <v>545</v>
      </c>
      <c r="G633" s="28" t="s">
        <v>502</v>
      </c>
      <c r="H633" s="28" t="s">
        <v>548</v>
      </c>
      <c r="I633" s="30"/>
      <c r="J633" s="30"/>
      <c r="K633" s="31">
        <v>10418.9</v>
      </c>
      <c r="L633" s="31">
        <v>13900</v>
      </c>
      <c r="M633" s="31">
        <v>14089</v>
      </c>
      <c r="N633" s="32">
        <v>-0.25043884892086299</v>
      </c>
      <c r="O633" s="32">
        <v>-0.26049400241323001</v>
      </c>
      <c r="P633" s="30"/>
      <c r="Q633" s="31">
        <v>125.528915662651</v>
      </c>
    </row>
    <row r="634" spans="1:17" ht="15" customHeight="1" x14ac:dyDescent="0.2">
      <c r="A634" s="17" t="s">
        <v>214</v>
      </c>
      <c r="B634" s="18" t="s">
        <v>148</v>
      </c>
      <c r="C634" s="18" t="s">
        <v>180</v>
      </c>
      <c r="D634" s="20">
        <v>144</v>
      </c>
      <c r="E634" s="17" t="s">
        <v>547</v>
      </c>
      <c r="F634" s="19" t="s">
        <v>545</v>
      </c>
      <c r="G634" s="19" t="s">
        <v>502</v>
      </c>
      <c r="H634" s="19" t="s">
        <v>548</v>
      </c>
      <c r="I634" s="21"/>
      <c r="J634" s="21"/>
      <c r="K634" s="22">
        <v>14590.94</v>
      </c>
      <c r="L634" s="22">
        <v>19300</v>
      </c>
      <c r="M634" s="22">
        <v>23202</v>
      </c>
      <c r="N634" s="23">
        <v>-0.24399274611398999</v>
      </c>
      <c r="O634" s="23">
        <v>-0.371134384966813</v>
      </c>
      <c r="P634" s="21"/>
      <c r="Q634" s="22">
        <v>101.32597222222201</v>
      </c>
    </row>
    <row r="635" spans="1:17" ht="15" customHeight="1" x14ac:dyDescent="0.2">
      <c r="A635" s="26" t="s">
        <v>219</v>
      </c>
      <c r="B635" s="27" t="s">
        <v>148</v>
      </c>
      <c r="C635" s="27" t="s">
        <v>180</v>
      </c>
      <c r="D635" s="29">
        <v>398</v>
      </c>
      <c r="E635" s="26" t="s">
        <v>547</v>
      </c>
      <c r="F635" s="28" t="s">
        <v>545</v>
      </c>
      <c r="G635" s="28" t="s">
        <v>502</v>
      </c>
      <c r="H635" s="28" t="s">
        <v>548</v>
      </c>
      <c r="I635" s="30"/>
      <c r="J635" s="30"/>
      <c r="K635" s="31">
        <v>10306.120000000001</v>
      </c>
      <c r="L635" s="31">
        <v>38085</v>
      </c>
      <c r="M635" s="31">
        <v>40845</v>
      </c>
      <c r="N635" s="32">
        <v>-0.72939162399894997</v>
      </c>
      <c r="O635" s="32">
        <v>-0.74767731668502901</v>
      </c>
      <c r="P635" s="30"/>
      <c r="Q635" s="31">
        <v>25.8947738693467</v>
      </c>
    </row>
    <row r="636" spans="1:17" ht="15" customHeight="1" x14ac:dyDescent="0.2">
      <c r="A636" s="17" t="s">
        <v>224</v>
      </c>
      <c r="B636" s="18" t="s">
        <v>148</v>
      </c>
      <c r="C636" s="18" t="s">
        <v>180</v>
      </c>
      <c r="D636" s="20">
        <v>71</v>
      </c>
      <c r="E636" s="17" t="s">
        <v>547</v>
      </c>
      <c r="F636" s="19" t="s">
        <v>545</v>
      </c>
      <c r="G636" s="19" t="s">
        <v>502</v>
      </c>
      <c r="H636" s="19" t="s">
        <v>548</v>
      </c>
      <c r="I636" s="21"/>
      <c r="J636" s="21"/>
      <c r="K636" s="22">
        <v>7410.05</v>
      </c>
      <c r="L636" s="22">
        <v>7845</v>
      </c>
      <c r="M636" s="22">
        <v>12333</v>
      </c>
      <c r="N636" s="23">
        <v>-5.5442957297641801E-2</v>
      </c>
      <c r="O636" s="23">
        <v>-0.39916889645666098</v>
      </c>
      <c r="P636" s="21"/>
      <c r="Q636" s="22">
        <v>104.366901408451</v>
      </c>
    </row>
    <row r="637" spans="1:17" ht="15" customHeight="1" x14ac:dyDescent="0.2">
      <c r="A637" s="26" t="s">
        <v>230</v>
      </c>
      <c r="B637" s="27" t="s">
        <v>148</v>
      </c>
      <c r="C637" s="27" t="s">
        <v>180</v>
      </c>
      <c r="D637" s="29">
        <v>139</v>
      </c>
      <c r="E637" s="26" t="s">
        <v>547</v>
      </c>
      <c r="F637" s="28" t="s">
        <v>545</v>
      </c>
      <c r="G637" s="28" t="s">
        <v>502</v>
      </c>
      <c r="H637" s="28" t="s">
        <v>548</v>
      </c>
      <c r="I637" s="30"/>
      <c r="J637" s="30"/>
      <c r="K637" s="31">
        <v>25541.27</v>
      </c>
      <c r="L637" s="31">
        <v>35500</v>
      </c>
      <c r="M637" s="31">
        <v>42333</v>
      </c>
      <c r="N637" s="32">
        <v>-0.28052760563380302</v>
      </c>
      <c r="O637" s="32">
        <v>-0.39665816266269799</v>
      </c>
      <c r="P637" s="30"/>
      <c r="Q637" s="31">
        <v>183.750143884892</v>
      </c>
    </row>
    <row r="638" spans="1:17" ht="15" customHeight="1" x14ac:dyDescent="0.2">
      <c r="A638" s="17" t="s">
        <v>236</v>
      </c>
      <c r="B638" s="18" t="s">
        <v>148</v>
      </c>
      <c r="C638" s="18" t="s">
        <v>180</v>
      </c>
      <c r="D638" s="20">
        <v>128</v>
      </c>
      <c r="E638" s="17" t="s">
        <v>547</v>
      </c>
      <c r="F638" s="19" t="s">
        <v>545</v>
      </c>
      <c r="G638" s="19" t="s">
        <v>502</v>
      </c>
      <c r="H638" s="19" t="s">
        <v>548</v>
      </c>
      <c r="I638" s="21"/>
      <c r="J638" s="21"/>
      <c r="K638" s="22">
        <v>10119.25</v>
      </c>
      <c r="L638" s="22">
        <v>13950</v>
      </c>
      <c r="M638" s="22">
        <v>14603</v>
      </c>
      <c r="N638" s="23">
        <v>-0.27460573476702499</v>
      </c>
      <c r="O638" s="23">
        <v>-0.30704307334109399</v>
      </c>
      <c r="P638" s="21"/>
      <c r="Q638" s="22">
        <v>79.056640625</v>
      </c>
    </row>
    <row r="639" spans="1:17" ht="15" customHeight="1" x14ac:dyDescent="0.2">
      <c r="A639" s="26" t="s">
        <v>239</v>
      </c>
      <c r="B639" s="27" t="s">
        <v>148</v>
      </c>
      <c r="C639" s="27" t="s">
        <v>180</v>
      </c>
      <c r="D639" s="29">
        <v>92</v>
      </c>
      <c r="E639" s="26" t="s">
        <v>547</v>
      </c>
      <c r="F639" s="28" t="s">
        <v>545</v>
      </c>
      <c r="G639" s="28" t="s">
        <v>502</v>
      </c>
      <c r="H639" s="28" t="s">
        <v>548</v>
      </c>
      <c r="I639" s="30"/>
      <c r="J639" s="30"/>
      <c r="K639" s="31">
        <v>8289.11</v>
      </c>
      <c r="L639" s="31">
        <v>12700</v>
      </c>
      <c r="M639" s="31">
        <v>12700</v>
      </c>
      <c r="N639" s="32">
        <v>-0.34731417322834601</v>
      </c>
      <c r="O639" s="32">
        <v>-0.34731417322834601</v>
      </c>
      <c r="P639" s="30"/>
      <c r="Q639" s="31">
        <v>90.099021739130393</v>
      </c>
    </row>
    <row r="640" spans="1:17" ht="15" customHeight="1" x14ac:dyDescent="0.2">
      <c r="A640" s="17" t="s">
        <v>245</v>
      </c>
      <c r="B640" s="18" t="s">
        <v>148</v>
      </c>
      <c r="C640" s="18" t="s">
        <v>180</v>
      </c>
      <c r="D640" s="20">
        <v>31</v>
      </c>
      <c r="E640" s="17" t="s">
        <v>547</v>
      </c>
      <c r="F640" s="19" t="s">
        <v>545</v>
      </c>
      <c r="G640" s="19" t="s">
        <v>502</v>
      </c>
      <c r="H640" s="19" t="s">
        <v>548</v>
      </c>
      <c r="I640" s="21"/>
      <c r="J640" s="21"/>
      <c r="K640" s="22">
        <v>7669.29</v>
      </c>
      <c r="L640" s="22">
        <v>6300</v>
      </c>
      <c r="M640" s="22">
        <v>7778</v>
      </c>
      <c r="N640" s="23">
        <v>0.21734761904761901</v>
      </c>
      <c r="O640" s="23">
        <v>-1.3976600668552301E-2</v>
      </c>
      <c r="P640" s="21"/>
      <c r="Q640" s="22">
        <v>247.39645161290301</v>
      </c>
    </row>
    <row r="641" spans="1:17" ht="15" customHeight="1" x14ac:dyDescent="0.2">
      <c r="A641" s="26" t="s">
        <v>249</v>
      </c>
      <c r="B641" s="27" t="s">
        <v>148</v>
      </c>
      <c r="C641" s="27" t="s">
        <v>180</v>
      </c>
      <c r="D641" s="29">
        <v>122</v>
      </c>
      <c r="E641" s="26" t="s">
        <v>547</v>
      </c>
      <c r="F641" s="28" t="s">
        <v>545</v>
      </c>
      <c r="G641" s="28" t="s">
        <v>502</v>
      </c>
      <c r="H641" s="28" t="s">
        <v>548</v>
      </c>
      <c r="I641" s="30"/>
      <c r="J641" s="30"/>
      <c r="K641" s="31">
        <v>15243.5</v>
      </c>
      <c r="L641" s="31">
        <v>37500</v>
      </c>
      <c r="M641" s="31">
        <v>27000</v>
      </c>
      <c r="N641" s="32">
        <v>-0.59350666666666696</v>
      </c>
      <c r="O641" s="32">
        <v>-0.43542592592592599</v>
      </c>
      <c r="P641" s="30"/>
      <c r="Q641" s="31">
        <v>124.946721311475</v>
      </c>
    </row>
    <row r="642" spans="1:17" ht="15" customHeight="1" x14ac:dyDescent="0.2">
      <c r="A642" s="17" t="s">
        <v>254</v>
      </c>
      <c r="B642" s="18" t="s">
        <v>148</v>
      </c>
      <c r="C642" s="18" t="s">
        <v>180</v>
      </c>
      <c r="D642" s="20">
        <v>80</v>
      </c>
      <c r="E642" s="17" t="s">
        <v>547</v>
      </c>
      <c r="F642" s="19" t="s">
        <v>545</v>
      </c>
      <c r="G642" s="19" t="s">
        <v>502</v>
      </c>
      <c r="H642" s="19" t="s">
        <v>548</v>
      </c>
      <c r="I642" s="21"/>
      <c r="J642" s="21"/>
      <c r="K642" s="22">
        <v>11448.44</v>
      </c>
      <c r="L642" s="22">
        <v>26470</v>
      </c>
      <c r="M642" s="22">
        <v>26903</v>
      </c>
      <c r="N642" s="23">
        <v>-0.56749376652814498</v>
      </c>
      <c r="O642" s="23">
        <v>-0.57445489350629997</v>
      </c>
      <c r="P642" s="21"/>
      <c r="Q642" s="22">
        <v>143.10550000000001</v>
      </c>
    </row>
    <row r="643" spans="1:17" ht="15" customHeight="1" x14ac:dyDescent="0.2">
      <c r="A643" s="26" t="s">
        <v>263</v>
      </c>
      <c r="B643" s="27" t="s">
        <v>148</v>
      </c>
      <c r="C643" s="27" t="s">
        <v>180</v>
      </c>
      <c r="D643" s="29">
        <v>55</v>
      </c>
      <c r="E643" s="26" t="s">
        <v>547</v>
      </c>
      <c r="F643" s="28" t="s">
        <v>545</v>
      </c>
      <c r="G643" s="28" t="s">
        <v>502</v>
      </c>
      <c r="H643" s="28" t="s">
        <v>548</v>
      </c>
      <c r="I643" s="30"/>
      <c r="J643" s="30"/>
      <c r="K643" s="31">
        <v>2062.2600000000002</v>
      </c>
      <c r="L643" s="31">
        <v>11800</v>
      </c>
      <c r="M643" s="31">
        <v>11800</v>
      </c>
      <c r="N643" s="32">
        <v>-0.82523220338983105</v>
      </c>
      <c r="O643" s="32">
        <v>-0.82523220338983105</v>
      </c>
      <c r="P643" s="30"/>
      <c r="Q643" s="31">
        <v>37.4956363636364</v>
      </c>
    </row>
    <row r="644" spans="1:17" ht="15" customHeight="1" x14ac:dyDescent="0.2">
      <c r="A644" s="17" t="s">
        <v>266</v>
      </c>
      <c r="B644" s="18" t="s">
        <v>148</v>
      </c>
      <c r="C644" s="18" t="s">
        <v>267</v>
      </c>
      <c r="D644" s="20">
        <v>108</v>
      </c>
      <c r="E644" s="17" t="s">
        <v>547</v>
      </c>
      <c r="F644" s="19" t="s">
        <v>545</v>
      </c>
      <c r="G644" s="19" t="s">
        <v>502</v>
      </c>
      <c r="H644" s="19" t="s">
        <v>548</v>
      </c>
      <c r="I644" s="21"/>
      <c r="J644" s="21"/>
      <c r="K644" s="22">
        <v>6296.57</v>
      </c>
      <c r="L644" s="22">
        <v>9540</v>
      </c>
      <c r="M644" s="22">
        <v>14690</v>
      </c>
      <c r="N644" s="23">
        <v>-0.33998218029350102</v>
      </c>
      <c r="O644" s="23">
        <v>-0.57137031994554099</v>
      </c>
      <c r="P644" s="21"/>
      <c r="Q644" s="22">
        <v>58.301574074074097</v>
      </c>
    </row>
    <row r="645" spans="1:17" ht="15" customHeight="1" x14ac:dyDescent="0.2">
      <c r="A645" s="26" t="s">
        <v>270</v>
      </c>
      <c r="B645" s="27" t="s">
        <v>148</v>
      </c>
      <c r="C645" s="27" t="s">
        <v>267</v>
      </c>
      <c r="D645" s="29">
        <v>75</v>
      </c>
      <c r="E645" s="26" t="s">
        <v>547</v>
      </c>
      <c r="F645" s="28" t="s">
        <v>545</v>
      </c>
      <c r="G645" s="28" t="s">
        <v>502</v>
      </c>
      <c r="H645" s="28" t="s">
        <v>548</v>
      </c>
      <c r="I645" s="30"/>
      <c r="J645" s="30"/>
      <c r="K645" s="31">
        <v>5226.84</v>
      </c>
      <c r="L645" s="31">
        <v>15383</v>
      </c>
      <c r="M645" s="31">
        <v>15383</v>
      </c>
      <c r="N645" s="32">
        <v>-0.66021972307092303</v>
      </c>
      <c r="O645" s="32">
        <v>-0.66021972307092303</v>
      </c>
      <c r="P645" s="30"/>
      <c r="Q645" s="31">
        <v>69.691199999999995</v>
      </c>
    </row>
    <row r="646" spans="1:17" ht="15" customHeight="1" x14ac:dyDescent="0.2">
      <c r="A646" s="17" t="s">
        <v>272</v>
      </c>
      <c r="B646" s="18" t="s">
        <v>148</v>
      </c>
      <c r="C646" s="18" t="s">
        <v>267</v>
      </c>
      <c r="D646" s="20">
        <v>89</v>
      </c>
      <c r="E646" s="17" t="s">
        <v>547</v>
      </c>
      <c r="F646" s="19" t="s">
        <v>545</v>
      </c>
      <c r="G646" s="19" t="s">
        <v>502</v>
      </c>
      <c r="H646" s="19" t="s">
        <v>548</v>
      </c>
      <c r="I646" s="21"/>
      <c r="J646" s="21"/>
      <c r="K646" s="22">
        <v>11843.79</v>
      </c>
      <c r="L646" s="22">
        <v>33850</v>
      </c>
      <c r="M646" s="22">
        <v>34823</v>
      </c>
      <c r="N646" s="23">
        <v>-0.65010960118168404</v>
      </c>
      <c r="O646" s="23">
        <v>-0.65988599488843602</v>
      </c>
      <c r="P646" s="21"/>
      <c r="Q646" s="22">
        <v>133.07629213483199</v>
      </c>
    </row>
    <row r="647" spans="1:17" ht="15" customHeight="1" x14ac:dyDescent="0.2">
      <c r="A647" s="26" t="s">
        <v>275</v>
      </c>
      <c r="B647" s="27" t="s">
        <v>148</v>
      </c>
      <c r="C647" s="27" t="s">
        <v>267</v>
      </c>
      <c r="D647" s="29">
        <v>78</v>
      </c>
      <c r="E647" s="26" t="s">
        <v>547</v>
      </c>
      <c r="F647" s="28" t="s">
        <v>545</v>
      </c>
      <c r="G647" s="28" t="s">
        <v>502</v>
      </c>
      <c r="H647" s="28" t="s">
        <v>548</v>
      </c>
      <c r="I647" s="30"/>
      <c r="J647" s="30"/>
      <c r="K647" s="31">
        <v>1317.75</v>
      </c>
      <c r="L647" s="31">
        <v>16585</v>
      </c>
      <c r="M647" s="31">
        <v>16585</v>
      </c>
      <c r="N647" s="32">
        <v>-0.92054567380162799</v>
      </c>
      <c r="O647" s="32">
        <v>-0.92054567380162799</v>
      </c>
      <c r="P647" s="30"/>
      <c r="Q647" s="31">
        <v>16.894230769230798</v>
      </c>
    </row>
    <row r="648" spans="1:17" ht="15" customHeight="1" x14ac:dyDescent="0.2">
      <c r="A648" s="17" t="s">
        <v>277</v>
      </c>
      <c r="B648" s="18" t="s">
        <v>148</v>
      </c>
      <c r="C648" s="18" t="s">
        <v>267</v>
      </c>
      <c r="D648" s="20">
        <v>158</v>
      </c>
      <c r="E648" s="17" t="s">
        <v>547</v>
      </c>
      <c r="F648" s="19" t="s">
        <v>545</v>
      </c>
      <c r="G648" s="19" t="s">
        <v>502</v>
      </c>
      <c r="H648" s="19" t="s">
        <v>548</v>
      </c>
      <c r="I648" s="21"/>
      <c r="J648" s="21"/>
      <c r="K648" s="22">
        <v>14535.79</v>
      </c>
      <c r="L648" s="22">
        <v>15530</v>
      </c>
      <c r="M648" s="22">
        <v>29830</v>
      </c>
      <c r="N648" s="23">
        <v>-6.4018673535093301E-2</v>
      </c>
      <c r="O648" s="23">
        <v>-0.51271237009721804</v>
      </c>
      <c r="P648" s="21"/>
      <c r="Q648" s="22">
        <v>91.998670886075999</v>
      </c>
    </row>
    <row r="649" spans="1:17" ht="15" customHeight="1" x14ac:dyDescent="0.2">
      <c r="A649" s="26" t="s">
        <v>280</v>
      </c>
      <c r="B649" s="27" t="s">
        <v>148</v>
      </c>
      <c r="C649" s="27" t="s">
        <v>267</v>
      </c>
      <c r="D649" s="29">
        <v>110</v>
      </c>
      <c r="E649" s="26" t="s">
        <v>547</v>
      </c>
      <c r="F649" s="28" t="s">
        <v>545</v>
      </c>
      <c r="G649" s="28" t="s">
        <v>502</v>
      </c>
      <c r="H649" s="28" t="s">
        <v>548</v>
      </c>
      <c r="I649" s="30"/>
      <c r="J649" s="30"/>
      <c r="K649" s="31">
        <v>3400.09</v>
      </c>
      <c r="L649" s="31">
        <v>10575</v>
      </c>
      <c r="M649" s="31">
        <v>10900</v>
      </c>
      <c r="N649" s="32">
        <v>-0.67847848699763602</v>
      </c>
      <c r="O649" s="32">
        <v>-0.68806513761467902</v>
      </c>
      <c r="P649" s="30"/>
      <c r="Q649" s="31">
        <v>30.9099090909091</v>
      </c>
    </row>
    <row r="650" spans="1:17" ht="15" customHeight="1" x14ac:dyDescent="0.2">
      <c r="A650" s="17" t="s">
        <v>285</v>
      </c>
      <c r="B650" s="18" t="s">
        <v>148</v>
      </c>
      <c r="C650" s="18" t="s">
        <v>267</v>
      </c>
      <c r="D650" s="20">
        <v>296</v>
      </c>
      <c r="E650" s="17" t="s">
        <v>547</v>
      </c>
      <c r="F650" s="19" t="s">
        <v>545</v>
      </c>
      <c r="G650" s="19" t="s">
        <v>502</v>
      </c>
      <c r="H650" s="19" t="s">
        <v>548</v>
      </c>
      <c r="I650" s="21"/>
      <c r="J650" s="21"/>
      <c r="K650" s="22">
        <v>3633.46</v>
      </c>
      <c r="L650" s="22">
        <v>2600</v>
      </c>
      <c r="M650" s="22">
        <v>8465</v>
      </c>
      <c r="N650" s="23">
        <v>0.39748461538461499</v>
      </c>
      <c r="O650" s="23">
        <v>-0.57076668635558203</v>
      </c>
      <c r="P650" s="21"/>
      <c r="Q650" s="22">
        <v>12.2752027027027</v>
      </c>
    </row>
    <row r="651" spans="1:17" ht="15" customHeight="1" x14ac:dyDescent="0.2">
      <c r="A651" s="26" t="s">
        <v>286</v>
      </c>
      <c r="B651" s="27" t="s">
        <v>148</v>
      </c>
      <c r="C651" s="27" t="s">
        <v>267</v>
      </c>
      <c r="D651" s="29">
        <v>50</v>
      </c>
      <c r="E651" s="26" t="s">
        <v>547</v>
      </c>
      <c r="F651" s="28" t="s">
        <v>545</v>
      </c>
      <c r="G651" s="28" t="s">
        <v>502</v>
      </c>
      <c r="H651" s="28" t="s">
        <v>548</v>
      </c>
      <c r="I651" s="30"/>
      <c r="J651" s="30"/>
      <c r="K651" s="31">
        <v>2906.23</v>
      </c>
      <c r="L651" s="31">
        <v>8700</v>
      </c>
      <c r="M651" s="31">
        <v>10253</v>
      </c>
      <c r="N651" s="32">
        <v>-0.66595057471264396</v>
      </c>
      <c r="O651" s="32">
        <v>-0.716548327318834</v>
      </c>
      <c r="P651" s="30"/>
      <c r="Q651" s="31">
        <v>58.124600000000001</v>
      </c>
    </row>
    <row r="652" spans="1:17" ht="15" customHeight="1" x14ac:dyDescent="0.2">
      <c r="A652" s="17" t="s">
        <v>287</v>
      </c>
      <c r="B652" s="18" t="s">
        <v>148</v>
      </c>
      <c r="C652" s="18" t="s">
        <v>267</v>
      </c>
      <c r="D652" s="20">
        <v>163</v>
      </c>
      <c r="E652" s="17" t="s">
        <v>547</v>
      </c>
      <c r="F652" s="19" t="s">
        <v>545</v>
      </c>
      <c r="G652" s="19" t="s">
        <v>502</v>
      </c>
      <c r="H652" s="19" t="s">
        <v>548</v>
      </c>
      <c r="I652" s="21"/>
      <c r="J652" s="21"/>
      <c r="K652" s="22">
        <v>9764.7999999999993</v>
      </c>
      <c r="L652" s="22">
        <v>13000</v>
      </c>
      <c r="M652" s="22">
        <v>10100</v>
      </c>
      <c r="N652" s="23">
        <v>-0.24886153846153899</v>
      </c>
      <c r="O652" s="23">
        <v>-3.3188118811881301E-2</v>
      </c>
      <c r="P652" s="21"/>
      <c r="Q652" s="22">
        <v>59.906748466257703</v>
      </c>
    </row>
    <row r="653" spans="1:17" ht="15" customHeight="1" x14ac:dyDescent="0.2">
      <c r="A653" s="26" t="s">
        <v>289</v>
      </c>
      <c r="B653" s="27" t="s">
        <v>148</v>
      </c>
      <c r="C653" s="27" t="s">
        <v>267</v>
      </c>
      <c r="D653" s="29">
        <v>107</v>
      </c>
      <c r="E653" s="26" t="s">
        <v>547</v>
      </c>
      <c r="F653" s="28" t="s">
        <v>545</v>
      </c>
      <c r="G653" s="28" t="s">
        <v>502</v>
      </c>
      <c r="H653" s="28" t="s">
        <v>548</v>
      </c>
      <c r="I653" s="30"/>
      <c r="J653" s="30"/>
      <c r="K653" s="31">
        <v>13998.46</v>
      </c>
      <c r="L653" s="31">
        <v>20325</v>
      </c>
      <c r="M653" s="31">
        <v>20325</v>
      </c>
      <c r="N653" s="32">
        <v>-0.31126888068880698</v>
      </c>
      <c r="O653" s="32">
        <v>-0.31126888068880698</v>
      </c>
      <c r="P653" s="30"/>
      <c r="Q653" s="31">
        <v>130.82672897196301</v>
      </c>
    </row>
    <row r="654" spans="1:17" ht="15" customHeight="1" x14ac:dyDescent="0.2">
      <c r="A654" s="17" t="s">
        <v>292</v>
      </c>
      <c r="B654" s="18" t="s">
        <v>148</v>
      </c>
      <c r="C654" s="18" t="s">
        <v>267</v>
      </c>
      <c r="D654" s="20">
        <v>136</v>
      </c>
      <c r="E654" s="17" t="s">
        <v>547</v>
      </c>
      <c r="F654" s="19" t="s">
        <v>545</v>
      </c>
      <c r="G654" s="19" t="s">
        <v>502</v>
      </c>
      <c r="H654" s="19" t="s">
        <v>548</v>
      </c>
      <c r="I654" s="21"/>
      <c r="J654" s="21"/>
      <c r="K654" s="22">
        <v>8316.84</v>
      </c>
      <c r="L654" s="22">
        <v>10664</v>
      </c>
      <c r="M654" s="22">
        <v>13531</v>
      </c>
      <c r="N654" s="23">
        <v>-0.22010127531883</v>
      </c>
      <c r="O654" s="23">
        <v>-0.38534919813760998</v>
      </c>
      <c r="P654" s="21"/>
      <c r="Q654" s="22">
        <v>61.1532352941177</v>
      </c>
    </row>
    <row r="655" spans="1:17" ht="15" customHeight="1" x14ac:dyDescent="0.2">
      <c r="A655" s="26" t="s">
        <v>295</v>
      </c>
      <c r="B655" s="27" t="s">
        <v>148</v>
      </c>
      <c r="C655" s="27" t="s">
        <v>267</v>
      </c>
      <c r="D655" s="29">
        <v>68</v>
      </c>
      <c r="E655" s="26" t="s">
        <v>547</v>
      </c>
      <c r="F655" s="28" t="s">
        <v>545</v>
      </c>
      <c r="G655" s="28" t="s">
        <v>502</v>
      </c>
      <c r="H655" s="28" t="s">
        <v>548</v>
      </c>
      <c r="I655" s="30"/>
      <c r="J655" s="30"/>
      <c r="K655" s="31">
        <v>3063.5</v>
      </c>
      <c r="L655" s="31">
        <v>10925</v>
      </c>
      <c r="M655" s="31">
        <v>11575</v>
      </c>
      <c r="N655" s="32">
        <v>-0.71958810068649903</v>
      </c>
      <c r="O655" s="32">
        <v>-0.735334773218143</v>
      </c>
      <c r="P655" s="30"/>
      <c r="Q655" s="31">
        <v>45.051470588235297</v>
      </c>
    </row>
    <row r="656" spans="1:17" ht="15" customHeight="1" x14ac:dyDescent="0.2">
      <c r="A656" s="17" t="s">
        <v>298</v>
      </c>
      <c r="B656" s="18" t="s">
        <v>148</v>
      </c>
      <c r="C656" s="18" t="s">
        <v>267</v>
      </c>
      <c r="D656" s="20">
        <v>98</v>
      </c>
      <c r="E656" s="17" t="s">
        <v>547</v>
      </c>
      <c r="F656" s="19" t="s">
        <v>545</v>
      </c>
      <c r="G656" s="19" t="s">
        <v>502</v>
      </c>
      <c r="H656" s="19" t="s">
        <v>548</v>
      </c>
      <c r="I656" s="21"/>
      <c r="J656" s="21"/>
      <c r="K656" s="22">
        <v>5959.91</v>
      </c>
      <c r="L656" s="22">
        <v>6825</v>
      </c>
      <c r="M656" s="22">
        <v>6825</v>
      </c>
      <c r="N656" s="23">
        <v>-0.126753113553114</v>
      </c>
      <c r="O656" s="23">
        <v>-0.126753113553114</v>
      </c>
      <c r="P656" s="21"/>
      <c r="Q656" s="22">
        <v>60.815408163265303</v>
      </c>
    </row>
    <row r="657" spans="1:17" ht="15" customHeight="1" x14ac:dyDescent="0.2">
      <c r="A657" s="26" t="s">
        <v>300</v>
      </c>
      <c r="B657" s="27" t="s">
        <v>148</v>
      </c>
      <c r="C657" s="27" t="s">
        <v>267</v>
      </c>
      <c r="D657" s="29">
        <v>321</v>
      </c>
      <c r="E657" s="26" t="s">
        <v>547</v>
      </c>
      <c r="F657" s="28" t="s">
        <v>545</v>
      </c>
      <c r="G657" s="28" t="s">
        <v>502</v>
      </c>
      <c r="H657" s="28" t="s">
        <v>548</v>
      </c>
      <c r="I657" s="30"/>
      <c r="J657" s="30"/>
      <c r="K657" s="31">
        <v>31760.07</v>
      </c>
      <c r="L657" s="31">
        <v>57667</v>
      </c>
      <c r="M657" s="31">
        <v>59247</v>
      </c>
      <c r="N657" s="32">
        <v>-0.449250524563442</v>
      </c>
      <c r="O657" s="32">
        <v>-0.463937920907388</v>
      </c>
      <c r="P657" s="30"/>
      <c r="Q657" s="31">
        <v>98.941028037383205</v>
      </c>
    </row>
    <row r="658" spans="1:17" ht="15" customHeight="1" x14ac:dyDescent="0.2">
      <c r="A658" s="17" t="s">
        <v>302</v>
      </c>
      <c r="B658" s="18" t="s">
        <v>148</v>
      </c>
      <c r="C658" s="18" t="s">
        <v>267</v>
      </c>
      <c r="D658" s="20">
        <v>111</v>
      </c>
      <c r="E658" s="17" t="s">
        <v>547</v>
      </c>
      <c r="F658" s="19" t="s">
        <v>545</v>
      </c>
      <c r="G658" s="19" t="s">
        <v>502</v>
      </c>
      <c r="H658" s="19" t="s">
        <v>548</v>
      </c>
      <c r="I658" s="21"/>
      <c r="J658" s="21"/>
      <c r="K658" s="22">
        <v>648.12</v>
      </c>
      <c r="L658" s="22">
        <v>9500</v>
      </c>
      <c r="M658" s="22">
        <v>9500</v>
      </c>
      <c r="N658" s="23">
        <v>-0.93177684210526301</v>
      </c>
      <c r="O658" s="23">
        <v>-0.93177684210526301</v>
      </c>
      <c r="P658" s="21"/>
      <c r="Q658" s="22">
        <v>5.8389189189189201</v>
      </c>
    </row>
    <row r="659" spans="1:17" ht="15" customHeight="1" x14ac:dyDescent="0.2">
      <c r="A659" s="26" t="s">
        <v>304</v>
      </c>
      <c r="B659" s="27" t="s">
        <v>148</v>
      </c>
      <c r="C659" s="27" t="s">
        <v>267</v>
      </c>
      <c r="D659" s="29">
        <v>77</v>
      </c>
      <c r="E659" s="26" t="s">
        <v>547</v>
      </c>
      <c r="F659" s="28" t="s">
        <v>545</v>
      </c>
      <c r="G659" s="28" t="s">
        <v>502</v>
      </c>
      <c r="H659" s="28" t="s">
        <v>548</v>
      </c>
      <c r="I659" s="30"/>
      <c r="J659" s="30"/>
      <c r="K659" s="31">
        <v>2678.61</v>
      </c>
      <c r="L659" s="31">
        <v>2880</v>
      </c>
      <c r="M659" s="31">
        <v>3580</v>
      </c>
      <c r="N659" s="32">
        <v>-6.9927083333333306E-2</v>
      </c>
      <c r="O659" s="32">
        <v>-0.25178491620111698</v>
      </c>
      <c r="P659" s="30"/>
      <c r="Q659" s="31">
        <v>34.787142857142904</v>
      </c>
    </row>
    <row r="660" spans="1:17" ht="15" customHeight="1" x14ac:dyDescent="0.2">
      <c r="A660" s="17" t="s">
        <v>306</v>
      </c>
      <c r="B660" s="18" t="s">
        <v>148</v>
      </c>
      <c r="C660" s="18" t="s">
        <v>267</v>
      </c>
      <c r="D660" s="20">
        <v>365</v>
      </c>
      <c r="E660" s="17" t="s">
        <v>547</v>
      </c>
      <c r="F660" s="19" t="s">
        <v>545</v>
      </c>
      <c r="G660" s="19" t="s">
        <v>502</v>
      </c>
      <c r="H660" s="19" t="s">
        <v>548</v>
      </c>
      <c r="I660" s="21"/>
      <c r="J660" s="21"/>
      <c r="K660" s="22">
        <v>26908.83</v>
      </c>
      <c r="L660" s="22">
        <v>63600</v>
      </c>
      <c r="M660" s="22">
        <v>63800</v>
      </c>
      <c r="N660" s="23">
        <v>-0.57690518867924501</v>
      </c>
      <c r="O660" s="23">
        <v>-0.57823150470219398</v>
      </c>
      <c r="P660" s="21"/>
      <c r="Q660" s="22">
        <v>73.722821917808204</v>
      </c>
    </row>
    <row r="661" spans="1:17" ht="15" customHeight="1" x14ac:dyDescent="0.2">
      <c r="A661" s="26" t="s">
        <v>309</v>
      </c>
      <c r="B661" s="27" t="s">
        <v>148</v>
      </c>
      <c r="C661" s="27" t="s">
        <v>267</v>
      </c>
      <c r="D661" s="29">
        <v>270</v>
      </c>
      <c r="E661" s="26" t="s">
        <v>547</v>
      </c>
      <c r="F661" s="28" t="s">
        <v>545</v>
      </c>
      <c r="G661" s="28" t="s">
        <v>502</v>
      </c>
      <c r="H661" s="28" t="s">
        <v>548</v>
      </c>
      <c r="I661" s="30"/>
      <c r="J661" s="30"/>
      <c r="K661" s="31">
        <v>26001.45</v>
      </c>
      <c r="L661" s="31">
        <v>50000</v>
      </c>
      <c r="M661" s="31">
        <v>50750</v>
      </c>
      <c r="N661" s="32">
        <v>-0.47997099999999998</v>
      </c>
      <c r="O661" s="32">
        <v>-0.48765615763546799</v>
      </c>
      <c r="P661" s="30"/>
      <c r="Q661" s="31">
        <v>96.301666666666705</v>
      </c>
    </row>
    <row r="662" spans="1:17" ht="15" customHeight="1" x14ac:dyDescent="0.2">
      <c r="A662" s="35" t="s">
        <v>312</v>
      </c>
      <c r="B662" s="36" t="s">
        <v>313</v>
      </c>
      <c r="C662" s="36" t="s">
        <v>267</v>
      </c>
      <c r="D662" s="38">
        <v>170</v>
      </c>
      <c r="E662" s="35" t="s">
        <v>547</v>
      </c>
      <c r="F662" s="37" t="s">
        <v>545</v>
      </c>
      <c r="G662" s="37" t="s">
        <v>502</v>
      </c>
      <c r="H662" s="37" t="s">
        <v>548</v>
      </c>
      <c r="I662" s="39">
        <v>310</v>
      </c>
      <c r="J662" s="39"/>
      <c r="K662" s="40">
        <v>101624.25</v>
      </c>
      <c r="L662" s="40">
        <v>85150</v>
      </c>
      <c r="M662" s="40">
        <v>85650</v>
      </c>
      <c r="N662" s="41">
        <v>0.193473282442748</v>
      </c>
      <c r="O662" s="41">
        <v>0.18650612959719801</v>
      </c>
      <c r="P662" s="39">
        <v>1.8235294117647101</v>
      </c>
      <c r="Q662" s="40">
        <v>597.78970588235302</v>
      </c>
    </row>
    <row r="663" spans="1:17" ht="15" customHeight="1" x14ac:dyDescent="0.2">
      <c r="A663" s="35" t="s">
        <v>316</v>
      </c>
      <c r="B663" s="36" t="s">
        <v>313</v>
      </c>
      <c r="C663" s="36" t="s">
        <v>267</v>
      </c>
      <c r="D663" s="38">
        <v>234</v>
      </c>
      <c r="E663" s="35" t="s">
        <v>547</v>
      </c>
      <c r="F663" s="37" t="s">
        <v>545</v>
      </c>
      <c r="G663" s="37" t="s">
        <v>502</v>
      </c>
      <c r="H663" s="37" t="s">
        <v>548</v>
      </c>
      <c r="I663" s="39">
        <v>152</v>
      </c>
      <c r="J663" s="39"/>
      <c r="K663" s="40">
        <v>49664.33</v>
      </c>
      <c r="L663" s="40">
        <v>64300</v>
      </c>
      <c r="M663" s="40">
        <v>75460</v>
      </c>
      <c r="N663" s="41">
        <v>-0.22761539657853799</v>
      </c>
      <c r="O663" s="41">
        <v>-0.34184561357010301</v>
      </c>
      <c r="P663" s="39">
        <v>0.64957264957265004</v>
      </c>
      <c r="Q663" s="40">
        <v>212.24072649572699</v>
      </c>
    </row>
    <row r="664" spans="1:17" ht="15" customHeight="1" x14ac:dyDescent="0.2">
      <c r="A664" s="35" t="s">
        <v>319</v>
      </c>
      <c r="B664" s="36" t="s">
        <v>313</v>
      </c>
      <c r="C664" s="36" t="s">
        <v>267</v>
      </c>
      <c r="D664" s="38">
        <v>24</v>
      </c>
      <c r="E664" s="35" t="s">
        <v>547</v>
      </c>
      <c r="F664" s="37" t="s">
        <v>545</v>
      </c>
      <c r="G664" s="37" t="s">
        <v>502</v>
      </c>
      <c r="H664" s="37" t="s">
        <v>548</v>
      </c>
      <c r="I664" s="39"/>
      <c r="J664" s="39"/>
      <c r="K664" s="40">
        <v>4029.94</v>
      </c>
      <c r="L664" s="40">
        <v>8500</v>
      </c>
      <c r="M664" s="40">
        <v>8500</v>
      </c>
      <c r="N664" s="41">
        <v>-0.52588941176470605</v>
      </c>
      <c r="O664" s="41">
        <v>-0.52588941176470605</v>
      </c>
      <c r="P664" s="39"/>
      <c r="Q664" s="40">
        <v>167.914166666667</v>
      </c>
    </row>
    <row r="665" spans="1:17" ht="15" customHeight="1" x14ac:dyDescent="0.2">
      <c r="A665" s="35" t="s">
        <v>327</v>
      </c>
      <c r="B665" s="36" t="s">
        <v>313</v>
      </c>
      <c r="C665" s="36" t="s">
        <v>267</v>
      </c>
      <c r="D665" s="38">
        <v>244</v>
      </c>
      <c r="E665" s="35" t="s">
        <v>547</v>
      </c>
      <c r="F665" s="37" t="s">
        <v>545</v>
      </c>
      <c r="G665" s="37" t="s">
        <v>502</v>
      </c>
      <c r="H665" s="37" t="s">
        <v>548</v>
      </c>
      <c r="I665" s="39"/>
      <c r="J665" s="39"/>
      <c r="K665" s="40">
        <v>13857.07</v>
      </c>
      <c r="L665" s="40">
        <v>28700</v>
      </c>
      <c r="M665" s="40">
        <v>29000</v>
      </c>
      <c r="N665" s="41">
        <v>-0.51717526132404201</v>
      </c>
      <c r="O665" s="41">
        <v>-0.52217000000000002</v>
      </c>
      <c r="P665" s="39"/>
      <c r="Q665" s="40">
        <v>56.791270491803303</v>
      </c>
    </row>
    <row r="666" spans="1:17" ht="15" customHeight="1" x14ac:dyDescent="0.2">
      <c r="A666" s="35" t="s">
        <v>329</v>
      </c>
      <c r="B666" s="36" t="s">
        <v>313</v>
      </c>
      <c r="C666" s="36" t="s">
        <v>330</v>
      </c>
      <c r="D666" s="38">
        <v>186</v>
      </c>
      <c r="E666" s="35" t="s">
        <v>547</v>
      </c>
      <c r="F666" s="37" t="s">
        <v>545</v>
      </c>
      <c r="G666" s="37" t="s">
        <v>502</v>
      </c>
      <c r="H666" s="37" t="s">
        <v>548</v>
      </c>
      <c r="I666" s="39"/>
      <c r="J666" s="39"/>
      <c r="K666" s="40">
        <v>28949.16</v>
      </c>
      <c r="L666" s="40">
        <v>62600</v>
      </c>
      <c r="M666" s="40">
        <v>67600</v>
      </c>
      <c r="N666" s="41">
        <v>-0.53755335463258802</v>
      </c>
      <c r="O666" s="41">
        <v>-0.57175798816568102</v>
      </c>
      <c r="P666" s="39"/>
      <c r="Q666" s="40">
        <v>155.64064516129</v>
      </c>
    </row>
    <row r="667" spans="1:17" ht="15" customHeight="1" x14ac:dyDescent="0.2">
      <c r="A667" s="35" t="s">
        <v>334</v>
      </c>
      <c r="B667" s="36" t="s">
        <v>313</v>
      </c>
      <c r="C667" s="36" t="s">
        <v>330</v>
      </c>
      <c r="D667" s="38">
        <v>20</v>
      </c>
      <c r="E667" s="35" t="s">
        <v>547</v>
      </c>
      <c r="F667" s="37" t="s">
        <v>545</v>
      </c>
      <c r="G667" s="37" t="s">
        <v>502</v>
      </c>
      <c r="H667" s="37" t="s">
        <v>548</v>
      </c>
      <c r="I667" s="39"/>
      <c r="J667" s="39"/>
      <c r="K667" s="40">
        <v>4486.5200000000004</v>
      </c>
      <c r="L667" s="40">
        <v>5850</v>
      </c>
      <c r="M667" s="40">
        <v>5850</v>
      </c>
      <c r="N667" s="41">
        <v>-0.23307350427350401</v>
      </c>
      <c r="O667" s="41">
        <v>-0.23307350427350401</v>
      </c>
      <c r="P667" s="39"/>
      <c r="Q667" s="40">
        <v>224.32599999999999</v>
      </c>
    </row>
    <row r="668" spans="1:17" ht="15" customHeight="1" x14ac:dyDescent="0.2">
      <c r="A668" s="17" t="s">
        <v>147</v>
      </c>
      <c r="B668" s="18" t="s">
        <v>148</v>
      </c>
      <c r="C668" s="18" t="s">
        <v>149</v>
      </c>
      <c r="D668" s="20">
        <v>234</v>
      </c>
      <c r="E668" s="17" t="s">
        <v>549</v>
      </c>
      <c r="F668" s="19" t="s">
        <v>545</v>
      </c>
      <c r="G668" s="19" t="s">
        <v>502</v>
      </c>
      <c r="H668" s="19" t="s">
        <v>550</v>
      </c>
      <c r="I668" s="21"/>
      <c r="J668" s="21"/>
      <c r="K668" s="22">
        <v>36037.82</v>
      </c>
      <c r="L668" s="22">
        <v>35055</v>
      </c>
      <c r="M668" s="22">
        <v>35055</v>
      </c>
      <c r="N668" s="23">
        <v>2.8036514049351001E-2</v>
      </c>
      <c r="O668" s="23">
        <v>2.8036514049351001E-2</v>
      </c>
      <c r="P668" s="21"/>
      <c r="Q668" s="22">
        <v>154.00777777777799</v>
      </c>
    </row>
    <row r="669" spans="1:17" ht="15" customHeight="1" x14ac:dyDescent="0.2">
      <c r="A669" s="26" t="s">
        <v>152</v>
      </c>
      <c r="B669" s="27" t="s">
        <v>148</v>
      </c>
      <c r="C669" s="27" t="s">
        <v>149</v>
      </c>
      <c r="D669" s="29">
        <v>258</v>
      </c>
      <c r="E669" s="26" t="s">
        <v>549</v>
      </c>
      <c r="F669" s="28" t="s">
        <v>545</v>
      </c>
      <c r="G669" s="28" t="s">
        <v>502</v>
      </c>
      <c r="H669" s="28" t="s">
        <v>550</v>
      </c>
      <c r="I669" s="30"/>
      <c r="J669" s="30"/>
      <c r="K669" s="31">
        <v>15831.2</v>
      </c>
      <c r="L669" s="31">
        <v>33750</v>
      </c>
      <c r="M669" s="31">
        <v>33750</v>
      </c>
      <c r="N669" s="32">
        <v>-0.53092740740740696</v>
      </c>
      <c r="O669" s="32">
        <v>-0.53092740740740696</v>
      </c>
      <c r="P669" s="30"/>
      <c r="Q669" s="31">
        <v>61.361240310077498</v>
      </c>
    </row>
    <row r="670" spans="1:17" ht="15" customHeight="1" x14ac:dyDescent="0.2">
      <c r="A670" s="17" t="s">
        <v>154</v>
      </c>
      <c r="B670" s="18" t="s">
        <v>148</v>
      </c>
      <c r="C670" s="18" t="s">
        <v>149</v>
      </c>
      <c r="D670" s="20">
        <v>56</v>
      </c>
      <c r="E670" s="17" t="s">
        <v>549</v>
      </c>
      <c r="F670" s="19" t="s">
        <v>545</v>
      </c>
      <c r="G670" s="19" t="s">
        <v>502</v>
      </c>
      <c r="H670" s="19" t="s">
        <v>550</v>
      </c>
      <c r="I670" s="21"/>
      <c r="J670" s="21"/>
      <c r="K670" s="22">
        <v>3972.94</v>
      </c>
      <c r="L670" s="22">
        <v>10570</v>
      </c>
      <c r="M670" s="22">
        <v>10570</v>
      </c>
      <c r="N670" s="23">
        <v>-0.62413055818353802</v>
      </c>
      <c r="O670" s="23">
        <v>-0.62413055818353802</v>
      </c>
      <c r="P670" s="21"/>
      <c r="Q670" s="22">
        <v>70.945357142857205</v>
      </c>
    </row>
    <row r="671" spans="1:17" ht="15" customHeight="1" x14ac:dyDescent="0.2">
      <c r="A671" s="26" t="s">
        <v>157</v>
      </c>
      <c r="B671" s="27" t="s">
        <v>148</v>
      </c>
      <c r="C671" s="27" t="s">
        <v>149</v>
      </c>
      <c r="D671" s="29">
        <v>149</v>
      </c>
      <c r="E671" s="26" t="s">
        <v>549</v>
      </c>
      <c r="F671" s="28" t="s">
        <v>545</v>
      </c>
      <c r="G671" s="28" t="s">
        <v>502</v>
      </c>
      <c r="H671" s="28" t="s">
        <v>550</v>
      </c>
      <c r="I671" s="30"/>
      <c r="J671" s="30"/>
      <c r="K671" s="31">
        <v>11302.9</v>
      </c>
      <c r="L671" s="31">
        <v>63370</v>
      </c>
      <c r="M671" s="31">
        <v>63370</v>
      </c>
      <c r="N671" s="32">
        <v>-0.82163642101941003</v>
      </c>
      <c r="O671" s="32">
        <v>-0.82163642101941003</v>
      </c>
      <c r="P671" s="30"/>
      <c r="Q671" s="31">
        <v>75.858389261745003</v>
      </c>
    </row>
    <row r="672" spans="1:17" ht="15" customHeight="1" x14ac:dyDescent="0.2">
      <c r="A672" s="17" t="s">
        <v>159</v>
      </c>
      <c r="B672" s="18" t="s">
        <v>148</v>
      </c>
      <c r="C672" s="18" t="s">
        <v>149</v>
      </c>
      <c r="D672" s="20">
        <v>117</v>
      </c>
      <c r="E672" s="17" t="s">
        <v>549</v>
      </c>
      <c r="F672" s="19" t="s">
        <v>545</v>
      </c>
      <c r="G672" s="19" t="s">
        <v>502</v>
      </c>
      <c r="H672" s="19" t="s">
        <v>550</v>
      </c>
      <c r="I672" s="21"/>
      <c r="J672" s="21"/>
      <c r="K672" s="22">
        <v>6465.89</v>
      </c>
      <c r="L672" s="22">
        <v>14000</v>
      </c>
      <c r="M672" s="22">
        <v>14000</v>
      </c>
      <c r="N672" s="23">
        <v>-0.53815071428571404</v>
      </c>
      <c r="O672" s="23">
        <v>-0.53815071428571404</v>
      </c>
      <c r="P672" s="21"/>
      <c r="Q672" s="22">
        <v>55.264017094017099</v>
      </c>
    </row>
    <row r="673" spans="1:17" ht="15" customHeight="1" x14ac:dyDescent="0.2">
      <c r="A673" s="26" t="s">
        <v>161</v>
      </c>
      <c r="B673" s="27" t="s">
        <v>148</v>
      </c>
      <c r="C673" s="27" t="s">
        <v>149</v>
      </c>
      <c r="D673" s="29">
        <v>162</v>
      </c>
      <c r="E673" s="26" t="s">
        <v>549</v>
      </c>
      <c r="F673" s="28" t="s">
        <v>545</v>
      </c>
      <c r="G673" s="28" t="s">
        <v>502</v>
      </c>
      <c r="H673" s="28" t="s">
        <v>550</v>
      </c>
      <c r="I673" s="30"/>
      <c r="J673" s="30"/>
      <c r="K673" s="31">
        <v>6599.03</v>
      </c>
      <c r="L673" s="31">
        <v>11970</v>
      </c>
      <c r="M673" s="31">
        <v>11970</v>
      </c>
      <c r="N673" s="32">
        <v>-0.44870258980785299</v>
      </c>
      <c r="O673" s="32">
        <v>-0.44870258980785299</v>
      </c>
      <c r="P673" s="30"/>
      <c r="Q673" s="31">
        <v>40.734753086419801</v>
      </c>
    </row>
    <row r="674" spans="1:17" ht="15" customHeight="1" x14ac:dyDescent="0.2">
      <c r="A674" s="17" t="s">
        <v>165</v>
      </c>
      <c r="B674" s="18" t="s">
        <v>148</v>
      </c>
      <c r="C674" s="18" t="s">
        <v>149</v>
      </c>
      <c r="D674" s="20">
        <v>197</v>
      </c>
      <c r="E674" s="17" t="s">
        <v>549</v>
      </c>
      <c r="F674" s="19" t="s">
        <v>545</v>
      </c>
      <c r="G674" s="19" t="s">
        <v>502</v>
      </c>
      <c r="H674" s="19" t="s">
        <v>550</v>
      </c>
      <c r="I674" s="21"/>
      <c r="J674" s="21"/>
      <c r="K674" s="22">
        <v>41623.99</v>
      </c>
      <c r="L674" s="22">
        <v>59640</v>
      </c>
      <c r="M674" s="22">
        <v>63870</v>
      </c>
      <c r="N674" s="23">
        <v>-0.30207930918846398</v>
      </c>
      <c r="O674" s="23">
        <v>-0.34830139345545602</v>
      </c>
      <c r="P674" s="21"/>
      <c r="Q674" s="22">
        <v>211.28928934010199</v>
      </c>
    </row>
    <row r="675" spans="1:17" ht="15" customHeight="1" x14ac:dyDescent="0.2">
      <c r="A675" s="26" t="s">
        <v>167</v>
      </c>
      <c r="B675" s="27" t="s">
        <v>148</v>
      </c>
      <c r="C675" s="27" t="s">
        <v>149</v>
      </c>
      <c r="D675" s="29">
        <v>119</v>
      </c>
      <c r="E675" s="26" t="s">
        <v>549</v>
      </c>
      <c r="F675" s="28" t="s">
        <v>545</v>
      </c>
      <c r="G675" s="28" t="s">
        <v>502</v>
      </c>
      <c r="H675" s="28" t="s">
        <v>550</v>
      </c>
      <c r="I675" s="30"/>
      <c r="J675" s="30"/>
      <c r="K675" s="31">
        <v>3724.79</v>
      </c>
      <c r="L675" s="31">
        <v>29760</v>
      </c>
      <c r="M675" s="31">
        <v>29800</v>
      </c>
      <c r="N675" s="32">
        <v>-0.87483904569892501</v>
      </c>
      <c r="O675" s="32">
        <v>-0.87500704697986598</v>
      </c>
      <c r="P675" s="30"/>
      <c r="Q675" s="31">
        <v>31.300756302520998</v>
      </c>
    </row>
    <row r="676" spans="1:17" ht="15" customHeight="1" x14ac:dyDescent="0.2">
      <c r="A676" s="17" t="s">
        <v>169</v>
      </c>
      <c r="B676" s="18" t="s">
        <v>148</v>
      </c>
      <c r="C676" s="18" t="s">
        <v>149</v>
      </c>
      <c r="D676" s="20">
        <v>211</v>
      </c>
      <c r="E676" s="17" t="s">
        <v>549</v>
      </c>
      <c r="F676" s="19" t="s">
        <v>545</v>
      </c>
      <c r="G676" s="19" t="s">
        <v>502</v>
      </c>
      <c r="H676" s="19" t="s">
        <v>550</v>
      </c>
      <c r="I676" s="21"/>
      <c r="J676" s="21"/>
      <c r="K676" s="22">
        <v>74066.350000000006</v>
      </c>
      <c r="L676" s="22">
        <v>45820</v>
      </c>
      <c r="M676" s="22">
        <v>45820</v>
      </c>
      <c r="N676" s="23">
        <v>0.61646333478830195</v>
      </c>
      <c r="O676" s="23">
        <v>0.61646333478830195</v>
      </c>
      <c r="P676" s="21"/>
      <c r="Q676" s="22">
        <v>351.02535545023699</v>
      </c>
    </row>
    <row r="677" spans="1:17" ht="15" customHeight="1" x14ac:dyDescent="0.2">
      <c r="A677" s="26" t="s">
        <v>171</v>
      </c>
      <c r="B677" s="27" t="s">
        <v>148</v>
      </c>
      <c r="C677" s="27" t="s">
        <v>149</v>
      </c>
      <c r="D677" s="29">
        <v>211</v>
      </c>
      <c r="E677" s="26" t="s">
        <v>549</v>
      </c>
      <c r="F677" s="28" t="s">
        <v>545</v>
      </c>
      <c r="G677" s="28" t="s">
        <v>502</v>
      </c>
      <c r="H677" s="28" t="s">
        <v>550</v>
      </c>
      <c r="I677" s="30"/>
      <c r="J677" s="30"/>
      <c r="K677" s="31">
        <v>22168.78</v>
      </c>
      <c r="L677" s="31">
        <v>55800</v>
      </c>
      <c r="M677" s="31">
        <v>57063</v>
      </c>
      <c r="N677" s="32">
        <v>-0.60271003584229399</v>
      </c>
      <c r="O677" s="32">
        <v>-0.61150342603788799</v>
      </c>
      <c r="P677" s="30"/>
      <c r="Q677" s="31">
        <v>105.065308056872</v>
      </c>
    </row>
    <row r="678" spans="1:17" ht="15" customHeight="1" x14ac:dyDescent="0.2">
      <c r="A678" s="17" t="s">
        <v>173</v>
      </c>
      <c r="B678" s="18" t="s">
        <v>148</v>
      </c>
      <c r="C678" s="18" t="s">
        <v>149</v>
      </c>
      <c r="D678" s="20">
        <v>256</v>
      </c>
      <c r="E678" s="17" t="s">
        <v>549</v>
      </c>
      <c r="F678" s="19" t="s">
        <v>545</v>
      </c>
      <c r="G678" s="19" t="s">
        <v>502</v>
      </c>
      <c r="H678" s="19" t="s">
        <v>550</v>
      </c>
      <c r="I678" s="21"/>
      <c r="J678" s="21"/>
      <c r="K678" s="22">
        <v>54034.99</v>
      </c>
      <c r="L678" s="22">
        <v>95600</v>
      </c>
      <c r="M678" s="22">
        <v>92894</v>
      </c>
      <c r="N678" s="23">
        <v>-0.434780439330544</v>
      </c>
      <c r="O678" s="23">
        <v>-0.41831560703597698</v>
      </c>
      <c r="P678" s="21"/>
      <c r="Q678" s="22">
        <v>211.07417968749999</v>
      </c>
    </row>
    <row r="679" spans="1:17" ht="15" customHeight="1" x14ac:dyDescent="0.2">
      <c r="A679" s="26" t="s">
        <v>175</v>
      </c>
      <c r="B679" s="27" t="s">
        <v>148</v>
      </c>
      <c r="C679" s="27" t="s">
        <v>149</v>
      </c>
      <c r="D679" s="29">
        <v>136</v>
      </c>
      <c r="E679" s="26" t="s">
        <v>549</v>
      </c>
      <c r="F679" s="28" t="s">
        <v>545</v>
      </c>
      <c r="G679" s="28" t="s">
        <v>502</v>
      </c>
      <c r="H679" s="28" t="s">
        <v>550</v>
      </c>
      <c r="I679" s="30"/>
      <c r="J679" s="30"/>
      <c r="K679" s="31">
        <v>39526.019999999997</v>
      </c>
      <c r="L679" s="31">
        <v>36150</v>
      </c>
      <c r="M679" s="31">
        <v>37700</v>
      </c>
      <c r="N679" s="32">
        <v>9.3389211618257195E-2</v>
      </c>
      <c r="O679" s="32">
        <v>4.8435543766578201E-2</v>
      </c>
      <c r="P679" s="30"/>
      <c r="Q679" s="31">
        <v>290.63249999999999</v>
      </c>
    </row>
    <row r="680" spans="1:17" ht="15" customHeight="1" x14ac:dyDescent="0.2">
      <c r="A680" s="17" t="s">
        <v>179</v>
      </c>
      <c r="B680" s="18" t="s">
        <v>148</v>
      </c>
      <c r="C680" s="18" t="s">
        <v>180</v>
      </c>
      <c r="D680" s="20">
        <v>209</v>
      </c>
      <c r="E680" s="17" t="s">
        <v>549</v>
      </c>
      <c r="F680" s="19" t="s">
        <v>545</v>
      </c>
      <c r="G680" s="19" t="s">
        <v>502</v>
      </c>
      <c r="H680" s="19" t="s">
        <v>550</v>
      </c>
      <c r="I680" s="21"/>
      <c r="J680" s="21"/>
      <c r="K680" s="22">
        <v>33922.589999999997</v>
      </c>
      <c r="L680" s="22">
        <v>101825</v>
      </c>
      <c r="M680" s="22">
        <v>102635</v>
      </c>
      <c r="N680" s="23">
        <v>-0.66685401424011803</v>
      </c>
      <c r="O680" s="23">
        <v>-0.66948321722609305</v>
      </c>
      <c r="P680" s="21"/>
      <c r="Q680" s="22">
        <v>162.309043062201</v>
      </c>
    </row>
    <row r="681" spans="1:17" ht="15" customHeight="1" x14ac:dyDescent="0.2">
      <c r="A681" s="26" t="s">
        <v>185</v>
      </c>
      <c r="B681" s="27" t="s">
        <v>148</v>
      </c>
      <c r="C681" s="27" t="s">
        <v>180</v>
      </c>
      <c r="D681" s="29">
        <v>117</v>
      </c>
      <c r="E681" s="26" t="s">
        <v>549</v>
      </c>
      <c r="F681" s="28" t="s">
        <v>545</v>
      </c>
      <c r="G681" s="28" t="s">
        <v>502</v>
      </c>
      <c r="H681" s="28" t="s">
        <v>550</v>
      </c>
      <c r="I681" s="30"/>
      <c r="J681" s="30"/>
      <c r="K681" s="31">
        <v>25579.57</v>
      </c>
      <c r="L681" s="31">
        <v>57600</v>
      </c>
      <c r="M681" s="31">
        <v>57951</v>
      </c>
      <c r="N681" s="32">
        <v>-0.55591024305555603</v>
      </c>
      <c r="O681" s="32">
        <v>-0.55860002415834098</v>
      </c>
      <c r="P681" s="30"/>
      <c r="Q681" s="31">
        <v>218.62880341880299</v>
      </c>
    </row>
    <row r="682" spans="1:17" ht="15" customHeight="1" x14ac:dyDescent="0.2">
      <c r="A682" s="17" t="s">
        <v>190</v>
      </c>
      <c r="B682" s="18" t="s">
        <v>148</v>
      </c>
      <c r="C682" s="18" t="s">
        <v>180</v>
      </c>
      <c r="D682" s="20">
        <v>75</v>
      </c>
      <c r="E682" s="17" t="s">
        <v>549</v>
      </c>
      <c r="F682" s="19" t="s">
        <v>545</v>
      </c>
      <c r="G682" s="19" t="s">
        <v>502</v>
      </c>
      <c r="H682" s="19" t="s">
        <v>550</v>
      </c>
      <c r="I682" s="21"/>
      <c r="J682" s="21"/>
      <c r="K682" s="22">
        <v>19383.8</v>
      </c>
      <c r="L682" s="22">
        <v>27270</v>
      </c>
      <c r="M682" s="22">
        <v>28626</v>
      </c>
      <c r="N682" s="23">
        <v>-0.28918958562522901</v>
      </c>
      <c r="O682" s="23">
        <v>-0.32286033675679499</v>
      </c>
      <c r="P682" s="21"/>
      <c r="Q682" s="22">
        <v>258.45066666666702</v>
      </c>
    </row>
    <row r="683" spans="1:17" ht="15" customHeight="1" x14ac:dyDescent="0.2">
      <c r="A683" s="26" t="s">
        <v>195</v>
      </c>
      <c r="B683" s="27" t="s">
        <v>148</v>
      </c>
      <c r="C683" s="27" t="s">
        <v>180</v>
      </c>
      <c r="D683" s="29">
        <v>49</v>
      </c>
      <c r="E683" s="26" t="s">
        <v>549</v>
      </c>
      <c r="F683" s="28" t="s">
        <v>545</v>
      </c>
      <c r="G683" s="28" t="s">
        <v>502</v>
      </c>
      <c r="H683" s="28" t="s">
        <v>550</v>
      </c>
      <c r="I683" s="30"/>
      <c r="J683" s="30"/>
      <c r="K683" s="31">
        <v>16318.46</v>
      </c>
      <c r="L683" s="31">
        <v>16750</v>
      </c>
      <c r="M683" s="31">
        <v>16750</v>
      </c>
      <c r="N683" s="32">
        <v>-2.57635820895523E-2</v>
      </c>
      <c r="O683" s="32">
        <v>-2.57635820895523E-2</v>
      </c>
      <c r="P683" s="30"/>
      <c r="Q683" s="31">
        <v>333.02979591836697</v>
      </c>
    </row>
    <row r="684" spans="1:17" ht="15" customHeight="1" x14ac:dyDescent="0.2">
      <c r="A684" s="17" t="s">
        <v>201</v>
      </c>
      <c r="B684" s="18" t="s">
        <v>148</v>
      </c>
      <c r="C684" s="18" t="s">
        <v>180</v>
      </c>
      <c r="D684" s="20">
        <v>170</v>
      </c>
      <c r="E684" s="17" t="s">
        <v>549</v>
      </c>
      <c r="F684" s="19" t="s">
        <v>545</v>
      </c>
      <c r="G684" s="19" t="s">
        <v>502</v>
      </c>
      <c r="H684" s="19" t="s">
        <v>550</v>
      </c>
      <c r="I684" s="21"/>
      <c r="J684" s="21"/>
      <c r="K684" s="22">
        <v>37284.47</v>
      </c>
      <c r="L684" s="22">
        <v>64290</v>
      </c>
      <c r="M684" s="22">
        <v>64290</v>
      </c>
      <c r="N684" s="23">
        <v>-0.42005801835433199</v>
      </c>
      <c r="O684" s="23">
        <v>-0.42005801835433199</v>
      </c>
      <c r="P684" s="21"/>
      <c r="Q684" s="22">
        <v>219.32041176470599</v>
      </c>
    </row>
    <row r="685" spans="1:17" ht="15" customHeight="1" x14ac:dyDescent="0.2">
      <c r="A685" s="26" t="s">
        <v>205</v>
      </c>
      <c r="B685" s="27" t="s">
        <v>148</v>
      </c>
      <c r="C685" s="27" t="s">
        <v>180</v>
      </c>
      <c r="D685" s="29">
        <v>296</v>
      </c>
      <c r="E685" s="26" t="s">
        <v>549</v>
      </c>
      <c r="F685" s="28" t="s">
        <v>545</v>
      </c>
      <c r="G685" s="28" t="s">
        <v>502</v>
      </c>
      <c r="H685" s="28" t="s">
        <v>550</v>
      </c>
      <c r="I685" s="30"/>
      <c r="J685" s="30"/>
      <c r="K685" s="31">
        <v>41996.33</v>
      </c>
      <c r="L685" s="31">
        <v>79425</v>
      </c>
      <c r="M685" s="31">
        <v>80707</v>
      </c>
      <c r="N685" s="32">
        <v>-0.47124545168397902</v>
      </c>
      <c r="O685" s="32">
        <v>-0.47964451658468299</v>
      </c>
      <c r="P685" s="30"/>
      <c r="Q685" s="31">
        <v>141.87949324324299</v>
      </c>
    </row>
    <row r="686" spans="1:17" ht="15" customHeight="1" x14ac:dyDescent="0.2">
      <c r="A686" s="17" t="s">
        <v>210</v>
      </c>
      <c r="B686" s="18" t="s">
        <v>148</v>
      </c>
      <c r="C686" s="18" t="s">
        <v>180</v>
      </c>
      <c r="D686" s="20">
        <v>83</v>
      </c>
      <c r="E686" s="17" t="s">
        <v>549</v>
      </c>
      <c r="F686" s="19" t="s">
        <v>545</v>
      </c>
      <c r="G686" s="19" t="s">
        <v>502</v>
      </c>
      <c r="H686" s="19" t="s">
        <v>550</v>
      </c>
      <c r="I686" s="21"/>
      <c r="J686" s="21"/>
      <c r="K686" s="22">
        <v>467.8</v>
      </c>
      <c r="L686" s="22"/>
      <c r="M686" s="22"/>
      <c r="N686" s="23"/>
      <c r="O686" s="23"/>
      <c r="P686" s="21"/>
      <c r="Q686" s="22">
        <v>5.6361445783132504</v>
      </c>
    </row>
    <row r="687" spans="1:17" ht="15" customHeight="1" x14ac:dyDescent="0.2">
      <c r="A687" s="26" t="s">
        <v>214</v>
      </c>
      <c r="B687" s="27" t="s">
        <v>148</v>
      </c>
      <c r="C687" s="27" t="s">
        <v>180</v>
      </c>
      <c r="D687" s="29">
        <v>144</v>
      </c>
      <c r="E687" s="26" t="s">
        <v>549</v>
      </c>
      <c r="F687" s="28" t="s">
        <v>545</v>
      </c>
      <c r="G687" s="28" t="s">
        <v>502</v>
      </c>
      <c r="H687" s="28" t="s">
        <v>550</v>
      </c>
      <c r="I687" s="30"/>
      <c r="J687" s="30"/>
      <c r="K687" s="31">
        <v>72845.97</v>
      </c>
      <c r="L687" s="31">
        <v>108050</v>
      </c>
      <c r="M687" s="31">
        <v>126594</v>
      </c>
      <c r="N687" s="32">
        <v>-0.32581240166589498</v>
      </c>
      <c r="O687" s="32">
        <v>-0.42457012180672099</v>
      </c>
      <c r="P687" s="30"/>
      <c r="Q687" s="31">
        <v>505.87479166666702</v>
      </c>
    </row>
    <row r="688" spans="1:17" ht="15" customHeight="1" x14ac:dyDescent="0.2">
      <c r="A688" s="17" t="s">
        <v>219</v>
      </c>
      <c r="B688" s="18" t="s">
        <v>148</v>
      </c>
      <c r="C688" s="18" t="s">
        <v>180</v>
      </c>
      <c r="D688" s="20">
        <v>398</v>
      </c>
      <c r="E688" s="17" t="s">
        <v>549</v>
      </c>
      <c r="F688" s="19" t="s">
        <v>545</v>
      </c>
      <c r="G688" s="19" t="s">
        <v>502</v>
      </c>
      <c r="H688" s="19" t="s">
        <v>550</v>
      </c>
      <c r="I688" s="21"/>
      <c r="J688" s="21"/>
      <c r="K688" s="22">
        <v>14259.91</v>
      </c>
      <c r="L688" s="22">
        <v>30580</v>
      </c>
      <c r="M688" s="22">
        <v>30580</v>
      </c>
      <c r="N688" s="23">
        <v>-0.53368508829300199</v>
      </c>
      <c r="O688" s="23">
        <v>-0.53368508829300199</v>
      </c>
      <c r="P688" s="21"/>
      <c r="Q688" s="22">
        <v>35.828919597990001</v>
      </c>
    </row>
    <row r="689" spans="1:17" ht="15" customHeight="1" x14ac:dyDescent="0.2">
      <c r="A689" s="26" t="s">
        <v>224</v>
      </c>
      <c r="B689" s="27" t="s">
        <v>148</v>
      </c>
      <c r="C689" s="27" t="s">
        <v>180</v>
      </c>
      <c r="D689" s="29">
        <v>71</v>
      </c>
      <c r="E689" s="26" t="s">
        <v>549</v>
      </c>
      <c r="F689" s="28" t="s">
        <v>545</v>
      </c>
      <c r="G689" s="28" t="s">
        <v>502</v>
      </c>
      <c r="H689" s="28" t="s">
        <v>550</v>
      </c>
      <c r="I689" s="30"/>
      <c r="J689" s="30"/>
      <c r="K689" s="31">
        <v>203.65</v>
      </c>
      <c r="L689" s="31"/>
      <c r="M689" s="31"/>
      <c r="N689" s="32"/>
      <c r="O689" s="32"/>
      <c r="P689" s="30"/>
      <c r="Q689" s="31">
        <v>2.8683098591549299</v>
      </c>
    </row>
    <row r="690" spans="1:17" ht="15" customHeight="1" x14ac:dyDescent="0.2">
      <c r="A690" s="17" t="s">
        <v>230</v>
      </c>
      <c r="B690" s="18" t="s">
        <v>148</v>
      </c>
      <c r="C690" s="18" t="s">
        <v>180</v>
      </c>
      <c r="D690" s="20">
        <v>139</v>
      </c>
      <c r="E690" s="17" t="s">
        <v>549</v>
      </c>
      <c r="F690" s="19" t="s">
        <v>545</v>
      </c>
      <c r="G690" s="19" t="s">
        <v>502</v>
      </c>
      <c r="H690" s="19" t="s">
        <v>550</v>
      </c>
      <c r="I690" s="21"/>
      <c r="J690" s="21"/>
      <c r="K690" s="22">
        <v>19980.400000000001</v>
      </c>
      <c r="L690" s="22">
        <v>93500</v>
      </c>
      <c r="M690" s="22">
        <v>71296</v>
      </c>
      <c r="N690" s="23">
        <v>-0.78630588235294097</v>
      </c>
      <c r="O690" s="23">
        <v>-0.71975426391382402</v>
      </c>
      <c r="P690" s="21"/>
      <c r="Q690" s="22">
        <v>143.74388489208599</v>
      </c>
    </row>
    <row r="691" spans="1:17" ht="15" customHeight="1" x14ac:dyDescent="0.2">
      <c r="A691" s="26" t="s">
        <v>236</v>
      </c>
      <c r="B691" s="27" t="s">
        <v>148</v>
      </c>
      <c r="C691" s="27" t="s">
        <v>180</v>
      </c>
      <c r="D691" s="29">
        <v>128</v>
      </c>
      <c r="E691" s="26" t="s">
        <v>549</v>
      </c>
      <c r="F691" s="28" t="s">
        <v>545</v>
      </c>
      <c r="G691" s="28" t="s">
        <v>502</v>
      </c>
      <c r="H691" s="28" t="s">
        <v>550</v>
      </c>
      <c r="I691" s="30"/>
      <c r="J691" s="30"/>
      <c r="K691" s="31">
        <v>33009.22</v>
      </c>
      <c r="L691" s="31">
        <v>42025</v>
      </c>
      <c r="M691" s="31">
        <v>49734</v>
      </c>
      <c r="N691" s="32">
        <v>-0.21453372992266501</v>
      </c>
      <c r="O691" s="32">
        <v>-0.33628463425423299</v>
      </c>
      <c r="P691" s="30"/>
      <c r="Q691" s="31">
        <v>257.88453125000001</v>
      </c>
    </row>
    <row r="692" spans="1:17" ht="15" customHeight="1" x14ac:dyDescent="0.2">
      <c r="A692" s="17" t="s">
        <v>239</v>
      </c>
      <c r="B692" s="18" t="s">
        <v>148</v>
      </c>
      <c r="C692" s="18" t="s">
        <v>180</v>
      </c>
      <c r="D692" s="20">
        <v>92</v>
      </c>
      <c r="E692" s="17" t="s">
        <v>549</v>
      </c>
      <c r="F692" s="19" t="s">
        <v>545</v>
      </c>
      <c r="G692" s="19" t="s">
        <v>502</v>
      </c>
      <c r="H692" s="19" t="s">
        <v>550</v>
      </c>
      <c r="I692" s="21"/>
      <c r="J692" s="21"/>
      <c r="K692" s="22">
        <v>7036.09</v>
      </c>
      <c r="L692" s="22">
        <v>20700</v>
      </c>
      <c r="M692" s="22">
        <v>20700</v>
      </c>
      <c r="N692" s="23">
        <v>-0.66009227053140096</v>
      </c>
      <c r="O692" s="23">
        <v>-0.66009227053140096</v>
      </c>
      <c r="P692" s="21"/>
      <c r="Q692" s="22">
        <v>76.479239130434806</v>
      </c>
    </row>
    <row r="693" spans="1:17" ht="15" customHeight="1" x14ac:dyDescent="0.2">
      <c r="A693" s="26" t="s">
        <v>245</v>
      </c>
      <c r="B693" s="27" t="s">
        <v>148</v>
      </c>
      <c r="C693" s="27" t="s">
        <v>180</v>
      </c>
      <c r="D693" s="29">
        <v>31</v>
      </c>
      <c r="E693" s="26" t="s">
        <v>549</v>
      </c>
      <c r="F693" s="28" t="s">
        <v>545</v>
      </c>
      <c r="G693" s="28" t="s">
        <v>502</v>
      </c>
      <c r="H693" s="28" t="s">
        <v>550</v>
      </c>
      <c r="I693" s="30"/>
      <c r="J693" s="30"/>
      <c r="K693" s="31">
        <v>65</v>
      </c>
      <c r="L693" s="31"/>
      <c r="M693" s="31"/>
      <c r="N693" s="32"/>
      <c r="O693" s="32"/>
      <c r="P693" s="30"/>
      <c r="Q693" s="31">
        <v>2.0967741935483901</v>
      </c>
    </row>
    <row r="694" spans="1:17" ht="15" customHeight="1" x14ac:dyDescent="0.2">
      <c r="A694" s="17" t="s">
        <v>249</v>
      </c>
      <c r="B694" s="18" t="s">
        <v>148</v>
      </c>
      <c r="C694" s="18" t="s">
        <v>180</v>
      </c>
      <c r="D694" s="20">
        <v>122</v>
      </c>
      <c r="E694" s="17" t="s">
        <v>549</v>
      </c>
      <c r="F694" s="19" t="s">
        <v>545</v>
      </c>
      <c r="G694" s="19" t="s">
        <v>502</v>
      </c>
      <c r="H694" s="19" t="s">
        <v>550</v>
      </c>
      <c r="I694" s="21"/>
      <c r="J694" s="21"/>
      <c r="K694" s="22">
        <v>17635.16</v>
      </c>
      <c r="L694" s="22">
        <v>58095</v>
      </c>
      <c r="M694" s="22">
        <v>56631</v>
      </c>
      <c r="N694" s="23">
        <v>-0.69644272312591404</v>
      </c>
      <c r="O694" s="23">
        <v>-0.68859529233105499</v>
      </c>
      <c r="P694" s="21"/>
      <c r="Q694" s="22">
        <v>144.55049180327899</v>
      </c>
    </row>
    <row r="695" spans="1:17" ht="15" customHeight="1" x14ac:dyDescent="0.2">
      <c r="A695" s="26" t="s">
        <v>254</v>
      </c>
      <c r="B695" s="27" t="s">
        <v>148</v>
      </c>
      <c r="C695" s="27" t="s">
        <v>180</v>
      </c>
      <c r="D695" s="29">
        <v>80</v>
      </c>
      <c r="E695" s="26" t="s">
        <v>549</v>
      </c>
      <c r="F695" s="28" t="s">
        <v>545</v>
      </c>
      <c r="G695" s="28" t="s">
        <v>502</v>
      </c>
      <c r="H695" s="28" t="s">
        <v>550</v>
      </c>
      <c r="I695" s="30"/>
      <c r="J695" s="30"/>
      <c r="K695" s="31">
        <v>26750.81</v>
      </c>
      <c r="L695" s="31">
        <v>34080</v>
      </c>
      <c r="M695" s="31">
        <v>37555</v>
      </c>
      <c r="N695" s="32">
        <v>-0.21505839201877899</v>
      </c>
      <c r="O695" s="32">
        <v>-0.28768978831047798</v>
      </c>
      <c r="P695" s="30"/>
      <c r="Q695" s="31">
        <v>334.38512500000002</v>
      </c>
    </row>
    <row r="696" spans="1:17" ht="15" customHeight="1" x14ac:dyDescent="0.2">
      <c r="A696" s="17" t="s">
        <v>263</v>
      </c>
      <c r="B696" s="18" t="s">
        <v>148</v>
      </c>
      <c r="C696" s="18" t="s">
        <v>180</v>
      </c>
      <c r="D696" s="20">
        <v>55</v>
      </c>
      <c r="E696" s="17" t="s">
        <v>549</v>
      </c>
      <c r="F696" s="19" t="s">
        <v>545</v>
      </c>
      <c r="G696" s="19" t="s">
        <v>502</v>
      </c>
      <c r="H696" s="19" t="s">
        <v>550</v>
      </c>
      <c r="I696" s="21"/>
      <c r="J696" s="21"/>
      <c r="K696" s="22">
        <v>1763.95</v>
      </c>
      <c r="L696" s="22"/>
      <c r="M696" s="22"/>
      <c r="N696" s="23"/>
      <c r="O696" s="23"/>
      <c r="P696" s="21"/>
      <c r="Q696" s="22">
        <v>32.071818181818202</v>
      </c>
    </row>
    <row r="697" spans="1:17" ht="15" customHeight="1" x14ac:dyDescent="0.2">
      <c r="A697" s="26" t="s">
        <v>266</v>
      </c>
      <c r="B697" s="27" t="s">
        <v>148</v>
      </c>
      <c r="C697" s="27" t="s">
        <v>267</v>
      </c>
      <c r="D697" s="29">
        <v>108</v>
      </c>
      <c r="E697" s="26" t="s">
        <v>549</v>
      </c>
      <c r="F697" s="28" t="s">
        <v>545</v>
      </c>
      <c r="G697" s="28" t="s">
        <v>502</v>
      </c>
      <c r="H697" s="28" t="s">
        <v>550</v>
      </c>
      <c r="I697" s="30"/>
      <c r="J697" s="30"/>
      <c r="K697" s="31">
        <v>71058.87</v>
      </c>
      <c r="L697" s="31">
        <v>86250</v>
      </c>
      <c r="M697" s="31">
        <v>95533</v>
      </c>
      <c r="N697" s="32">
        <v>-0.176129043478261</v>
      </c>
      <c r="O697" s="32">
        <v>-0.25618508787539401</v>
      </c>
      <c r="P697" s="30"/>
      <c r="Q697" s="31">
        <v>657.95249999999999</v>
      </c>
    </row>
    <row r="698" spans="1:17" ht="15" customHeight="1" x14ac:dyDescent="0.2">
      <c r="A698" s="17" t="s">
        <v>270</v>
      </c>
      <c r="B698" s="18" t="s">
        <v>148</v>
      </c>
      <c r="C698" s="18" t="s">
        <v>267</v>
      </c>
      <c r="D698" s="20">
        <v>75</v>
      </c>
      <c r="E698" s="17" t="s">
        <v>549</v>
      </c>
      <c r="F698" s="19" t="s">
        <v>545</v>
      </c>
      <c r="G698" s="19" t="s">
        <v>502</v>
      </c>
      <c r="H698" s="19" t="s">
        <v>550</v>
      </c>
      <c r="I698" s="21"/>
      <c r="J698" s="21"/>
      <c r="K698" s="22">
        <v>1607.11</v>
      </c>
      <c r="L698" s="22"/>
      <c r="M698" s="22"/>
      <c r="N698" s="23"/>
      <c r="O698" s="23"/>
      <c r="P698" s="21"/>
      <c r="Q698" s="22">
        <v>21.4281333333333</v>
      </c>
    </row>
    <row r="699" spans="1:17" ht="15" customHeight="1" x14ac:dyDescent="0.2">
      <c r="A699" s="26" t="s">
        <v>272</v>
      </c>
      <c r="B699" s="27" t="s">
        <v>148</v>
      </c>
      <c r="C699" s="27" t="s">
        <v>267</v>
      </c>
      <c r="D699" s="29">
        <v>89</v>
      </c>
      <c r="E699" s="26" t="s">
        <v>549</v>
      </c>
      <c r="F699" s="28" t="s">
        <v>545</v>
      </c>
      <c r="G699" s="28" t="s">
        <v>502</v>
      </c>
      <c r="H699" s="28" t="s">
        <v>550</v>
      </c>
      <c r="I699" s="30"/>
      <c r="J699" s="30"/>
      <c r="K699" s="31">
        <v>22375.47</v>
      </c>
      <c r="L699" s="31">
        <v>28205</v>
      </c>
      <c r="M699" s="31">
        <v>31448</v>
      </c>
      <c r="N699" s="32">
        <v>-0.206684275837617</v>
      </c>
      <c r="O699" s="32">
        <v>-0.28849306792164803</v>
      </c>
      <c r="P699" s="30"/>
      <c r="Q699" s="31">
        <v>251.409775280899</v>
      </c>
    </row>
    <row r="700" spans="1:17" ht="15" customHeight="1" x14ac:dyDescent="0.2">
      <c r="A700" s="17" t="s">
        <v>275</v>
      </c>
      <c r="B700" s="18" t="s">
        <v>148</v>
      </c>
      <c r="C700" s="18" t="s">
        <v>267</v>
      </c>
      <c r="D700" s="20">
        <v>78</v>
      </c>
      <c r="E700" s="17" t="s">
        <v>549</v>
      </c>
      <c r="F700" s="19" t="s">
        <v>545</v>
      </c>
      <c r="G700" s="19" t="s">
        <v>502</v>
      </c>
      <c r="H700" s="19" t="s">
        <v>550</v>
      </c>
      <c r="I700" s="21"/>
      <c r="J700" s="21"/>
      <c r="K700" s="22">
        <v>2172.87</v>
      </c>
      <c r="L700" s="22"/>
      <c r="M700" s="22"/>
      <c r="N700" s="23"/>
      <c r="O700" s="23"/>
      <c r="P700" s="21"/>
      <c r="Q700" s="22">
        <v>27.8573076923077</v>
      </c>
    </row>
    <row r="701" spans="1:17" ht="15" customHeight="1" x14ac:dyDescent="0.2">
      <c r="A701" s="26" t="s">
        <v>277</v>
      </c>
      <c r="B701" s="27" t="s">
        <v>148</v>
      </c>
      <c r="C701" s="27" t="s">
        <v>267</v>
      </c>
      <c r="D701" s="29">
        <v>158</v>
      </c>
      <c r="E701" s="26" t="s">
        <v>549</v>
      </c>
      <c r="F701" s="28" t="s">
        <v>545</v>
      </c>
      <c r="G701" s="28" t="s">
        <v>502</v>
      </c>
      <c r="H701" s="28" t="s">
        <v>550</v>
      </c>
      <c r="I701" s="30"/>
      <c r="J701" s="30"/>
      <c r="K701" s="31">
        <v>15918.41</v>
      </c>
      <c r="L701" s="31">
        <v>30440</v>
      </c>
      <c r="M701" s="31">
        <v>34850</v>
      </c>
      <c r="N701" s="32">
        <v>-0.4770561760841</v>
      </c>
      <c r="O701" s="32">
        <v>-0.54323070301291299</v>
      </c>
      <c r="P701" s="30"/>
      <c r="Q701" s="31">
        <v>100.749430379747</v>
      </c>
    </row>
    <row r="702" spans="1:17" ht="15" customHeight="1" x14ac:dyDescent="0.2">
      <c r="A702" s="17" t="s">
        <v>280</v>
      </c>
      <c r="B702" s="18" t="s">
        <v>148</v>
      </c>
      <c r="C702" s="18" t="s">
        <v>267</v>
      </c>
      <c r="D702" s="20">
        <v>110</v>
      </c>
      <c r="E702" s="17" t="s">
        <v>549</v>
      </c>
      <c r="F702" s="19" t="s">
        <v>545</v>
      </c>
      <c r="G702" s="19" t="s">
        <v>502</v>
      </c>
      <c r="H702" s="19" t="s">
        <v>550</v>
      </c>
      <c r="I702" s="21"/>
      <c r="J702" s="21"/>
      <c r="K702" s="22">
        <v>10464.66</v>
      </c>
      <c r="L702" s="22">
        <v>26950</v>
      </c>
      <c r="M702" s="22">
        <v>28736</v>
      </c>
      <c r="N702" s="23">
        <v>-0.61170092764378503</v>
      </c>
      <c r="O702" s="23">
        <v>-0.63583449331848596</v>
      </c>
      <c r="P702" s="21"/>
      <c r="Q702" s="22">
        <v>95.133272727272697</v>
      </c>
    </row>
    <row r="703" spans="1:17" ht="15" customHeight="1" x14ac:dyDescent="0.2">
      <c r="A703" s="26" t="s">
        <v>282</v>
      </c>
      <c r="B703" s="27" t="s">
        <v>148</v>
      </c>
      <c r="C703" s="27" t="s">
        <v>267</v>
      </c>
      <c r="D703" s="29">
        <v>70</v>
      </c>
      <c r="E703" s="26" t="s">
        <v>549</v>
      </c>
      <c r="F703" s="28" t="s">
        <v>545</v>
      </c>
      <c r="G703" s="28" t="s">
        <v>502</v>
      </c>
      <c r="H703" s="28" t="s">
        <v>550</v>
      </c>
      <c r="I703" s="30"/>
      <c r="J703" s="30"/>
      <c r="K703" s="31">
        <v>10.6</v>
      </c>
      <c r="L703" s="31"/>
      <c r="M703" s="31"/>
      <c r="N703" s="32"/>
      <c r="O703" s="32"/>
      <c r="P703" s="30"/>
      <c r="Q703" s="31">
        <v>0.151428571428571</v>
      </c>
    </row>
    <row r="704" spans="1:17" ht="15" customHeight="1" x14ac:dyDescent="0.2">
      <c r="A704" s="17" t="s">
        <v>284</v>
      </c>
      <c r="B704" s="18" t="s">
        <v>148</v>
      </c>
      <c r="C704" s="18" t="s">
        <v>267</v>
      </c>
      <c r="D704" s="20">
        <v>72</v>
      </c>
      <c r="E704" s="17" t="s">
        <v>549</v>
      </c>
      <c r="F704" s="19" t="s">
        <v>545</v>
      </c>
      <c r="G704" s="19" t="s">
        <v>502</v>
      </c>
      <c r="H704" s="19" t="s">
        <v>550</v>
      </c>
      <c r="I704" s="21"/>
      <c r="J704" s="21"/>
      <c r="K704" s="22"/>
      <c r="L704" s="22"/>
      <c r="M704" s="22">
        <v>1644</v>
      </c>
      <c r="N704" s="23"/>
      <c r="O704" s="23">
        <v>-1</v>
      </c>
      <c r="P704" s="21"/>
      <c r="Q704" s="22"/>
    </row>
    <row r="705" spans="1:17" ht="15" customHeight="1" x14ac:dyDescent="0.2">
      <c r="A705" s="26" t="s">
        <v>285</v>
      </c>
      <c r="B705" s="27" t="s">
        <v>148</v>
      </c>
      <c r="C705" s="27" t="s">
        <v>267</v>
      </c>
      <c r="D705" s="29">
        <v>296</v>
      </c>
      <c r="E705" s="26" t="s">
        <v>549</v>
      </c>
      <c r="F705" s="28" t="s">
        <v>545</v>
      </c>
      <c r="G705" s="28" t="s">
        <v>502</v>
      </c>
      <c r="H705" s="28" t="s">
        <v>550</v>
      </c>
      <c r="I705" s="30"/>
      <c r="J705" s="30"/>
      <c r="K705" s="31">
        <v>3799.24</v>
      </c>
      <c r="L705" s="31">
        <v>63000</v>
      </c>
      <c r="M705" s="31">
        <v>63600</v>
      </c>
      <c r="N705" s="32">
        <v>-0.93969460317460296</v>
      </c>
      <c r="O705" s="32">
        <v>-0.94026352201257901</v>
      </c>
      <c r="P705" s="30"/>
      <c r="Q705" s="31">
        <v>12.8352702702703</v>
      </c>
    </row>
    <row r="706" spans="1:17" ht="15" customHeight="1" x14ac:dyDescent="0.2">
      <c r="A706" s="17" t="s">
        <v>286</v>
      </c>
      <c r="B706" s="18" t="s">
        <v>148</v>
      </c>
      <c r="C706" s="18" t="s">
        <v>267</v>
      </c>
      <c r="D706" s="20">
        <v>50</v>
      </c>
      <c r="E706" s="17" t="s">
        <v>549</v>
      </c>
      <c r="F706" s="19" t="s">
        <v>545</v>
      </c>
      <c r="G706" s="19" t="s">
        <v>502</v>
      </c>
      <c r="H706" s="19" t="s">
        <v>550</v>
      </c>
      <c r="I706" s="21"/>
      <c r="J706" s="21"/>
      <c r="K706" s="22">
        <v>13959.12</v>
      </c>
      <c r="L706" s="22">
        <v>21850</v>
      </c>
      <c r="M706" s="22">
        <v>23310</v>
      </c>
      <c r="N706" s="23">
        <v>-0.36113867276887901</v>
      </c>
      <c r="O706" s="23">
        <v>-0.40115315315315297</v>
      </c>
      <c r="P706" s="21"/>
      <c r="Q706" s="22">
        <v>279.18239999999997</v>
      </c>
    </row>
    <row r="707" spans="1:17" ht="15" customHeight="1" x14ac:dyDescent="0.2">
      <c r="A707" s="26" t="s">
        <v>287</v>
      </c>
      <c r="B707" s="27" t="s">
        <v>148</v>
      </c>
      <c r="C707" s="27" t="s">
        <v>267</v>
      </c>
      <c r="D707" s="29">
        <v>163</v>
      </c>
      <c r="E707" s="26" t="s">
        <v>549</v>
      </c>
      <c r="F707" s="28" t="s">
        <v>545</v>
      </c>
      <c r="G707" s="28" t="s">
        <v>502</v>
      </c>
      <c r="H707" s="28" t="s">
        <v>550</v>
      </c>
      <c r="I707" s="30"/>
      <c r="J707" s="30"/>
      <c r="K707" s="31">
        <v>9727.4599999999991</v>
      </c>
      <c r="L707" s="31">
        <v>75760</v>
      </c>
      <c r="M707" s="31">
        <v>59835</v>
      </c>
      <c r="N707" s="32">
        <v>-0.87160163674762403</v>
      </c>
      <c r="O707" s="32">
        <v>-0.83742859530375202</v>
      </c>
      <c r="P707" s="30"/>
      <c r="Q707" s="31">
        <v>59.677668711656402</v>
      </c>
    </row>
    <row r="708" spans="1:17" ht="15" customHeight="1" x14ac:dyDescent="0.2">
      <c r="A708" s="17" t="s">
        <v>289</v>
      </c>
      <c r="B708" s="18" t="s">
        <v>148</v>
      </c>
      <c r="C708" s="18" t="s">
        <v>267</v>
      </c>
      <c r="D708" s="20">
        <v>107</v>
      </c>
      <c r="E708" s="17" t="s">
        <v>549</v>
      </c>
      <c r="F708" s="19" t="s">
        <v>545</v>
      </c>
      <c r="G708" s="19" t="s">
        <v>502</v>
      </c>
      <c r="H708" s="19" t="s">
        <v>550</v>
      </c>
      <c r="I708" s="21"/>
      <c r="J708" s="21"/>
      <c r="K708" s="22">
        <v>30100.97</v>
      </c>
      <c r="L708" s="22">
        <v>70875</v>
      </c>
      <c r="M708" s="22">
        <v>73930</v>
      </c>
      <c r="N708" s="23">
        <v>-0.57529495590828905</v>
      </c>
      <c r="O708" s="23">
        <v>-0.592844988502638</v>
      </c>
      <c r="P708" s="21"/>
      <c r="Q708" s="22">
        <v>281.31747663551403</v>
      </c>
    </row>
    <row r="709" spans="1:17" ht="15" customHeight="1" x14ac:dyDescent="0.2">
      <c r="A709" s="26" t="s">
        <v>292</v>
      </c>
      <c r="B709" s="27" t="s">
        <v>148</v>
      </c>
      <c r="C709" s="27" t="s">
        <v>267</v>
      </c>
      <c r="D709" s="29">
        <v>136</v>
      </c>
      <c r="E709" s="26" t="s">
        <v>549</v>
      </c>
      <c r="F709" s="28" t="s">
        <v>545</v>
      </c>
      <c r="G709" s="28" t="s">
        <v>502</v>
      </c>
      <c r="H709" s="28" t="s">
        <v>550</v>
      </c>
      <c r="I709" s="30"/>
      <c r="J709" s="30"/>
      <c r="K709" s="31">
        <v>22525.24</v>
      </c>
      <c r="L709" s="31">
        <v>97667</v>
      </c>
      <c r="M709" s="31">
        <v>97667</v>
      </c>
      <c r="N709" s="32">
        <v>-0.76936693048829197</v>
      </c>
      <c r="O709" s="32">
        <v>-0.76936693048829197</v>
      </c>
      <c r="P709" s="30"/>
      <c r="Q709" s="31">
        <v>165.62676470588201</v>
      </c>
    </row>
    <row r="710" spans="1:17" ht="15" customHeight="1" x14ac:dyDescent="0.2">
      <c r="A710" s="17" t="s">
        <v>295</v>
      </c>
      <c r="B710" s="18" t="s">
        <v>148</v>
      </c>
      <c r="C710" s="18" t="s">
        <v>267</v>
      </c>
      <c r="D710" s="20">
        <v>68</v>
      </c>
      <c r="E710" s="17" t="s">
        <v>549</v>
      </c>
      <c r="F710" s="19" t="s">
        <v>545</v>
      </c>
      <c r="G710" s="19" t="s">
        <v>502</v>
      </c>
      <c r="H710" s="19" t="s">
        <v>550</v>
      </c>
      <c r="I710" s="21"/>
      <c r="J710" s="21"/>
      <c r="K710" s="22">
        <v>26287.7</v>
      </c>
      <c r="L710" s="22">
        <v>7500</v>
      </c>
      <c r="M710" s="22">
        <v>7500</v>
      </c>
      <c r="N710" s="23">
        <v>2.5050266666666698</v>
      </c>
      <c r="O710" s="23">
        <v>2.5050266666666698</v>
      </c>
      <c r="P710" s="21"/>
      <c r="Q710" s="22">
        <v>386.58382352941197</v>
      </c>
    </row>
    <row r="711" spans="1:17" ht="15" customHeight="1" x14ac:dyDescent="0.2">
      <c r="A711" s="26" t="s">
        <v>298</v>
      </c>
      <c r="B711" s="27" t="s">
        <v>148</v>
      </c>
      <c r="C711" s="27" t="s">
        <v>267</v>
      </c>
      <c r="D711" s="29">
        <v>98</v>
      </c>
      <c r="E711" s="26" t="s">
        <v>549</v>
      </c>
      <c r="F711" s="28" t="s">
        <v>545</v>
      </c>
      <c r="G711" s="28" t="s">
        <v>502</v>
      </c>
      <c r="H711" s="28" t="s">
        <v>550</v>
      </c>
      <c r="I711" s="30"/>
      <c r="J711" s="30"/>
      <c r="K711" s="31">
        <v>28292.22</v>
      </c>
      <c r="L711" s="31">
        <v>5175</v>
      </c>
      <c r="M711" s="31">
        <v>6675</v>
      </c>
      <c r="N711" s="32">
        <v>4.46709565217391</v>
      </c>
      <c r="O711" s="32">
        <v>3.2385348314606701</v>
      </c>
      <c r="P711" s="30"/>
      <c r="Q711" s="31">
        <v>288.69612244898002</v>
      </c>
    </row>
    <row r="712" spans="1:17" ht="15" customHeight="1" x14ac:dyDescent="0.2">
      <c r="A712" s="17" t="s">
        <v>300</v>
      </c>
      <c r="B712" s="18" t="s">
        <v>148</v>
      </c>
      <c r="C712" s="18" t="s">
        <v>267</v>
      </c>
      <c r="D712" s="20">
        <v>321</v>
      </c>
      <c r="E712" s="17" t="s">
        <v>549</v>
      </c>
      <c r="F712" s="19" t="s">
        <v>545</v>
      </c>
      <c r="G712" s="19" t="s">
        <v>502</v>
      </c>
      <c r="H712" s="19" t="s">
        <v>550</v>
      </c>
      <c r="I712" s="21"/>
      <c r="J712" s="21"/>
      <c r="K712" s="22">
        <v>92755.74</v>
      </c>
      <c r="L712" s="22">
        <v>172517</v>
      </c>
      <c r="M712" s="22">
        <v>173467</v>
      </c>
      <c r="N712" s="23">
        <v>-0.46233855214268699</v>
      </c>
      <c r="O712" s="23">
        <v>-0.46528307977886302</v>
      </c>
      <c r="P712" s="21"/>
      <c r="Q712" s="22">
        <v>288.95869158878497</v>
      </c>
    </row>
    <row r="713" spans="1:17" ht="15" customHeight="1" x14ac:dyDescent="0.2">
      <c r="A713" s="26" t="s">
        <v>302</v>
      </c>
      <c r="B713" s="27" t="s">
        <v>148</v>
      </c>
      <c r="C713" s="27" t="s">
        <v>267</v>
      </c>
      <c r="D713" s="29">
        <v>111</v>
      </c>
      <c r="E713" s="26" t="s">
        <v>549</v>
      </c>
      <c r="F713" s="28" t="s">
        <v>545</v>
      </c>
      <c r="G713" s="28" t="s">
        <v>502</v>
      </c>
      <c r="H713" s="28" t="s">
        <v>550</v>
      </c>
      <c r="I713" s="30"/>
      <c r="J713" s="30"/>
      <c r="K713" s="31">
        <v>17156.73</v>
      </c>
      <c r="L713" s="31">
        <v>30850</v>
      </c>
      <c r="M713" s="31">
        <v>33497</v>
      </c>
      <c r="N713" s="32">
        <v>-0.44386612641815198</v>
      </c>
      <c r="O713" s="32">
        <v>-0.487812938472102</v>
      </c>
      <c r="P713" s="30"/>
      <c r="Q713" s="31">
        <v>154.56513513513499</v>
      </c>
    </row>
    <row r="714" spans="1:17" ht="15" customHeight="1" x14ac:dyDescent="0.2">
      <c r="A714" s="17" t="s">
        <v>304</v>
      </c>
      <c r="B714" s="18" t="s">
        <v>148</v>
      </c>
      <c r="C714" s="18" t="s">
        <v>267</v>
      </c>
      <c r="D714" s="20">
        <v>77</v>
      </c>
      <c r="E714" s="17" t="s">
        <v>549</v>
      </c>
      <c r="F714" s="19" t="s">
        <v>545</v>
      </c>
      <c r="G714" s="19" t="s">
        <v>502</v>
      </c>
      <c r="H714" s="19" t="s">
        <v>550</v>
      </c>
      <c r="I714" s="21"/>
      <c r="J714" s="21"/>
      <c r="K714" s="22">
        <v>16428.12</v>
      </c>
      <c r="L714" s="22">
        <v>13510</v>
      </c>
      <c r="M714" s="22">
        <v>13960</v>
      </c>
      <c r="N714" s="23">
        <v>0.2159970392302</v>
      </c>
      <c r="O714" s="23">
        <v>0.176799426934097</v>
      </c>
      <c r="P714" s="21"/>
      <c r="Q714" s="22">
        <v>213.35220779220799</v>
      </c>
    </row>
    <row r="715" spans="1:17" ht="15" customHeight="1" x14ac:dyDescent="0.2">
      <c r="A715" s="26" t="s">
        <v>306</v>
      </c>
      <c r="B715" s="27" t="s">
        <v>148</v>
      </c>
      <c r="C715" s="27" t="s">
        <v>267</v>
      </c>
      <c r="D715" s="29">
        <v>365</v>
      </c>
      <c r="E715" s="26" t="s">
        <v>549</v>
      </c>
      <c r="F715" s="28" t="s">
        <v>545</v>
      </c>
      <c r="G715" s="28" t="s">
        <v>502</v>
      </c>
      <c r="H715" s="28" t="s">
        <v>550</v>
      </c>
      <c r="I715" s="30"/>
      <c r="J715" s="30"/>
      <c r="K715" s="31">
        <v>31688.57</v>
      </c>
      <c r="L715" s="31">
        <v>98250</v>
      </c>
      <c r="M715" s="31">
        <v>98250</v>
      </c>
      <c r="N715" s="32">
        <v>-0.677470025445293</v>
      </c>
      <c r="O715" s="32">
        <v>-0.677470025445293</v>
      </c>
      <c r="P715" s="30"/>
      <c r="Q715" s="31">
        <v>86.817999999999998</v>
      </c>
    </row>
    <row r="716" spans="1:17" ht="15" customHeight="1" x14ac:dyDescent="0.2">
      <c r="A716" s="17" t="s">
        <v>309</v>
      </c>
      <c r="B716" s="18" t="s">
        <v>148</v>
      </c>
      <c r="C716" s="18" t="s">
        <v>267</v>
      </c>
      <c r="D716" s="20">
        <v>270</v>
      </c>
      <c r="E716" s="17" t="s">
        <v>549</v>
      </c>
      <c r="F716" s="19" t="s">
        <v>545</v>
      </c>
      <c r="G716" s="19" t="s">
        <v>502</v>
      </c>
      <c r="H716" s="19" t="s">
        <v>550</v>
      </c>
      <c r="I716" s="21"/>
      <c r="J716" s="21"/>
      <c r="K716" s="22">
        <v>39400.269999999997</v>
      </c>
      <c r="L716" s="22">
        <v>246784</v>
      </c>
      <c r="M716" s="22">
        <v>250234</v>
      </c>
      <c r="N716" s="23">
        <v>-0.840345119618776</v>
      </c>
      <c r="O716" s="23">
        <v>-0.84254629666631997</v>
      </c>
      <c r="P716" s="21"/>
      <c r="Q716" s="22">
        <v>145.92692592592601</v>
      </c>
    </row>
    <row r="717" spans="1:17" ht="15" customHeight="1" x14ac:dyDescent="0.2">
      <c r="A717" s="35" t="s">
        <v>312</v>
      </c>
      <c r="B717" s="36" t="s">
        <v>313</v>
      </c>
      <c r="C717" s="36" t="s">
        <v>267</v>
      </c>
      <c r="D717" s="38">
        <v>170</v>
      </c>
      <c r="E717" s="35" t="s">
        <v>549</v>
      </c>
      <c r="F717" s="37" t="s">
        <v>545</v>
      </c>
      <c r="G717" s="37" t="s">
        <v>502</v>
      </c>
      <c r="H717" s="37" t="s">
        <v>550</v>
      </c>
      <c r="I717" s="39"/>
      <c r="J717" s="39"/>
      <c r="K717" s="40">
        <v>17998.09</v>
      </c>
      <c r="L717" s="40">
        <v>106000</v>
      </c>
      <c r="M717" s="40">
        <v>106150</v>
      </c>
      <c r="N717" s="41">
        <v>-0.83020669811320802</v>
      </c>
      <c r="O717" s="41">
        <v>-0.83044663212435199</v>
      </c>
      <c r="P717" s="39"/>
      <c r="Q717" s="40">
        <v>105.87111764705899</v>
      </c>
    </row>
    <row r="718" spans="1:17" ht="15" customHeight="1" x14ac:dyDescent="0.2">
      <c r="A718" s="35" t="s">
        <v>316</v>
      </c>
      <c r="B718" s="36" t="s">
        <v>313</v>
      </c>
      <c r="C718" s="36" t="s">
        <v>267</v>
      </c>
      <c r="D718" s="38">
        <v>234</v>
      </c>
      <c r="E718" s="35" t="s">
        <v>549</v>
      </c>
      <c r="F718" s="37" t="s">
        <v>545</v>
      </c>
      <c r="G718" s="37" t="s">
        <v>502</v>
      </c>
      <c r="H718" s="37" t="s">
        <v>550</v>
      </c>
      <c r="I718" s="39"/>
      <c r="J718" s="39"/>
      <c r="K718" s="40">
        <v>169337.63</v>
      </c>
      <c r="L718" s="40">
        <v>105025</v>
      </c>
      <c r="M718" s="40">
        <v>122695</v>
      </c>
      <c r="N718" s="41">
        <v>0.61235543918114699</v>
      </c>
      <c r="O718" s="41">
        <v>0.38015102489913999</v>
      </c>
      <c r="P718" s="39"/>
      <c r="Q718" s="40">
        <v>723.66508547008596</v>
      </c>
    </row>
    <row r="719" spans="1:17" ht="15" customHeight="1" x14ac:dyDescent="0.2">
      <c r="A719" s="35" t="s">
        <v>319</v>
      </c>
      <c r="B719" s="36" t="s">
        <v>313</v>
      </c>
      <c r="C719" s="36" t="s">
        <v>267</v>
      </c>
      <c r="D719" s="38">
        <v>24</v>
      </c>
      <c r="E719" s="35" t="s">
        <v>549</v>
      </c>
      <c r="F719" s="37" t="s">
        <v>545</v>
      </c>
      <c r="G719" s="37" t="s">
        <v>502</v>
      </c>
      <c r="H719" s="37" t="s">
        <v>550</v>
      </c>
      <c r="I719" s="39"/>
      <c r="J719" s="39"/>
      <c r="K719" s="40">
        <v>2904.28</v>
      </c>
      <c r="L719" s="40">
        <v>4000</v>
      </c>
      <c r="M719" s="40">
        <v>4000</v>
      </c>
      <c r="N719" s="41">
        <v>-0.27393000000000001</v>
      </c>
      <c r="O719" s="41">
        <v>-0.27393000000000001</v>
      </c>
      <c r="P719" s="39"/>
      <c r="Q719" s="40">
        <v>121.011666666667</v>
      </c>
    </row>
    <row r="720" spans="1:17" ht="15" customHeight="1" x14ac:dyDescent="0.2">
      <c r="A720" s="35" t="s">
        <v>327</v>
      </c>
      <c r="B720" s="36" t="s">
        <v>313</v>
      </c>
      <c r="C720" s="36" t="s">
        <v>267</v>
      </c>
      <c r="D720" s="38">
        <v>244</v>
      </c>
      <c r="E720" s="35" t="s">
        <v>549</v>
      </c>
      <c r="F720" s="37" t="s">
        <v>545</v>
      </c>
      <c r="G720" s="37" t="s">
        <v>502</v>
      </c>
      <c r="H720" s="37" t="s">
        <v>550</v>
      </c>
      <c r="I720" s="39"/>
      <c r="J720" s="39"/>
      <c r="K720" s="40">
        <v>54729.07</v>
      </c>
      <c r="L720" s="40">
        <v>68005</v>
      </c>
      <c r="M720" s="40">
        <v>78105</v>
      </c>
      <c r="N720" s="41">
        <v>-0.19521991030071301</v>
      </c>
      <c r="O720" s="41">
        <v>-0.29928852186159699</v>
      </c>
      <c r="P720" s="39"/>
      <c r="Q720" s="40">
        <v>224.29946721311501</v>
      </c>
    </row>
    <row r="721" spans="1:17" ht="15" customHeight="1" x14ac:dyDescent="0.2">
      <c r="A721" s="35" t="s">
        <v>329</v>
      </c>
      <c r="B721" s="36" t="s">
        <v>313</v>
      </c>
      <c r="C721" s="36" t="s">
        <v>330</v>
      </c>
      <c r="D721" s="38">
        <v>186</v>
      </c>
      <c r="E721" s="35" t="s">
        <v>549</v>
      </c>
      <c r="F721" s="37" t="s">
        <v>545</v>
      </c>
      <c r="G721" s="37" t="s">
        <v>502</v>
      </c>
      <c r="H721" s="37" t="s">
        <v>550</v>
      </c>
      <c r="I721" s="39"/>
      <c r="J721" s="39"/>
      <c r="K721" s="40">
        <v>15686.54</v>
      </c>
      <c r="L721" s="40">
        <v>37500</v>
      </c>
      <c r="M721" s="40">
        <v>40900</v>
      </c>
      <c r="N721" s="41">
        <v>-0.58169226666666696</v>
      </c>
      <c r="O721" s="41">
        <v>-0.61646601466992701</v>
      </c>
      <c r="P721" s="39"/>
      <c r="Q721" s="40">
        <v>84.336236559139806</v>
      </c>
    </row>
    <row r="722" spans="1:17" ht="15" customHeight="1" x14ac:dyDescent="0.2">
      <c r="A722" s="17" t="s">
        <v>147</v>
      </c>
      <c r="B722" s="18" t="s">
        <v>148</v>
      </c>
      <c r="C722" s="18" t="s">
        <v>149</v>
      </c>
      <c r="D722" s="20">
        <v>234</v>
      </c>
      <c r="E722" s="17" t="s">
        <v>551</v>
      </c>
      <c r="F722" s="19" t="s">
        <v>545</v>
      </c>
      <c r="G722" s="19" t="s">
        <v>502</v>
      </c>
      <c r="H722" s="19" t="s">
        <v>552</v>
      </c>
      <c r="I722" s="21"/>
      <c r="J722" s="21"/>
      <c r="K722" s="22">
        <v>16844.650000000001</v>
      </c>
      <c r="L722" s="22">
        <v>19308</v>
      </c>
      <c r="M722" s="22">
        <v>19308</v>
      </c>
      <c r="N722" s="23">
        <v>-0.12758183136523699</v>
      </c>
      <c r="O722" s="23">
        <v>-0.12758183136523699</v>
      </c>
      <c r="P722" s="21"/>
      <c r="Q722" s="22">
        <v>71.985683760683798</v>
      </c>
    </row>
    <row r="723" spans="1:17" ht="15" customHeight="1" x14ac:dyDescent="0.2">
      <c r="A723" s="26" t="s">
        <v>152</v>
      </c>
      <c r="B723" s="27" t="s">
        <v>148</v>
      </c>
      <c r="C723" s="27" t="s">
        <v>149</v>
      </c>
      <c r="D723" s="29">
        <v>258</v>
      </c>
      <c r="E723" s="26" t="s">
        <v>551</v>
      </c>
      <c r="F723" s="28" t="s">
        <v>545</v>
      </c>
      <c r="G723" s="28" t="s">
        <v>502</v>
      </c>
      <c r="H723" s="28" t="s">
        <v>552</v>
      </c>
      <c r="I723" s="30"/>
      <c r="J723" s="30"/>
      <c r="K723" s="31">
        <v>58265.64</v>
      </c>
      <c r="L723" s="31">
        <v>70425</v>
      </c>
      <c r="M723" s="31">
        <v>70425</v>
      </c>
      <c r="N723" s="32">
        <v>-0.17265686900958499</v>
      </c>
      <c r="O723" s="32">
        <v>-0.17265686900958499</v>
      </c>
      <c r="P723" s="30"/>
      <c r="Q723" s="31">
        <v>225.83581395348801</v>
      </c>
    </row>
    <row r="724" spans="1:17" ht="15" customHeight="1" x14ac:dyDescent="0.2">
      <c r="A724" s="17" t="s">
        <v>154</v>
      </c>
      <c r="B724" s="18" t="s">
        <v>148</v>
      </c>
      <c r="C724" s="18" t="s">
        <v>149</v>
      </c>
      <c r="D724" s="20">
        <v>56</v>
      </c>
      <c r="E724" s="17" t="s">
        <v>551</v>
      </c>
      <c r="F724" s="19" t="s">
        <v>545</v>
      </c>
      <c r="G724" s="19" t="s">
        <v>502</v>
      </c>
      <c r="H724" s="19" t="s">
        <v>552</v>
      </c>
      <c r="I724" s="21"/>
      <c r="J724" s="21"/>
      <c r="K724" s="22">
        <v>2749.23</v>
      </c>
      <c r="L724" s="22">
        <v>2800</v>
      </c>
      <c r="M724" s="22">
        <v>2800</v>
      </c>
      <c r="N724" s="23">
        <v>-1.8132142857142899E-2</v>
      </c>
      <c r="O724" s="23">
        <v>-1.8132142857142899E-2</v>
      </c>
      <c r="P724" s="21"/>
      <c r="Q724" s="22">
        <v>49.093392857142902</v>
      </c>
    </row>
    <row r="725" spans="1:17" ht="15" customHeight="1" x14ac:dyDescent="0.2">
      <c r="A725" s="26" t="s">
        <v>157</v>
      </c>
      <c r="B725" s="27" t="s">
        <v>148</v>
      </c>
      <c r="C725" s="27" t="s">
        <v>149</v>
      </c>
      <c r="D725" s="29">
        <v>149</v>
      </c>
      <c r="E725" s="26" t="s">
        <v>551</v>
      </c>
      <c r="F725" s="28" t="s">
        <v>545</v>
      </c>
      <c r="G725" s="28" t="s">
        <v>502</v>
      </c>
      <c r="H725" s="28" t="s">
        <v>552</v>
      </c>
      <c r="I725" s="30"/>
      <c r="J725" s="30"/>
      <c r="K725" s="31">
        <v>5720.08</v>
      </c>
      <c r="L725" s="31">
        <v>7980</v>
      </c>
      <c r="M725" s="31">
        <v>7980</v>
      </c>
      <c r="N725" s="32">
        <v>-0.283197994987469</v>
      </c>
      <c r="O725" s="32">
        <v>-0.283197994987469</v>
      </c>
      <c r="P725" s="30"/>
      <c r="Q725" s="31">
        <v>38.389798657718103</v>
      </c>
    </row>
    <row r="726" spans="1:17" ht="15" customHeight="1" x14ac:dyDescent="0.2">
      <c r="A726" s="17" t="s">
        <v>159</v>
      </c>
      <c r="B726" s="18" t="s">
        <v>148</v>
      </c>
      <c r="C726" s="18" t="s">
        <v>149</v>
      </c>
      <c r="D726" s="20">
        <v>117</v>
      </c>
      <c r="E726" s="17" t="s">
        <v>551</v>
      </c>
      <c r="F726" s="19" t="s">
        <v>545</v>
      </c>
      <c r="G726" s="19" t="s">
        <v>502</v>
      </c>
      <c r="H726" s="19" t="s">
        <v>552</v>
      </c>
      <c r="I726" s="21"/>
      <c r="J726" s="21"/>
      <c r="K726" s="22">
        <v>5222.75</v>
      </c>
      <c r="L726" s="22">
        <v>5460</v>
      </c>
      <c r="M726" s="22">
        <v>5460</v>
      </c>
      <c r="N726" s="23">
        <v>-4.3452380952380999E-2</v>
      </c>
      <c r="O726" s="23">
        <v>-4.3452380952380999E-2</v>
      </c>
      <c r="P726" s="21"/>
      <c r="Q726" s="22">
        <v>44.6388888888889</v>
      </c>
    </row>
    <row r="727" spans="1:17" ht="15" customHeight="1" x14ac:dyDescent="0.2">
      <c r="A727" s="26" t="s">
        <v>161</v>
      </c>
      <c r="B727" s="27" t="s">
        <v>148</v>
      </c>
      <c r="C727" s="27" t="s">
        <v>149</v>
      </c>
      <c r="D727" s="29">
        <v>162</v>
      </c>
      <c r="E727" s="26" t="s">
        <v>551</v>
      </c>
      <c r="F727" s="28" t="s">
        <v>545</v>
      </c>
      <c r="G727" s="28" t="s">
        <v>502</v>
      </c>
      <c r="H727" s="28" t="s">
        <v>552</v>
      </c>
      <c r="I727" s="30"/>
      <c r="J727" s="30"/>
      <c r="K727" s="31">
        <v>8579.19</v>
      </c>
      <c r="L727" s="31">
        <v>13130</v>
      </c>
      <c r="M727" s="31">
        <v>13130</v>
      </c>
      <c r="N727" s="32">
        <v>-0.34659634424981001</v>
      </c>
      <c r="O727" s="32">
        <v>-0.34659634424981001</v>
      </c>
      <c r="P727" s="30"/>
      <c r="Q727" s="31">
        <v>52.957962962963002</v>
      </c>
    </row>
    <row r="728" spans="1:17" ht="15" customHeight="1" x14ac:dyDescent="0.2">
      <c r="A728" s="17" t="s">
        <v>165</v>
      </c>
      <c r="B728" s="18" t="s">
        <v>148</v>
      </c>
      <c r="C728" s="18" t="s">
        <v>149</v>
      </c>
      <c r="D728" s="20">
        <v>197</v>
      </c>
      <c r="E728" s="17" t="s">
        <v>551</v>
      </c>
      <c r="F728" s="19" t="s">
        <v>545</v>
      </c>
      <c r="G728" s="19" t="s">
        <v>502</v>
      </c>
      <c r="H728" s="19" t="s">
        <v>552</v>
      </c>
      <c r="I728" s="21"/>
      <c r="J728" s="21"/>
      <c r="K728" s="22">
        <v>13825.36</v>
      </c>
      <c r="L728" s="22">
        <v>17220</v>
      </c>
      <c r="M728" s="22">
        <v>17700</v>
      </c>
      <c r="N728" s="23">
        <v>-0.19713356562137099</v>
      </c>
      <c r="O728" s="23">
        <v>-0.21890621468926599</v>
      </c>
      <c r="P728" s="21"/>
      <c r="Q728" s="22">
        <v>70.179492385786801</v>
      </c>
    </row>
    <row r="729" spans="1:17" ht="15" customHeight="1" x14ac:dyDescent="0.2">
      <c r="A729" s="26" t="s">
        <v>167</v>
      </c>
      <c r="B729" s="27" t="s">
        <v>148</v>
      </c>
      <c r="C729" s="27" t="s">
        <v>149</v>
      </c>
      <c r="D729" s="29">
        <v>119</v>
      </c>
      <c r="E729" s="26" t="s">
        <v>551</v>
      </c>
      <c r="F729" s="28" t="s">
        <v>545</v>
      </c>
      <c r="G729" s="28" t="s">
        <v>502</v>
      </c>
      <c r="H729" s="28" t="s">
        <v>552</v>
      </c>
      <c r="I729" s="30"/>
      <c r="J729" s="30"/>
      <c r="K729" s="31">
        <v>6453.36</v>
      </c>
      <c r="L729" s="31">
        <v>5700</v>
      </c>
      <c r="M729" s="31">
        <v>5740</v>
      </c>
      <c r="N729" s="32">
        <v>0.13216842105263199</v>
      </c>
      <c r="O729" s="32">
        <v>0.124278745644599</v>
      </c>
      <c r="P729" s="30"/>
      <c r="Q729" s="31">
        <v>54.229915966386599</v>
      </c>
    </row>
    <row r="730" spans="1:17" ht="15" customHeight="1" x14ac:dyDescent="0.2">
      <c r="A730" s="17" t="s">
        <v>169</v>
      </c>
      <c r="B730" s="18" t="s">
        <v>148</v>
      </c>
      <c r="C730" s="18" t="s">
        <v>149</v>
      </c>
      <c r="D730" s="20">
        <v>211</v>
      </c>
      <c r="E730" s="17" t="s">
        <v>551</v>
      </c>
      <c r="F730" s="19" t="s">
        <v>545</v>
      </c>
      <c r="G730" s="19" t="s">
        <v>502</v>
      </c>
      <c r="H730" s="19" t="s">
        <v>552</v>
      </c>
      <c r="I730" s="21"/>
      <c r="J730" s="21"/>
      <c r="K730" s="22">
        <v>5771.34</v>
      </c>
      <c r="L730" s="22">
        <v>18200</v>
      </c>
      <c r="M730" s="22">
        <v>18200</v>
      </c>
      <c r="N730" s="23">
        <v>-0.68289340659340703</v>
      </c>
      <c r="O730" s="23">
        <v>-0.68289340659340703</v>
      </c>
      <c r="P730" s="21"/>
      <c r="Q730" s="22">
        <v>27.352322274881502</v>
      </c>
    </row>
    <row r="731" spans="1:17" ht="15" customHeight="1" x14ac:dyDescent="0.2">
      <c r="A731" s="26" t="s">
        <v>171</v>
      </c>
      <c r="B731" s="27" t="s">
        <v>148</v>
      </c>
      <c r="C731" s="27" t="s">
        <v>149</v>
      </c>
      <c r="D731" s="29">
        <v>211</v>
      </c>
      <c r="E731" s="26" t="s">
        <v>551</v>
      </c>
      <c r="F731" s="28" t="s">
        <v>545</v>
      </c>
      <c r="G731" s="28" t="s">
        <v>502</v>
      </c>
      <c r="H731" s="28" t="s">
        <v>552</v>
      </c>
      <c r="I731" s="30"/>
      <c r="J731" s="30"/>
      <c r="K731" s="31">
        <v>40231.97</v>
      </c>
      <c r="L731" s="31">
        <v>69200</v>
      </c>
      <c r="M731" s="31">
        <v>69350</v>
      </c>
      <c r="N731" s="32">
        <v>-0.41861315028901702</v>
      </c>
      <c r="O731" s="32">
        <v>-0.41987065609228602</v>
      </c>
      <c r="P731" s="30"/>
      <c r="Q731" s="31">
        <v>190.67284360189601</v>
      </c>
    </row>
    <row r="732" spans="1:17" ht="15" customHeight="1" x14ac:dyDescent="0.2">
      <c r="A732" s="17" t="s">
        <v>173</v>
      </c>
      <c r="B732" s="18" t="s">
        <v>148</v>
      </c>
      <c r="C732" s="18" t="s">
        <v>149</v>
      </c>
      <c r="D732" s="20">
        <v>256</v>
      </c>
      <c r="E732" s="17" t="s">
        <v>551</v>
      </c>
      <c r="F732" s="19" t="s">
        <v>545</v>
      </c>
      <c r="G732" s="19" t="s">
        <v>502</v>
      </c>
      <c r="H732" s="19" t="s">
        <v>552</v>
      </c>
      <c r="I732" s="21"/>
      <c r="J732" s="21"/>
      <c r="K732" s="22">
        <v>24723.82</v>
      </c>
      <c r="L732" s="22">
        <v>26400</v>
      </c>
      <c r="M732" s="22">
        <v>26700</v>
      </c>
      <c r="N732" s="23">
        <v>-6.3491666666666696E-2</v>
      </c>
      <c r="O732" s="23">
        <v>-7.4014232209737796E-2</v>
      </c>
      <c r="P732" s="21"/>
      <c r="Q732" s="22">
        <v>96.577421874999999</v>
      </c>
    </row>
    <row r="733" spans="1:17" ht="15" customHeight="1" x14ac:dyDescent="0.2">
      <c r="A733" s="26" t="s">
        <v>175</v>
      </c>
      <c r="B733" s="27" t="s">
        <v>148</v>
      </c>
      <c r="C733" s="27" t="s">
        <v>149</v>
      </c>
      <c r="D733" s="29">
        <v>136</v>
      </c>
      <c r="E733" s="26" t="s">
        <v>551</v>
      </c>
      <c r="F733" s="28" t="s">
        <v>545</v>
      </c>
      <c r="G733" s="28" t="s">
        <v>502</v>
      </c>
      <c r="H733" s="28" t="s">
        <v>552</v>
      </c>
      <c r="I733" s="30"/>
      <c r="J733" s="30"/>
      <c r="K733" s="31">
        <v>6538.72</v>
      </c>
      <c r="L733" s="31">
        <v>9520</v>
      </c>
      <c r="M733" s="31">
        <v>9520</v>
      </c>
      <c r="N733" s="32">
        <v>-0.313159663865546</v>
      </c>
      <c r="O733" s="32">
        <v>-0.313159663865546</v>
      </c>
      <c r="P733" s="30"/>
      <c r="Q733" s="31">
        <v>48.0788235294118</v>
      </c>
    </row>
    <row r="734" spans="1:17" ht="15" customHeight="1" x14ac:dyDescent="0.2">
      <c r="A734" s="17" t="s">
        <v>179</v>
      </c>
      <c r="B734" s="18" t="s">
        <v>148</v>
      </c>
      <c r="C734" s="18" t="s">
        <v>180</v>
      </c>
      <c r="D734" s="20">
        <v>209</v>
      </c>
      <c r="E734" s="17" t="s">
        <v>551</v>
      </c>
      <c r="F734" s="19" t="s">
        <v>545</v>
      </c>
      <c r="G734" s="19" t="s">
        <v>502</v>
      </c>
      <c r="H734" s="19" t="s">
        <v>552</v>
      </c>
      <c r="I734" s="21"/>
      <c r="J734" s="21"/>
      <c r="K734" s="22">
        <v>11617.32</v>
      </c>
      <c r="L734" s="22">
        <v>17500</v>
      </c>
      <c r="M734" s="22">
        <v>17660</v>
      </c>
      <c r="N734" s="23">
        <v>-0.33615314285714298</v>
      </c>
      <c r="O734" s="23">
        <v>-0.34216761041902599</v>
      </c>
      <c r="P734" s="21"/>
      <c r="Q734" s="22">
        <v>55.585263157894701</v>
      </c>
    </row>
    <row r="735" spans="1:17" ht="15" customHeight="1" x14ac:dyDescent="0.2">
      <c r="A735" s="26" t="s">
        <v>185</v>
      </c>
      <c r="B735" s="27" t="s">
        <v>148</v>
      </c>
      <c r="C735" s="27" t="s">
        <v>180</v>
      </c>
      <c r="D735" s="29">
        <v>117</v>
      </c>
      <c r="E735" s="26" t="s">
        <v>551</v>
      </c>
      <c r="F735" s="28" t="s">
        <v>545</v>
      </c>
      <c r="G735" s="28" t="s">
        <v>502</v>
      </c>
      <c r="H735" s="28" t="s">
        <v>552</v>
      </c>
      <c r="I735" s="30"/>
      <c r="J735" s="30"/>
      <c r="K735" s="31">
        <v>8927.31</v>
      </c>
      <c r="L735" s="31">
        <v>14100</v>
      </c>
      <c r="M735" s="31">
        <v>14100</v>
      </c>
      <c r="N735" s="32">
        <v>-0.36685744680851101</v>
      </c>
      <c r="O735" s="32">
        <v>-0.36685744680851101</v>
      </c>
      <c r="P735" s="30"/>
      <c r="Q735" s="31">
        <v>76.301794871794897</v>
      </c>
    </row>
    <row r="736" spans="1:17" ht="15" customHeight="1" x14ac:dyDescent="0.2">
      <c r="A736" s="17" t="s">
        <v>190</v>
      </c>
      <c r="B736" s="18" t="s">
        <v>148</v>
      </c>
      <c r="C736" s="18" t="s">
        <v>180</v>
      </c>
      <c r="D736" s="20">
        <v>75</v>
      </c>
      <c r="E736" s="17" t="s">
        <v>551</v>
      </c>
      <c r="F736" s="19" t="s">
        <v>545</v>
      </c>
      <c r="G736" s="19" t="s">
        <v>502</v>
      </c>
      <c r="H736" s="19" t="s">
        <v>552</v>
      </c>
      <c r="I736" s="21"/>
      <c r="J736" s="21"/>
      <c r="K736" s="22">
        <v>4759.8599999999997</v>
      </c>
      <c r="L736" s="22">
        <v>7780</v>
      </c>
      <c r="M736" s="22">
        <v>7780</v>
      </c>
      <c r="N736" s="23">
        <v>-0.38819280205655499</v>
      </c>
      <c r="O736" s="23">
        <v>-0.38819280205655499</v>
      </c>
      <c r="P736" s="21"/>
      <c r="Q736" s="22">
        <v>63.464799999999997</v>
      </c>
    </row>
    <row r="737" spans="1:17" ht="15" customHeight="1" x14ac:dyDescent="0.2">
      <c r="A737" s="26" t="s">
        <v>195</v>
      </c>
      <c r="B737" s="27" t="s">
        <v>148</v>
      </c>
      <c r="C737" s="27" t="s">
        <v>180</v>
      </c>
      <c r="D737" s="29">
        <v>49</v>
      </c>
      <c r="E737" s="26" t="s">
        <v>551</v>
      </c>
      <c r="F737" s="28" t="s">
        <v>545</v>
      </c>
      <c r="G737" s="28" t="s">
        <v>502</v>
      </c>
      <c r="H737" s="28" t="s">
        <v>552</v>
      </c>
      <c r="I737" s="30"/>
      <c r="J737" s="30"/>
      <c r="K737" s="31">
        <v>5237.21</v>
      </c>
      <c r="L737" s="31">
        <v>4375</v>
      </c>
      <c r="M737" s="31">
        <v>4375</v>
      </c>
      <c r="N737" s="32">
        <v>0.19707657142857099</v>
      </c>
      <c r="O737" s="32">
        <v>0.19707657142857099</v>
      </c>
      <c r="P737" s="30"/>
      <c r="Q737" s="31">
        <v>106.88183673469401</v>
      </c>
    </row>
    <row r="738" spans="1:17" ht="15" customHeight="1" x14ac:dyDescent="0.2">
      <c r="A738" s="17" t="s">
        <v>201</v>
      </c>
      <c r="B738" s="18" t="s">
        <v>148</v>
      </c>
      <c r="C738" s="18" t="s">
        <v>180</v>
      </c>
      <c r="D738" s="20">
        <v>170</v>
      </c>
      <c r="E738" s="17" t="s">
        <v>551</v>
      </c>
      <c r="F738" s="19" t="s">
        <v>545</v>
      </c>
      <c r="G738" s="19" t="s">
        <v>502</v>
      </c>
      <c r="H738" s="19" t="s">
        <v>552</v>
      </c>
      <c r="I738" s="21"/>
      <c r="J738" s="21"/>
      <c r="K738" s="22">
        <v>14050.89</v>
      </c>
      <c r="L738" s="22">
        <v>15450</v>
      </c>
      <c r="M738" s="22">
        <v>15450</v>
      </c>
      <c r="N738" s="23">
        <v>-9.0557281553398095E-2</v>
      </c>
      <c r="O738" s="23">
        <v>-9.0557281553398095E-2</v>
      </c>
      <c r="P738" s="21"/>
      <c r="Q738" s="22">
        <v>82.652294117647102</v>
      </c>
    </row>
    <row r="739" spans="1:17" ht="15" customHeight="1" x14ac:dyDescent="0.2">
      <c r="A739" s="26" t="s">
        <v>205</v>
      </c>
      <c r="B739" s="27" t="s">
        <v>148</v>
      </c>
      <c r="C739" s="27" t="s">
        <v>180</v>
      </c>
      <c r="D739" s="29">
        <v>296</v>
      </c>
      <c r="E739" s="26" t="s">
        <v>551</v>
      </c>
      <c r="F739" s="28" t="s">
        <v>545</v>
      </c>
      <c r="G739" s="28" t="s">
        <v>502</v>
      </c>
      <c r="H739" s="28" t="s">
        <v>552</v>
      </c>
      <c r="I739" s="30"/>
      <c r="J739" s="30"/>
      <c r="K739" s="31">
        <v>9133.3700000000008</v>
      </c>
      <c r="L739" s="31">
        <v>17700</v>
      </c>
      <c r="M739" s="31">
        <v>17954</v>
      </c>
      <c r="N739" s="32">
        <v>-0.48399039548022599</v>
      </c>
      <c r="O739" s="32">
        <v>-0.49129052021833602</v>
      </c>
      <c r="P739" s="30"/>
      <c r="Q739" s="31">
        <v>30.8559797297297</v>
      </c>
    </row>
    <row r="740" spans="1:17" ht="15" customHeight="1" x14ac:dyDescent="0.2">
      <c r="A740" s="17" t="s">
        <v>210</v>
      </c>
      <c r="B740" s="18" t="s">
        <v>148</v>
      </c>
      <c r="C740" s="18" t="s">
        <v>180</v>
      </c>
      <c r="D740" s="20">
        <v>83</v>
      </c>
      <c r="E740" s="17" t="s">
        <v>551</v>
      </c>
      <c r="F740" s="19" t="s">
        <v>545</v>
      </c>
      <c r="G740" s="19" t="s">
        <v>502</v>
      </c>
      <c r="H740" s="19" t="s">
        <v>552</v>
      </c>
      <c r="I740" s="21"/>
      <c r="J740" s="21"/>
      <c r="K740" s="22">
        <v>6161.22</v>
      </c>
      <c r="L740" s="22">
        <v>7500</v>
      </c>
      <c r="M740" s="22">
        <v>7500</v>
      </c>
      <c r="N740" s="23">
        <v>-0.178504</v>
      </c>
      <c r="O740" s="23">
        <v>-0.178504</v>
      </c>
      <c r="P740" s="21"/>
      <c r="Q740" s="22">
        <v>74.231566265060195</v>
      </c>
    </row>
    <row r="741" spans="1:17" ht="15" customHeight="1" x14ac:dyDescent="0.2">
      <c r="A741" s="26" t="s">
        <v>214</v>
      </c>
      <c r="B741" s="27" t="s">
        <v>148</v>
      </c>
      <c r="C741" s="27" t="s">
        <v>180</v>
      </c>
      <c r="D741" s="29">
        <v>144</v>
      </c>
      <c r="E741" s="26" t="s">
        <v>551</v>
      </c>
      <c r="F741" s="28" t="s">
        <v>545</v>
      </c>
      <c r="G741" s="28" t="s">
        <v>502</v>
      </c>
      <c r="H741" s="28" t="s">
        <v>552</v>
      </c>
      <c r="I741" s="30"/>
      <c r="J741" s="30"/>
      <c r="K741" s="31">
        <v>9952.7900000000009</v>
      </c>
      <c r="L741" s="31">
        <v>16650</v>
      </c>
      <c r="M741" s="31">
        <v>19740</v>
      </c>
      <c r="N741" s="32">
        <v>-0.40223483483483502</v>
      </c>
      <c r="O741" s="32">
        <v>-0.49580597771023299</v>
      </c>
      <c r="P741" s="30"/>
      <c r="Q741" s="31">
        <v>69.116597222222197</v>
      </c>
    </row>
    <row r="742" spans="1:17" ht="15" customHeight="1" x14ac:dyDescent="0.2">
      <c r="A742" s="17" t="s">
        <v>219</v>
      </c>
      <c r="B742" s="18" t="s">
        <v>148</v>
      </c>
      <c r="C742" s="18" t="s">
        <v>180</v>
      </c>
      <c r="D742" s="20">
        <v>398</v>
      </c>
      <c r="E742" s="17" t="s">
        <v>551</v>
      </c>
      <c r="F742" s="19" t="s">
        <v>545</v>
      </c>
      <c r="G742" s="19" t="s">
        <v>502</v>
      </c>
      <c r="H742" s="19" t="s">
        <v>552</v>
      </c>
      <c r="I742" s="21"/>
      <c r="J742" s="21"/>
      <c r="K742" s="22">
        <v>7891.24</v>
      </c>
      <c r="L742" s="22">
        <v>9310</v>
      </c>
      <c r="M742" s="22">
        <v>9310</v>
      </c>
      <c r="N742" s="23">
        <v>-0.15239097744360899</v>
      </c>
      <c r="O742" s="23">
        <v>-0.15239097744360899</v>
      </c>
      <c r="P742" s="21"/>
      <c r="Q742" s="22">
        <v>19.827236180904499</v>
      </c>
    </row>
    <row r="743" spans="1:17" ht="15" customHeight="1" x14ac:dyDescent="0.2">
      <c r="A743" s="26" t="s">
        <v>224</v>
      </c>
      <c r="B743" s="27" t="s">
        <v>148</v>
      </c>
      <c r="C743" s="27" t="s">
        <v>180</v>
      </c>
      <c r="D743" s="29">
        <v>71</v>
      </c>
      <c r="E743" s="26" t="s">
        <v>551</v>
      </c>
      <c r="F743" s="28" t="s">
        <v>545</v>
      </c>
      <c r="G743" s="28" t="s">
        <v>502</v>
      </c>
      <c r="H743" s="28" t="s">
        <v>552</v>
      </c>
      <c r="I743" s="30"/>
      <c r="J743" s="30"/>
      <c r="K743" s="31">
        <v>80.8</v>
      </c>
      <c r="L743" s="31"/>
      <c r="M743" s="31"/>
      <c r="N743" s="32"/>
      <c r="O743" s="32"/>
      <c r="P743" s="30"/>
      <c r="Q743" s="31">
        <v>1.1380281690140901</v>
      </c>
    </row>
    <row r="744" spans="1:17" ht="15" customHeight="1" x14ac:dyDescent="0.2">
      <c r="A744" s="17" t="s">
        <v>230</v>
      </c>
      <c r="B744" s="18" t="s">
        <v>148</v>
      </c>
      <c r="C744" s="18" t="s">
        <v>180</v>
      </c>
      <c r="D744" s="20">
        <v>139</v>
      </c>
      <c r="E744" s="17" t="s">
        <v>551</v>
      </c>
      <c r="F744" s="19" t="s">
        <v>545</v>
      </c>
      <c r="G744" s="19" t="s">
        <v>502</v>
      </c>
      <c r="H744" s="19" t="s">
        <v>552</v>
      </c>
      <c r="I744" s="21"/>
      <c r="J744" s="21"/>
      <c r="K744" s="22">
        <v>11279.69</v>
      </c>
      <c r="L744" s="22">
        <v>7740</v>
      </c>
      <c r="M744" s="22">
        <v>8272</v>
      </c>
      <c r="N744" s="23">
        <v>0.45732428940568498</v>
      </c>
      <c r="O744" s="23">
        <v>0.36359888781431299</v>
      </c>
      <c r="P744" s="21"/>
      <c r="Q744" s="22">
        <v>81.148848920863301</v>
      </c>
    </row>
    <row r="745" spans="1:17" ht="15" customHeight="1" x14ac:dyDescent="0.2">
      <c r="A745" s="26" t="s">
        <v>236</v>
      </c>
      <c r="B745" s="27" t="s">
        <v>148</v>
      </c>
      <c r="C745" s="27" t="s">
        <v>180</v>
      </c>
      <c r="D745" s="29">
        <v>128</v>
      </c>
      <c r="E745" s="26" t="s">
        <v>551</v>
      </c>
      <c r="F745" s="28" t="s">
        <v>545</v>
      </c>
      <c r="G745" s="28" t="s">
        <v>502</v>
      </c>
      <c r="H745" s="28" t="s">
        <v>552</v>
      </c>
      <c r="I745" s="30"/>
      <c r="J745" s="30"/>
      <c r="K745" s="31">
        <v>9058.0499999999993</v>
      </c>
      <c r="L745" s="31">
        <v>7500</v>
      </c>
      <c r="M745" s="31">
        <v>8771</v>
      </c>
      <c r="N745" s="32">
        <v>0.20774000000000001</v>
      </c>
      <c r="O745" s="32">
        <v>3.2727169079922402E-2</v>
      </c>
      <c r="P745" s="30"/>
      <c r="Q745" s="31">
        <v>70.766015624999994</v>
      </c>
    </row>
    <row r="746" spans="1:17" ht="15" customHeight="1" x14ac:dyDescent="0.2">
      <c r="A746" s="17" t="s">
        <v>239</v>
      </c>
      <c r="B746" s="18" t="s">
        <v>148</v>
      </c>
      <c r="C746" s="18" t="s">
        <v>180</v>
      </c>
      <c r="D746" s="20">
        <v>92</v>
      </c>
      <c r="E746" s="17" t="s">
        <v>551</v>
      </c>
      <c r="F746" s="19" t="s">
        <v>545</v>
      </c>
      <c r="G746" s="19" t="s">
        <v>502</v>
      </c>
      <c r="H746" s="19" t="s">
        <v>552</v>
      </c>
      <c r="I746" s="21"/>
      <c r="J746" s="21"/>
      <c r="K746" s="22">
        <v>5117.2299999999996</v>
      </c>
      <c r="L746" s="22">
        <v>4800</v>
      </c>
      <c r="M746" s="22">
        <v>4800</v>
      </c>
      <c r="N746" s="23">
        <v>6.6089583333333202E-2</v>
      </c>
      <c r="O746" s="23">
        <v>6.6089583333333202E-2</v>
      </c>
      <c r="P746" s="21"/>
      <c r="Q746" s="22">
        <v>55.622065217391302</v>
      </c>
    </row>
    <row r="747" spans="1:17" ht="15" customHeight="1" x14ac:dyDescent="0.2">
      <c r="A747" s="26" t="s">
        <v>249</v>
      </c>
      <c r="B747" s="27" t="s">
        <v>148</v>
      </c>
      <c r="C747" s="27" t="s">
        <v>180</v>
      </c>
      <c r="D747" s="29">
        <v>122</v>
      </c>
      <c r="E747" s="26" t="s">
        <v>551</v>
      </c>
      <c r="F747" s="28" t="s">
        <v>545</v>
      </c>
      <c r="G747" s="28" t="s">
        <v>502</v>
      </c>
      <c r="H747" s="28" t="s">
        <v>552</v>
      </c>
      <c r="I747" s="30"/>
      <c r="J747" s="30"/>
      <c r="K747" s="31">
        <v>11652.7</v>
      </c>
      <c r="L747" s="31">
        <v>17575</v>
      </c>
      <c r="M747" s="31">
        <v>17575</v>
      </c>
      <c r="N747" s="32">
        <v>-0.33697297297297302</v>
      </c>
      <c r="O747" s="32">
        <v>-0.33697297297297302</v>
      </c>
      <c r="P747" s="30"/>
      <c r="Q747" s="31">
        <v>95.513934426229497</v>
      </c>
    </row>
    <row r="748" spans="1:17" ht="15" customHeight="1" x14ac:dyDescent="0.2">
      <c r="A748" s="17" t="s">
        <v>254</v>
      </c>
      <c r="B748" s="18" t="s">
        <v>148</v>
      </c>
      <c r="C748" s="18" t="s">
        <v>180</v>
      </c>
      <c r="D748" s="20">
        <v>80</v>
      </c>
      <c r="E748" s="17" t="s">
        <v>551</v>
      </c>
      <c r="F748" s="19" t="s">
        <v>545</v>
      </c>
      <c r="G748" s="19" t="s">
        <v>502</v>
      </c>
      <c r="H748" s="19" t="s">
        <v>552</v>
      </c>
      <c r="I748" s="21"/>
      <c r="J748" s="21"/>
      <c r="K748" s="22">
        <v>4514.3900000000003</v>
      </c>
      <c r="L748" s="22">
        <v>5100</v>
      </c>
      <c r="M748" s="22">
        <v>6316</v>
      </c>
      <c r="N748" s="23">
        <v>-0.114825490196078</v>
      </c>
      <c r="O748" s="23">
        <v>-0.28524540848638402</v>
      </c>
      <c r="P748" s="21"/>
      <c r="Q748" s="22">
        <v>56.429875000000003</v>
      </c>
    </row>
    <row r="749" spans="1:17" ht="15" customHeight="1" x14ac:dyDescent="0.2">
      <c r="A749" s="26" t="s">
        <v>263</v>
      </c>
      <c r="B749" s="27" t="s">
        <v>148</v>
      </c>
      <c r="C749" s="27" t="s">
        <v>180</v>
      </c>
      <c r="D749" s="29">
        <v>55</v>
      </c>
      <c r="E749" s="26" t="s">
        <v>551</v>
      </c>
      <c r="F749" s="28" t="s">
        <v>545</v>
      </c>
      <c r="G749" s="28" t="s">
        <v>502</v>
      </c>
      <c r="H749" s="28" t="s">
        <v>552</v>
      </c>
      <c r="I749" s="30"/>
      <c r="J749" s="30"/>
      <c r="K749" s="31">
        <v>2644.13</v>
      </c>
      <c r="L749" s="31">
        <v>3150</v>
      </c>
      <c r="M749" s="31">
        <v>3605</v>
      </c>
      <c r="N749" s="32">
        <v>-0.16059365079365101</v>
      </c>
      <c r="O749" s="32">
        <v>-0.26653814147018001</v>
      </c>
      <c r="P749" s="30"/>
      <c r="Q749" s="31">
        <v>48.075090909090903</v>
      </c>
    </row>
    <row r="750" spans="1:17" ht="15" customHeight="1" x14ac:dyDescent="0.2">
      <c r="A750" s="17" t="s">
        <v>266</v>
      </c>
      <c r="B750" s="18" t="s">
        <v>148</v>
      </c>
      <c r="C750" s="18" t="s">
        <v>267</v>
      </c>
      <c r="D750" s="20">
        <v>108</v>
      </c>
      <c r="E750" s="17" t="s">
        <v>551</v>
      </c>
      <c r="F750" s="19" t="s">
        <v>545</v>
      </c>
      <c r="G750" s="19" t="s">
        <v>502</v>
      </c>
      <c r="H750" s="19" t="s">
        <v>552</v>
      </c>
      <c r="I750" s="21"/>
      <c r="J750" s="21"/>
      <c r="K750" s="22">
        <v>8465.5300000000007</v>
      </c>
      <c r="L750" s="22">
        <v>22500</v>
      </c>
      <c r="M750" s="22">
        <v>22695</v>
      </c>
      <c r="N750" s="23">
        <v>-0.62375422222222199</v>
      </c>
      <c r="O750" s="23">
        <v>-0.62698700154219</v>
      </c>
      <c r="P750" s="21"/>
      <c r="Q750" s="22">
        <v>78.384537037037106</v>
      </c>
    </row>
    <row r="751" spans="1:17" ht="15" customHeight="1" x14ac:dyDescent="0.2">
      <c r="A751" s="26" t="s">
        <v>270</v>
      </c>
      <c r="B751" s="27" t="s">
        <v>148</v>
      </c>
      <c r="C751" s="27" t="s">
        <v>267</v>
      </c>
      <c r="D751" s="29">
        <v>75</v>
      </c>
      <c r="E751" s="26" t="s">
        <v>551</v>
      </c>
      <c r="F751" s="28" t="s">
        <v>545</v>
      </c>
      <c r="G751" s="28" t="s">
        <v>502</v>
      </c>
      <c r="H751" s="28" t="s">
        <v>552</v>
      </c>
      <c r="I751" s="30"/>
      <c r="J751" s="30"/>
      <c r="K751" s="31">
        <v>2967.63</v>
      </c>
      <c r="L751" s="31">
        <v>3480</v>
      </c>
      <c r="M751" s="31">
        <v>3480</v>
      </c>
      <c r="N751" s="32">
        <v>-0.14723275862068999</v>
      </c>
      <c r="O751" s="32">
        <v>-0.14723275862068999</v>
      </c>
      <c r="P751" s="30"/>
      <c r="Q751" s="31">
        <v>39.568399999999997</v>
      </c>
    </row>
    <row r="752" spans="1:17" ht="15" customHeight="1" x14ac:dyDescent="0.2">
      <c r="A752" s="17" t="s">
        <v>272</v>
      </c>
      <c r="B752" s="18" t="s">
        <v>148</v>
      </c>
      <c r="C752" s="18" t="s">
        <v>267</v>
      </c>
      <c r="D752" s="20">
        <v>89</v>
      </c>
      <c r="E752" s="17" t="s">
        <v>551</v>
      </c>
      <c r="F752" s="19" t="s">
        <v>545</v>
      </c>
      <c r="G752" s="19" t="s">
        <v>502</v>
      </c>
      <c r="H752" s="19" t="s">
        <v>552</v>
      </c>
      <c r="I752" s="21"/>
      <c r="J752" s="21"/>
      <c r="K752" s="22">
        <v>6739.32</v>
      </c>
      <c r="L752" s="22">
        <v>8700</v>
      </c>
      <c r="M752" s="22">
        <v>9582</v>
      </c>
      <c r="N752" s="23">
        <v>-0.22536551724137899</v>
      </c>
      <c r="O752" s="23">
        <v>-0.29666875391358799</v>
      </c>
      <c r="P752" s="21"/>
      <c r="Q752" s="22">
        <v>75.722696629213502</v>
      </c>
    </row>
    <row r="753" spans="1:17" ht="15" customHeight="1" x14ac:dyDescent="0.2">
      <c r="A753" s="26" t="s">
        <v>275</v>
      </c>
      <c r="B753" s="27" t="s">
        <v>148</v>
      </c>
      <c r="C753" s="27" t="s">
        <v>267</v>
      </c>
      <c r="D753" s="29">
        <v>78</v>
      </c>
      <c r="E753" s="26" t="s">
        <v>551</v>
      </c>
      <c r="F753" s="28" t="s">
        <v>545</v>
      </c>
      <c r="G753" s="28" t="s">
        <v>502</v>
      </c>
      <c r="H753" s="28" t="s">
        <v>552</v>
      </c>
      <c r="I753" s="30"/>
      <c r="J753" s="30"/>
      <c r="K753" s="31">
        <v>5102.82</v>
      </c>
      <c r="L753" s="31">
        <v>8220</v>
      </c>
      <c r="M753" s="31">
        <v>8220</v>
      </c>
      <c r="N753" s="32">
        <v>-0.37921897810219002</v>
      </c>
      <c r="O753" s="32">
        <v>-0.37921897810219002</v>
      </c>
      <c r="P753" s="30"/>
      <c r="Q753" s="31">
        <v>65.420769230769196</v>
      </c>
    </row>
    <row r="754" spans="1:17" ht="15" customHeight="1" x14ac:dyDescent="0.2">
      <c r="A754" s="17" t="s">
        <v>277</v>
      </c>
      <c r="B754" s="18" t="s">
        <v>148</v>
      </c>
      <c r="C754" s="18" t="s">
        <v>267</v>
      </c>
      <c r="D754" s="20">
        <v>158</v>
      </c>
      <c r="E754" s="17" t="s">
        <v>551</v>
      </c>
      <c r="F754" s="19" t="s">
        <v>545</v>
      </c>
      <c r="G754" s="19" t="s">
        <v>502</v>
      </c>
      <c r="H754" s="19" t="s">
        <v>552</v>
      </c>
      <c r="I754" s="21"/>
      <c r="J754" s="21"/>
      <c r="K754" s="22">
        <v>4323.42</v>
      </c>
      <c r="L754" s="22">
        <v>4500</v>
      </c>
      <c r="M754" s="22">
        <v>5718</v>
      </c>
      <c r="N754" s="23">
        <v>-3.9239999999999997E-2</v>
      </c>
      <c r="O754" s="23">
        <v>-0.24389296956977999</v>
      </c>
      <c r="P754" s="21"/>
      <c r="Q754" s="22">
        <v>27.363417721518999</v>
      </c>
    </row>
    <row r="755" spans="1:17" ht="15" customHeight="1" x14ac:dyDescent="0.2">
      <c r="A755" s="26" t="s">
        <v>280</v>
      </c>
      <c r="B755" s="27" t="s">
        <v>148</v>
      </c>
      <c r="C755" s="27" t="s">
        <v>267</v>
      </c>
      <c r="D755" s="29">
        <v>110</v>
      </c>
      <c r="E755" s="26" t="s">
        <v>551</v>
      </c>
      <c r="F755" s="28" t="s">
        <v>545</v>
      </c>
      <c r="G755" s="28" t="s">
        <v>502</v>
      </c>
      <c r="H755" s="28" t="s">
        <v>552</v>
      </c>
      <c r="I755" s="30"/>
      <c r="J755" s="30"/>
      <c r="K755" s="31">
        <v>7542.97</v>
      </c>
      <c r="L755" s="31">
        <v>9150</v>
      </c>
      <c r="M755" s="31">
        <v>9450</v>
      </c>
      <c r="N755" s="32">
        <v>-0.175631693989071</v>
      </c>
      <c r="O755" s="32">
        <v>-0.20180211640211601</v>
      </c>
      <c r="P755" s="30"/>
      <c r="Q755" s="31">
        <v>68.572454545454605</v>
      </c>
    </row>
    <row r="756" spans="1:17" ht="15" customHeight="1" x14ac:dyDescent="0.2">
      <c r="A756" s="17" t="s">
        <v>282</v>
      </c>
      <c r="B756" s="18" t="s">
        <v>148</v>
      </c>
      <c r="C756" s="18" t="s">
        <v>267</v>
      </c>
      <c r="D756" s="20">
        <v>70</v>
      </c>
      <c r="E756" s="17" t="s">
        <v>551</v>
      </c>
      <c r="F756" s="19" t="s">
        <v>545</v>
      </c>
      <c r="G756" s="19" t="s">
        <v>502</v>
      </c>
      <c r="H756" s="19" t="s">
        <v>552</v>
      </c>
      <c r="I756" s="21"/>
      <c r="J756" s="21"/>
      <c r="K756" s="22"/>
      <c r="L756" s="22"/>
      <c r="M756" s="22"/>
      <c r="N756" s="23"/>
      <c r="O756" s="23"/>
      <c r="P756" s="21"/>
      <c r="Q756" s="22"/>
    </row>
    <row r="757" spans="1:17" ht="15" customHeight="1" x14ac:dyDescent="0.2">
      <c r="A757" s="26" t="s">
        <v>285</v>
      </c>
      <c r="B757" s="27" t="s">
        <v>148</v>
      </c>
      <c r="C757" s="27" t="s">
        <v>267</v>
      </c>
      <c r="D757" s="29">
        <v>296</v>
      </c>
      <c r="E757" s="26" t="s">
        <v>551</v>
      </c>
      <c r="F757" s="28" t="s">
        <v>545</v>
      </c>
      <c r="G757" s="28" t="s">
        <v>502</v>
      </c>
      <c r="H757" s="28" t="s">
        <v>552</v>
      </c>
      <c r="I757" s="30"/>
      <c r="J757" s="30"/>
      <c r="K757" s="31">
        <v>74.33</v>
      </c>
      <c r="L757" s="31">
        <v>7000</v>
      </c>
      <c r="M757" s="31">
        <v>7000</v>
      </c>
      <c r="N757" s="32">
        <v>-0.98938142857142897</v>
      </c>
      <c r="O757" s="32">
        <v>-0.98938142857142897</v>
      </c>
      <c r="P757" s="30"/>
      <c r="Q757" s="31">
        <v>0.25111486486486501</v>
      </c>
    </row>
    <row r="758" spans="1:17" ht="15" customHeight="1" x14ac:dyDescent="0.2">
      <c r="A758" s="17" t="s">
        <v>286</v>
      </c>
      <c r="B758" s="18" t="s">
        <v>148</v>
      </c>
      <c r="C758" s="18" t="s">
        <v>267</v>
      </c>
      <c r="D758" s="20">
        <v>50</v>
      </c>
      <c r="E758" s="17" t="s">
        <v>551</v>
      </c>
      <c r="F758" s="19" t="s">
        <v>545</v>
      </c>
      <c r="G758" s="19" t="s">
        <v>502</v>
      </c>
      <c r="H758" s="19" t="s">
        <v>552</v>
      </c>
      <c r="I758" s="21"/>
      <c r="J758" s="21"/>
      <c r="K758" s="22">
        <v>3121.63</v>
      </c>
      <c r="L758" s="22">
        <v>5040</v>
      </c>
      <c r="M758" s="22">
        <v>5040</v>
      </c>
      <c r="N758" s="23">
        <v>-0.38062896825396803</v>
      </c>
      <c r="O758" s="23">
        <v>-0.38062896825396803</v>
      </c>
      <c r="P758" s="21"/>
      <c r="Q758" s="22">
        <v>62.432600000000001</v>
      </c>
    </row>
    <row r="759" spans="1:17" ht="15" customHeight="1" x14ac:dyDescent="0.2">
      <c r="A759" s="26" t="s">
        <v>287</v>
      </c>
      <c r="B759" s="27" t="s">
        <v>148</v>
      </c>
      <c r="C759" s="27" t="s">
        <v>267</v>
      </c>
      <c r="D759" s="29">
        <v>163</v>
      </c>
      <c r="E759" s="26" t="s">
        <v>551</v>
      </c>
      <c r="F759" s="28" t="s">
        <v>545</v>
      </c>
      <c r="G759" s="28" t="s">
        <v>502</v>
      </c>
      <c r="H759" s="28" t="s">
        <v>552</v>
      </c>
      <c r="I759" s="30"/>
      <c r="J759" s="30"/>
      <c r="K759" s="31">
        <v>13552.21</v>
      </c>
      <c r="L759" s="31">
        <v>21400</v>
      </c>
      <c r="M759" s="31">
        <v>21996</v>
      </c>
      <c r="N759" s="32">
        <v>-0.36671915887850498</v>
      </c>
      <c r="O759" s="32">
        <v>-0.383878432442262</v>
      </c>
      <c r="P759" s="30"/>
      <c r="Q759" s="31">
        <v>83.142392638036796</v>
      </c>
    </row>
    <row r="760" spans="1:17" ht="15" customHeight="1" x14ac:dyDescent="0.2">
      <c r="A760" s="17" t="s">
        <v>289</v>
      </c>
      <c r="B760" s="18" t="s">
        <v>148</v>
      </c>
      <c r="C760" s="18" t="s">
        <v>267</v>
      </c>
      <c r="D760" s="20">
        <v>107</v>
      </c>
      <c r="E760" s="17" t="s">
        <v>551</v>
      </c>
      <c r="F760" s="19" t="s">
        <v>545</v>
      </c>
      <c r="G760" s="19" t="s">
        <v>502</v>
      </c>
      <c r="H760" s="19" t="s">
        <v>552</v>
      </c>
      <c r="I760" s="21"/>
      <c r="J760" s="21"/>
      <c r="K760" s="22">
        <v>11577.93</v>
      </c>
      <c r="L760" s="22">
        <v>21300</v>
      </c>
      <c r="M760" s="22">
        <v>22040</v>
      </c>
      <c r="N760" s="23">
        <v>-0.456435211267606</v>
      </c>
      <c r="O760" s="23">
        <v>-0.47468557168783998</v>
      </c>
      <c r="P760" s="21"/>
      <c r="Q760" s="22">
        <v>108.204953271028</v>
      </c>
    </row>
    <row r="761" spans="1:17" ht="15" customHeight="1" x14ac:dyDescent="0.2">
      <c r="A761" s="26" t="s">
        <v>292</v>
      </c>
      <c r="B761" s="27" t="s">
        <v>148</v>
      </c>
      <c r="C761" s="27" t="s">
        <v>267</v>
      </c>
      <c r="D761" s="29">
        <v>136</v>
      </c>
      <c r="E761" s="26" t="s">
        <v>551</v>
      </c>
      <c r="F761" s="28" t="s">
        <v>545</v>
      </c>
      <c r="G761" s="28" t="s">
        <v>502</v>
      </c>
      <c r="H761" s="28" t="s">
        <v>552</v>
      </c>
      <c r="I761" s="30"/>
      <c r="J761" s="30"/>
      <c r="K761" s="31">
        <v>12046.87</v>
      </c>
      <c r="L761" s="31">
        <v>22085</v>
      </c>
      <c r="M761" s="31">
        <v>22585</v>
      </c>
      <c r="N761" s="32">
        <v>-0.45452252660176601</v>
      </c>
      <c r="O761" s="32">
        <v>-0.46659862740757102</v>
      </c>
      <c r="P761" s="30"/>
      <c r="Q761" s="31">
        <v>88.579926470588305</v>
      </c>
    </row>
    <row r="762" spans="1:17" ht="15" customHeight="1" x14ac:dyDescent="0.2">
      <c r="A762" s="17" t="s">
        <v>295</v>
      </c>
      <c r="B762" s="18" t="s">
        <v>148</v>
      </c>
      <c r="C762" s="18" t="s">
        <v>267</v>
      </c>
      <c r="D762" s="20">
        <v>68</v>
      </c>
      <c r="E762" s="17" t="s">
        <v>551</v>
      </c>
      <c r="F762" s="19" t="s">
        <v>545</v>
      </c>
      <c r="G762" s="19" t="s">
        <v>502</v>
      </c>
      <c r="H762" s="19" t="s">
        <v>552</v>
      </c>
      <c r="I762" s="21"/>
      <c r="J762" s="21"/>
      <c r="K762" s="22">
        <v>9124.86</v>
      </c>
      <c r="L762" s="22">
        <v>5220</v>
      </c>
      <c r="M762" s="22">
        <v>5220</v>
      </c>
      <c r="N762" s="23">
        <v>0.74805747126436795</v>
      </c>
      <c r="O762" s="23">
        <v>0.74805747126436795</v>
      </c>
      <c r="P762" s="21"/>
      <c r="Q762" s="22">
        <v>134.18911764705899</v>
      </c>
    </row>
    <row r="763" spans="1:17" ht="15" customHeight="1" x14ac:dyDescent="0.2">
      <c r="A763" s="26" t="s">
        <v>298</v>
      </c>
      <c r="B763" s="27" t="s">
        <v>148</v>
      </c>
      <c r="C763" s="27" t="s">
        <v>267</v>
      </c>
      <c r="D763" s="29">
        <v>98</v>
      </c>
      <c r="E763" s="26" t="s">
        <v>551</v>
      </c>
      <c r="F763" s="28" t="s">
        <v>545</v>
      </c>
      <c r="G763" s="28" t="s">
        <v>502</v>
      </c>
      <c r="H763" s="28" t="s">
        <v>552</v>
      </c>
      <c r="I763" s="30"/>
      <c r="J763" s="30"/>
      <c r="K763" s="31">
        <v>4336.58</v>
      </c>
      <c r="L763" s="31">
        <v>7254</v>
      </c>
      <c r="M763" s="31">
        <v>7654</v>
      </c>
      <c r="N763" s="32">
        <v>-0.40218086572925299</v>
      </c>
      <c r="O763" s="32">
        <v>-0.43342304677292898</v>
      </c>
      <c r="P763" s="30"/>
      <c r="Q763" s="31">
        <v>44.250816326530597</v>
      </c>
    </row>
    <row r="764" spans="1:17" ht="15" customHeight="1" x14ac:dyDescent="0.2">
      <c r="A764" s="17" t="s">
        <v>300</v>
      </c>
      <c r="B764" s="18" t="s">
        <v>148</v>
      </c>
      <c r="C764" s="18" t="s">
        <v>267</v>
      </c>
      <c r="D764" s="20">
        <v>321</v>
      </c>
      <c r="E764" s="17" t="s">
        <v>551</v>
      </c>
      <c r="F764" s="19" t="s">
        <v>545</v>
      </c>
      <c r="G764" s="19" t="s">
        <v>502</v>
      </c>
      <c r="H764" s="19" t="s">
        <v>552</v>
      </c>
      <c r="I764" s="21"/>
      <c r="J764" s="21"/>
      <c r="K764" s="22">
        <v>32821.74</v>
      </c>
      <c r="L764" s="22">
        <v>68227</v>
      </c>
      <c r="M764" s="22">
        <v>68417</v>
      </c>
      <c r="N764" s="23">
        <v>-0.51893326688847496</v>
      </c>
      <c r="O764" s="23">
        <v>-0.52026923133139402</v>
      </c>
      <c r="P764" s="21"/>
      <c r="Q764" s="22">
        <v>102.24841121495299</v>
      </c>
    </row>
    <row r="765" spans="1:17" ht="15" customHeight="1" x14ac:dyDescent="0.2">
      <c r="A765" s="26" t="s">
        <v>302</v>
      </c>
      <c r="B765" s="27" t="s">
        <v>148</v>
      </c>
      <c r="C765" s="27" t="s">
        <v>267</v>
      </c>
      <c r="D765" s="29">
        <v>111</v>
      </c>
      <c r="E765" s="26" t="s">
        <v>551</v>
      </c>
      <c r="F765" s="28" t="s">
        <v>545</v>
      </c>
      <c r="G765" s="28" t="s">
        <v>502</v>
      </c>
      <c r="H765" s="28" t="s">
        <v>552</v>
      </c>
      <c r="I765" s="30"/>
      <c r="J765" s="30"/>
      <c r="K765" s="31">
        <v>8186.91</v>
      </c>
      <c r="L765" s="31">
        <v>7440</v>
      </c>
      <c r="M765" s="31">
        <v>7915</v>
      </c>
      <c r="N765" s="32">
        <v>0.100391129032258</v>
      </c>
      <c r="O765" s="32">
        <v>3.4353758686039203E-2</v>
      </c>
      <c r="P765" s="30"/>
      <c r="Q765" s="31">
        <v>73.755945945945896</v>
      </c>
    </row>
    <row r="766" spans="1:17" ht="15" customHeight="1" x14ac:dyDescent="0.2">
      <c r="A766" s="17" t="s">
        <v>304</v>
      </c>
      <c r="B766" s="18" t="s">
        <v>148</v>
      </c>
      <c r="C766" s="18" t="s">
        <v>267</v>
      </c>
      <c r="D766" s="20">
        <v>77</v>
      </c>
      <c r="E766" s="17" t="s">
        <v>551</v>
      </c>
      <c r="F766" s="19" t="s">
        <v>545</v>
      </c>
      <c r="G766" s="19" t="s">
        <v>502</v>
      </c>
      <c r="H766" s="19" t="s">
        <v>552</v>
      </c>
      <c r="I766" s="21"/>
      <c r="J766" s="21"/>
      <c r="K766" s="22">
        <v>4845.32</v>
      </c>
      <c r="L766" s="22">
        <v>11466</v>
      </c>
      <c r="M766" s="22">
        <v>11566</v>
      </c>
      <c r="N766" s="23">
        <v>-0.57741845456131202</v>
      </c>
      <c r="O766" s="23">
        <v>-0.58107210790247299</v>
      </c>
      <c r="P766" s="21"/>
      <c r="Q766" s="22">
        <v>62.9262337662338</v>
      </c>
    </row>
    <row r="767" spans="1:17" ht="15" customHeight="1" x14ac:dyDescent="0.2">
      <c r="A767" s="26" t="s">
        <v>306</v>
      </c>
      <c r="B767" s="27" t="s">
        <v>148</v>
      </c>
      <c r="C767" s="27" t="s">
        <v>267</v>
      </c>
      <c r="D767" s="29">
        <v>365</v>
      </c>
      <c r="E767" s="26" t="s">
        <v>551</v>
      </c>
      <c r="F767" s="28" t="s">
        <v>545</v>
      </c>
      <c r="G767" s="28" t="s">
        <v>502</v>
      </c>
      <c r="H767" s="28" t="s">
        <v>552</v>
      </c>
      <c r="I767" s="30"/>
      <c r="J767" s="30"/>
      <c r="K767" s="31">
        <v>15350.72</v>
      </c>
      <c r="L767" s="31">
        <v>31500</v>
      </c>
      <c r="M767" s="31">
        <v>31500</v>
      </c>
      <c r="N767" s="32">
        <v>-0.512675555555556</v>
      </c>
      <c r="O767" s="32">
        <v>-0.512675555555556</v>
      </c>
      <c r="P767" s="30"/>
      <c r="Q767" s="31">
        <v>42.056767123287699</v>
      </c>
    </row>
    <row r="768" spans="1:17" ht="15" customHeight="1" x14ac:dyDescent="0.2">
      <c r="A768" s="17" t="s">
        <v>309</v>
      </c>
      <c r="B768" s="18" t="s">
        <v>148</v>
      </c>
      <c r="C768" s="18" t="s">
        <v>267</v>
      </c>
      <c r="D768" s="20">
        <v>270</v>
      </c>
      <c r="E768" s="17" t="s">
        <v>551</v>
      </c>
      <c r="F768" s="19" t="s">
        <v>545</v>
      </c>
      <c r="G768" s="19" t="s">
        <v>502</v>
      </c>
      <c r="H768" s="19" t="s">
        <v>552</v>
      </c>
      <c r="I768" s="21"/>
      <c r="J768" s="21"/>
      <c r="K768" s="22">
        <v>24014.23</v>
      </c>
      <c r="L768" s="22">
        <v>54450</v>
      </c>
      <c r="M768" s="22">
        <v>54950</v>
      </c>
      <c r="N768" s="23">
        <v>-0.55896730945821904</v>
      </c>
      <c r="O768" s="23">
        <v>-0.56298034576888101</v>
      </c>
      <c r="P768" s="21"/>
      <c r="Q768" s="22">
        <v>88.941592592592599</v>
      </c>
    </row>
    <row r="769" spans="1:17" ht="15" customHeight="1" x14ac:dyDescent="0.2">
      <c r="A769" s="35" t="s">
        <v>312</v>
      </c>
      <c r="B769" s="36" t="s">
        <v>313</v>
      </c>
      <c r="C769" s="36" t="s">
        <v>267</v>
      </c>
      <c r="D769" s="38">
        <v>170</v>
      </c>
      <c r="E769" s="35" t="s">
        <v>551</v>
      </c>
      <c r="F769" s="37" t="s">
        <v>545</v>
      </c>
      <c r="G769" s="37" t="s">
        <v>502</v>
      </c>
      <c r="H769" s="37" t="s">
        <v>552</v>
      </c>
      <c r="I769" s="39"/>
      <c r="J769" s="39"/>
      <c r="K769" s="40">
        <v>23927.32</v>
      </c>
      <c r="L769" s="40">
        <v>47200</v>
      </c>
      <c r="M769" s="40">
        <v>47200</v>
      </c>
      <c r="N769" s="41">
        <v>-0.49306525423728798</v>
      </c>
      <c r="O769" s="41">
        <v>-0.49306525423728798</v>
      </c>
      <c r="P769" s="39"/>
      <c r="Q769" s="40">
        <v>140.74894117647099</v>
      </c>
    </row>
    <row r="770" spans="1:17" ht="15" customHeight="1" x14ac:dyDescent="0.2">
      <c r="A770" s="35" t="s">
        <v>316</v>
      </c>
      <c r="B770" s="36" t="s">
        <v>313</v>
      </c>
      <c r="C770" s="36" t="s">
        <v>267</v>
      </c>
      <c r="D770" s="38">
        <v>234</v>
      </c>
      <c r="E770" s="35" t="s">
        <v>551</v>
      </c>
      <c r="F770" s="37" t="s">
        <v>545</v>
      </c>
      <c r="G770" s="37" t="s">
        <v>502</v>
      </c>
      <c r="H770" s="37" t="s">
        <v>552</v>
      </c>
      <c r="I770" s="39"/>
      <c r="J770" s="39"/>
      <c r="K770" s="40">
        <v>22272.59</v>
      </c>
      <c r="L770" s="40">
        <v>51050</v>
      </c>
      <c r="M770" s="40">
        <v>52900</v>
      </c>
      <c r="N770" s="41">
        <v>-0.56371028403526002</v>
      </c>
      <c r="O770" s="41">
        <v>-0.57896805293005704</v>
      </c>
      <c r="P770" s="39"/>
      <c r="Q770" s="40">
        <v>95.182008547008607</v>
      </c>
    </row>
    <row r="771" spans="1:17" ht="15" customHeight="1" x14ac:dyDescent="0.2">
      <c r="A771" s="35" t="s">
        <v>319</v>
      </c>
      <c r="B771" s="36" t="s">
        <v>313</v>
      </c>
      <c r="C771" s="36" t="s">
        <v>267</v>
      </c>
      <c r="D771" s="38">
        <v>24</v>
      </c>
      <c r="E771" s="35" t="s">
        <v>551</v>
      </c>
      <c r="F771" s="37" t="s">
        <v>545</v>
      </c>
      <c r="G771" s="37" t="s">
        <v>502</v>
      </c>
      <c r="H771" s="37" t="s">
        <v>552</v>
      </c>
      <c r="I771" s="39"/>
      <c r="J771" s="39"/>
      <c r="K771" s="40">
        <v>1262.92</v>
      </c>
      <c r="L771" s="40">
        <v>4018</v>
      </c>
      <c r="M771" s="40">
        <v>4018</v>
      </c>
      <c r="N771" s="41">
        <v>-0.68568442010950703</v>
      </c>
      <c r="O771" s="41">
        <v>-0.68568442010950703</v>
      </c>
      <c r="P771" s="39"/>
      <c r="Q771" s="40">
        <v>52.621666666666698</v>
      </c>
    </row>
    <row r="772" spans="1:17" ht="15" customHeight="1" x14ac:dyDescent="0.2">
      <c r="A772" s="35" t="s">
        <v>327</v>
      </c>
      <c r="B772" s="36" t="s">
        <v>313</v>
      </c>
      <c r="C772" s="36" t="s">
        <v>267</v>
      </c>
      <c r="D772" s="38">
        <v>244</v>
      </c>
      <c r="E772" s="35" t="s">
        <v>551</v>
      </c>
      <c r="F772" s="37" t="s">
        <v>545</v>
      </c>
      <c r="G772" s="37" t="s">
        <v>502</v>
      </c>
      <c r="H772" s="37" t="s">
        <v>552</v>
      </c>
      <c r="I772" s="39"/>
      <c r="J772" s="39"/>
      <c r="K772" s="40">
        <v>47833.93</v>
      </c>
      <c r="L772" s="40">
        <v>51753</v>
      </c>
      <c r="M772" s="40">
        <v>51753</v>
      </c>
      <c r="N772" s="41">
        <v>-7.57264313179912E-2</v>
      </c>
      <c r="O772" s="41">
        <v>-7.57264313179912E-2</v>
      </c>
      <c r="P772" s="39"/>
      <c r="Q772" s="40">
        <v>196.040696721312</v>
      </c>
    </row>
    <row r="773" spans="1:17" ht="15" customHeight="1" x14ac:dyDescent="0.2">
      <c r="A773" s="35" t="s">
        <v>329</v>
      </c>
      <c r="B773" s="36" t="s">
        <v>313</v>
      </c>
      <c r="C773" s="36" t="s">
        <v>330</v>
      </c>
      <c r="D773" s="38">
        <v>186</v>
      </c>
      <c r="E773" s="35" t="s">
        <v>551</v>
      </c>
      <c r="F773" s="37" t="s">
        <v>545</v>
      </c>
      <c r="G773" s="37" t="s">
        <v>502</v>
      </c>
      <c r="H773" s="37" t="s">
        <v>552</v>
      </c>
      <c r="I773" s="39"/>
      <c r="J773" s="39"/>
      <c r="K773" s="40">
        <v>17136.45</v>
      </c>
      <c r="L773" s="40">
        <v>41100</v>
      </c>
      <c r="M773" s="40">
        <v>41400</v>
      </c>
      <c r="N773" s="41">
        <v>-0.58305474452554695</v>
      </c>
      <c r="O773" s="41">
        <v>-0.58607608695652202</v>
      </c>
      <c r="P773" s="39"/>
      <c r="Q773" s="40">
        <v>92.131451612903206</v>
      </c>
    </row>
    <row r="774" spans="1:17" ht="15" customHeight="1" x14ac:dyDescent="0.2">
      <c r="A774" s="35" t="s">
        <v>334</v>
      </c>
      <c r="B774" s="36" t="s">
        <v>313</v>
      </c>
      <c r="C774" s="36" t="s">
        <v>330</v>
      </c>
      <c r="D774" s="38">
        <v>20</v>
      </c>
      <c r="E774" s="35" t="s">
        <v>551</v>
      </c>
      <c r="F774" s="37" t="s">
        <v>545</v>
      </c>
      <c r="G774" s="37" t="s">
        <v>502</v>
      </c>
      <c r="H774" s="37" t="s">
        <v>552</v>
      </c>
      <c r="I774" s="39"/>
      <c r="J774" s="39"/>
      <c r="K774" s="40"/>
      <c r="L774" s="40"/>
      <c r="M774" s="40"/>
      <c r="N774" s="41"/>
      <c r="O774" s="41"/>
      <c r="P774" s="39"/>
      <c r="Q774" s="40"/>
    </row>
    <row r="775" spans="1:17" ht="15" customHeight="1" x14ac:dyDescent="0.2">
      <c r="A775" s="26" t="s">
        <v>147</v>
      </c>
      <c r="B775" s="27" t="s">
        <v>148</v>
      </c>
      <c r="C775" s="27" t="s">
        <v>149</v>
      </c>
      <c r="D775" s="29">
        <v>234</v>
      </c>
      <c r="E775" s="26" t="s">
        <v>553</v>
      </c>
      <c r="F775" s="28" t="s">
        <v>545</v>
      </c>
      <c r="G775" s="28" t="s">
        <v>502</v>
      </c>
      <c r="H775" s="28" t="s">
        <v>554</v>
      </c>
      <c r="I775" s="30"/>
      <c r="J775" s="30"/>
      <c r="K775" s="31">
        <v>3564.14</v>
      </c>
      <c r="L775" s="31">
        <v>10000</v>
      </c>
      <c r="M775" s="31">
        <v>10000</v>
      </c>
      <c r="N775" s="32">
        <v>-0.64358599999999999</v>
      </c>
      <c r="O775" s="32">
        <v>-0.64358599999999999</v>
      </c>
      <c r="P775" s="30"/>
      <c r="Q775" s="31">
        <v>15.231367521367501</v>
      </c>
    </row>
    <row r="776" spans="1:17" ht="15" customHeight="1" x14ac:dyDescent="0.2">
      <c r="A776" s="17" t="s">
        <v>152</v>
      </c>
      <c r="B776" s="18" t="s">
        <v>148</v>
      </c>
      <c r="C776" s="18" t="s">
        <v>149</v>
      </c>
      <c r="D776" s="20">
        <v>258</v>
      </c>
      <c r="E776" s="17" t="s">
        <v>553</v>
      </c>
      <c r="F776" s="19" t="s">
        <v>545</v>
      </c>
      <c r="G776" s="19" t="s">
        <v>502</v>
      </c>
      <c r="H776" s="19" t="s">
        <v>554</v>
      </c>
      <c r="I776" s="21"/>
      <c r="J776" s="21"/>
      <c r="K776" s="22">
        <v>2839.07</v>
      </c>
      <c r="L776" s="22">
        <v>10550</v>
      </c>
      <c r="M776" s="22">
        <v>10550</v>
      </c>
      <c r="N776" s="23">
        <v>-0.73089383886255899</v>
      </c>
      <c r="O776" s="23">
        <v>-0.73089383886255899</v>
      </c>
      <c r="P776" s="21"/>
      <c r="Q776" s="22">
        <v>11.0041472868217</v>
      </c>
    </row>
    <row r="777" spans="1:17" ht="15" customHeight="1" x14ac:dyDescent="0.2">
      <c r="A777" s="26" t="s">
        <v>159</v>
      </c>
      <c r="B777" s="27" t="s">
        <v>148</v>
      </c>
      <c r="C777" s="27" t="s">
        <v>149</v>
      </c>
      <c r="D777" s="29">
        <v>117</v>
      </c>
      <c r="E777" s="26" t="s">
        <v>553</v>
      </c>
      <c r="F777" s="28" t="s">
        <v>545</v>
      </c>
      <c r="G777" s="28" t="s">
        <v>502</v>
      </c>
      <c r="H777" s="28" t="s">
        <v>554</v>
      </c>
      <c r="I777" s="30"/>
      <c r="J777" s="30"/>
      <c r="K777" s="31">
        <v>3664.54</v>
      </c>
      <c r="L777" s="31"/>
      <c r="M777" s="31">
        <v>6000</v>
      </c>
      <c r="N777" s="32"/>
      <c r="O777" s="32">
        <v>-0.389243333333333</v>
      </c>
      <c r="P777" s="30"/>
      <c r="Q777" s="31">
        <v>31.320854700854699</v>
      </c>
    </row>
    <row r="778" spans="1:17" ht="15" customHeight="1" x14ac:dyDescent="0.2">
      <c r="A778" s="17" t="s">
        <v>161</v>
      </c>
      <c r="B778" s="18" t="s">
        <v>148</v>
      </c>
      <c r="C778" s="18" t="s">
        <v>149</v>
      </c>
      <c r="D778" s="20">
        <v>162</v>
      </c>
      <c r="E778" s="17" t="s">
        <v>553</v>
      </c>
      <c r="F778" s="19" t="s">
        <v>545</v>
      </c>
      <c r="G778" s="19" t="s">
        <v>502</v>
      </c>
      <c r="H778" s="19" t="s">
        <v>554</v>
      </c>
      <c r="I778" s="21"/>
      <c r="J778" s="21"/>
      <c r="K778" s="22">
        <v>1789.12</v>
      </c>
      <c r="L778" s="22">
        <v>2700</v>
      </c>
      <c r="M778" s="22">
        <v>2700</v>
      </c>
      <c r="N778" s="23">
        <v>-0.33736296296296298</v>
      </c>
      <c r="O778" s="23">
        <v>-0.33736296296296298</v>
      </c>
      <c r="P778" s="21"/>
      <c r="Q778" s="22">
        <v>11.043950617284001</v>
      </c>
    </row>
    <row r="779" spans="1:17" ht="15" customHeight="1" x14ac:dyDescent="0.2">
      <c r="A779" s="26" t="s">
        <v>165</v>
      </c>
      <c r="B779" s="27" t="s">
        <v>148</v>
      </c>
      <c r="C779" s="27" t="s">
        <v>149</v>
      </c>
      <c r="D779" s="29">
        <v>197</v>
      </c>
      <c r="E779" s="26" t="s">
        <v>553</v>
      </c>
      <c r="F779" s="28" t="s">
        <v>545</v>
      </c>
      <c r="G779" s="28" t="s">
        <v>502</v>
      </c>
      <c r="H779" s="28" t="s">
        <v>554</v>
      </c>
      <c r="I779" s="30"/>
      <c r="J779" s="30"/>
      <c r="K779" s="31">
        <v>1275.5999999999999</v>
      </c>
      <c r="L779" s="31">
        <v>1275</v>
      </c>
      <c r="M779" s="31">
        <v>1275</v>
      </c>
      <c r="N779" s="32">
        <v>4.7058823529404599E-4</v>
      </c>
      <c r="O779" s="32">
        <v>4.7058823529404599E-4</v>
      </c>
      <c r="P779" s="30"/>
      <c r="Q779" s="31">
        <v>6.4751269035533001</v>
      </c>
    </row>
    <row r="780" spans="1:17" ht="15" customHeight="1" x14ac:dyDescent="0.2">
      <c r="A780" s="17" t="s">
        <v>167</v>
      </c>
      <c r="B780" s="18" t="s">
        <v>148</v>
      </c>
      <c r="C780" s="18" t="s">
        <v>149</v>
      </c>
      <c r="D780" s="20">
        <v>119</v>
      </c>
      <c r="E780" s="17" t="s">
        <v>553</v>
      </c>
      <c r="F780" s="19" t="s">
        <v>545</v>
      </c>
      <c r="G780" s="19" t="s">
        <v>502</v>
      </c>
      <c r="H780" s="19" t="s">
        <v>554</v>
      </c>
      <c r="I780" s="21"/>
      <c r="J780" s="21"/>
      <c r="K780" s="22">
        <v>13364.65</v>
      </c>
      <c r="L780" s="22">
        <v>15065</v>
      </c>
      <c r="M780" s="22">
        <v>13365</v>
      </c>
      <c r="N780" s="23">
        <v>-0.112867573846665</v>
      </c>
      <c r="O780" s="23">
        <v>-2.6187803965609E-5</v>
      </c>
      <c r="P780" s="21"/>
      <c r="Q780" s="22">
        <v>112.307983193277</v>
      </c>
    </row>
    <row r="781" spans="1:17" ht="15" customHeight="1" x14ac:dyDescent="0.2">
      <c r="A781" s="26" t="s">
        <v>169</v>
      </c>
      <c r="B781" s="27" t="s">
        <v>148</v>
      </c>
      <c r="C781" s="27" t="s">
        <v>149</v>
      </c>
      <c r="D781" s="29">
        <v>211</v>
      </c>
      <c r="E781" s="26" t="s">
        <v>553</v>
      </c>
      <c r="F781" s="28" t="s">
        <v>545</v>
      </c>
      <c r="G781" s="28" t="s">
        <v>502</v>
      </c>
      <c r="H781" s="28" t="s">
        <v>554</v>
      </c>
      <c r="I781" s="30"/>
      <c r="J781" s="30"/>
      <c r="K781" s="31">
        <v>5372.56</v>
      </c>
      <c r="L781" s="31">
        <v>10600</v>
      </c>
      <c r="M781" s="31">
        <v>10600</v>
      </c>
      <c r="N781" s="32">
        <v>-0.493154716981132</v>
      </c>
      <c r="O781" s="32">
        <v>-0.493154716981132</v>
      </c>
      <c r="P781" s="30"/>
      <c r="Q781" s="31">
        <v>25.462369668246499</v>
      </c>
    </row>
    <row r="782" spans="1:17" ht="15" customHeight="1" x14ac:dyDescent="0.2">
      <c r="A782" s="17" t="s">
        <v>177</v>
      </c>
      <c r="B782" s="18" t="s">
        <v>148</v>
      </c>
      <c r="C782" s="18" t="s">
        <v>149</v>
      </c>
      <c r="D782" s="20">
        <v>18</v>
      </c>
      <c r="E782" s="17" t="s">
        <v>553</v>
      </c>
      <c r="F782" s="19" t="s">
        <v>545</v>
      </c>
      <c r="G782" s="19" t="s">
        <v>502</v>
      </c>
      <c r="H782" s="19" t="s">
        <v>554</v>
      </c>
      <c r="I782" s="21"/>
      <c r="J782" s="21"/>
      <c r="K782" s="22">
        <v>829</v>
      </c>
      <c r="L782" s="22"/>
      <c r="M782" s="22"/>
      <c r="N782" s="23"/>
      <c r="O782" s="23"/>
      <c r="P782" s="21"/>
      <c r="Q782" s="22">
        <v>46.0555555555556</v>
      </c>
    </row>
    <row r="783" spans="1:17" ht="15" customHeight="1" x14ac:dyDescent="0.2">
      <c r="A783" s="26" t="s">
        <v>185</v>
      </c>
      <c r="B783" s="27" t="s">
        <v>148</v>
      </c>
      <c r="C783" s="27" t="s">
        <v>180</v>
      </c>
      <c r="D783" s="29">
        <v>117</v>
      </c>
      <c r="E783" s="26" t="s">
        <v>553</v>
      </c>
      <c r="F783" s="28" t="s">
        <v>545</v>
      </c>
      <c r="G783" s="28" t="s">
        <v>502</v>
      </c>
      <c r="H783" s="28" t="s">
        <v>554</v>
      </c>
      <c r="I783" s="30"/>
      <c r="J783" s="30"/>
      <c r="K783" s="31">
        <v>9.84</v>
      </c>
      <c r="L783" s="31"/>
      <c r="M783" s="31"/>
      <c r="N783" s="32"/>
      <c r="O783" s="32"/>
      <c r="P783" s="30"/>
      <c r="Q783" s="31">
        <v>8.4102564102564101E-2</v>
      </c>
    </row>
    <row r="784" spans="1:17" ht="15" customHeight="1" x14ac:dyDescent="0.2">
      <c r="A784" s="17" t="s">
        <v>147</v>
      </c>
      <c r="B784" s="18" t="s">
        <v>148</v>
      </c>
      <c r="C784" s="18" t="s">
        <v>149</v>
      </c>
      <c r="D784" s="20">
        <v>234</v>
      </c>
      <c r="E784" s="17" t="s">
        <v>555</v>
      </c>
      <c r="F784" s="19" t="s">
        <v>545</v>
      </c>
      <c r="G784" s="19" t="s">
        <v>519</v>
      </c>
      <c r="H784" s="19" t="s">
        <v>556</v>
      </c>
      <c r="I784" s="21"/>
      <c r="J784" s="21"/>
      <c r="K784" s="22">
        <v>148282.22</v>
      </c>
      <c r="L784" s="22">
        <v>197530</v>
      </c>
      <c r="M784" s="22">
        <v>197530</v>
      </c>
      <c r="N784" s="23">
        <v>-0.24931797701614899</v>
      </c>
      <c r="O784" s="23">
        <v>-0.24931797701614899</v>
      </c>
      <c r="P784" s="21"/>
      <c r="Q784" s="22">
        <v>633.68470085470096</v>
      </c>
    </row>
    <row r="785" spans="1:17" ht="15" customHeight="1" x14ac:dyDescent="0.2">
      <c r="A785" s="26" t="s">
        <v>152</v>
      </c>
      <c r="B785" s="27" t="s">
        <v>148</v>
      </c>
      <c r="C785" s="27" t="s">
        <v>149</v>
      </c>
      <c r="D785" s="29">
        <v>258</v>
      </c>
      <c r="E785" s="26" t="s">
        <v>555</v>
      </c>
      <c r="F785" s="28" t="s">
        <v>545</v>
      </c>
      <c r="G785" s="28" t="s">
        <v>519</v>
      </c>
      <c r="H785" s="28" t="s">
        <v>556</v>
      </c>
      <c r="I785" s="30"/>
      <c r="J785" s="30"/>
      <c r="K785" s="31">
        <v>178543.02</v>
      </c>
      <c r="L785" s="31">
        <v>247610</v>
      </c>
      <c r="M785" s="31">
        <v>250830</v>
      </c>
      <c r="N785" s="32">
        <v>-0.27893453414643998</v>
      </c>
      <c r="O785" s="32">
        <v>-0.28819112546346098</v>
      </c>
      <c r="P785" s="30"/>
      <c r="Q785" s="31">
        <v>692.02720930232601</v>
      </c>
    </row>
    <row r="786" spans="1:17" ht="15" customHeight="1" x14ac:dyDescent="0.2">
      <c r="A786" s="17" t="s">
        <v>154</v>
      </c>
      <c r="B786" s="18" t="s">
        <v>148</v>
      </c>
      <c r="C786" s="18" t="s">
        <v>149</v>
      </c>
      <c r="D786" s="20">
        <v>56</v>
      </c>
      <c r="E786" s="17" t="s">
        <v>555</v>
      </c>
      <c r="F786" s="19" t="s">
        <v>545</v>
      </c>
      <c r="G786" s="19" t="s">
        <v>519</v>
      </c>
      <c r="H786" s="19" t="s">
        <v>556</v>
      </c>
      <c r="I786" s="21"/>
      <c r="J786" s="21"/>
      <c r="K786" s="22">
        <v>30742.47</v>
      </c>
      <c r="L786" s="22">
        <v>33560</v>
      </c>
      <c r="M786" s="22">
        <v>32510</v>
      </c>
      <c r="N786" s="23">
        <v>-8.3955005959475498E-2</v>
      </c>
      <c r="O786" s="23">
        <v>-5.4368809597046999E-2</v>
      </c>
      <c r="P786" s="21"/>
      <c r="Q786" s="22">
        <v>548.97267857142901</v>
      </c>
    </row>
    <row r="787" spans="1:17" ht="15" customHeight="1" x14ac:dyDescent="0.2">
      <c r="A787" s="26" t="s">
        <v>157</v>
      </c>
      <c r="B787" s="27" t="s">
        <v>148</v>
      </c>
      <c r="C787" s="27" t="s">
        <v>149</v>
      </c>
      <c r="D787" s="29">
        <v>149</v>
      </c>
      <c r="E787" s="26" t="s">
        <v>555</v>
      </c>
      <c r="F787" s="28" t="s">
        <v>545</v>
      </c>
      <c r="G787" s="28" t="s">
        <v>519</v>
      </c>
      <c r="H787" s="28" t="s">
        <v>556</v>
      </c>
      <c r="I787" s="30"/>
      <c r="J787" s="30"/>
      <c r="K787" s="31">
        <v>66457.52</v>
      </c>
      <c r="L787" s="31">
        <v>204925</v>
      </c>
      <c r="M787" s="31">
        <v>130025</v>
      </c>
      <c r="N787" s="32">
        <v>-0.675698328656826</v>
      </c>
      <c r="O787" s="32">
        <v>-0.48888659873101298</v>
      </c>
      <c r="P787" s="30"/>
      <c r="Q787" s="31">
        <v>446.023624161074</v>
      </c>
    </row>
    <row r="788" spans="1:17" ht="15" customHeight="1" x14ac:dyDescent="0.2">
      <c r="A788" s="17" t="s">
        <v>159</v>
      </c>
      <c r="B788" s="18" t="s">
        <v>148</v>
      </c>
      <c r="C788" s="18" t="s">
        <v>149</v>
      </c>
      <c r="D788" s="20">
        <v>117</v>
      </c>
      <c r="E788" s="17" t="s">
        <v>555</v>
      </c>
      <c r="F788" s="19" t="s">
        <v>545</v>
      </c>
      <c r="G788" s="19" t="s">
        <v>519</v>
      </c>
      <c r="H788" s="19" t="s">
        <v>556</v>
      </c>
      <c r="I788" s="21"/>
      <c r="J788" s="21"/>
      <c r="K788" s="22">
        <v>48840.52</v>
      </c>
      <c r="L788" s="22">
        <v>82540</v>
      </c>
      <c r="M788" s="22">
        <v>82840</v>
      </c>
      <c r="N788" s="23">
        <v>-0.40828059122849503</v>
      </c>
      <c r="O788" s="23">
        <v>-0.41042346692419102</v>
      </c>
      <c r="P788" s="21"/>
      <c r="Q788" s="22">
        <v>417.44034188034198</v>
      </c>
    </row>
    <row r="789" spans="1:17" ht="15" customHeight="1" x14ac:dyDescent="0.2">
      <c r="A789" s="26" t="s">
        <v>161</v>
      </c>
      <c r="B789" s="27" t="s">
        <v>148</v>
      </c>
      <c r="C789" s="27" t="s">
        <v>149</v>
      </c>
      <c r="D789" s="29">
        <v>162</v>
      </c>
      <c r="E789" s="26" t="s">
        <v>555</v>
      </c>
      <c r="F789" s="28" t="s">
        <v>545</v>
      </c>
      <c r="G789" s="28" t="s">
        <v>519</v>
      </c>
      <c r="H789" s="28" t="s">
        <v>556</v>
      </c>
      <c r="I789" s="30"/>
      <c r="J789" s="30"/>
      <c r="K789" s="31">
        <v>94000.7</v>
      </c>
      <c r="L789" s="31">
        <v>161200</v>
      </c>
      <c r="M789" s="31">
        <v>161200</v>
      </c>
      <c r="N789" s="32">
        <v>-0.41686910669975202</v>
      </c>
      <c r="O789" s="32">
        <v>-0.41686910669975202</v>
      </c>
      <c r="P789" s="30"/>
      <c r="Q789" s="31">
        <v>580.25123456790095</v>
      </c>
    </row>
    <row r="790" spans="1:17" ht="15" customHeight="1" x14ac:dyDescent="0.2">
      <c r="A790" s="17" t="s">
        <v>165</v>
      </c>
      <c r="B790" s="18" t="s">
        <v>148</v>
      </c>
      <c r="C790" s="18" t="s">
        <v>149</v>
      </c>
      <c r="D790" s="20">
        <v>197</v>
      </c>
      <c r="E790" s="17" t="s">
        <v>555</v>
      </c>
      <c r="F790" s="19" t="s">
        <v>545</v>
      </c>
      <c r="G790" s="19" t="s">
        <v>519</v>
      </c>
      <c r="H790" s="19" t="s">
        <v>556</v>
      </c>
      <c r="I790" s="21"/>
      <c r="J790" s="21"/>
      <c r="K790" s="22">
        <v>176561.56</v>
      </c>
      <c r="L790" s="22">
        <v>210065</v>
      </c>
      <c r="M790" s="22">
        <v>212365</v>
      </c>
      <c r="N790" s="23">
        <v>-0.159490824268679</v>
      </c>
      <c r="O790" s="23">
        <v>-0.16859388317283899</v>
      </c>
      <c r="P790" s="21"/>
      <c r="Q790" s="22">
        <v>896.25157360406104</v>
      </c>
    </row>
    <row r="791" spans="1:17" ht="15" customHeight="1" x14ac:dyDescent="0.2">
      <c r="A791" s="26" t="s">
        <v>167</v>
      </c>
      <c r="B791" s="27" t="s">
        <v>148</v>
      </c>
      <c r="C791" s="27" t="s">
        <v>149</v>
      </c>
      <c r="D791" s="29">
        <v>119</v>
      </c>
      <c r="E791" s="26" t="s">
        <v>555</v>
      </c>
      <c r="F791" s="28" t="s">
        <v>545</v>
      </c>
      <c r="G791" s="28" t="s">
        <v>519</v>
      </c>
      <c r="H791" s="28" t="s">
        <v>556</v>
      </c>
      <c r="I791" s="30"/>
      <c r="J791" s="30"/>
      <c r="K791" s="31">
        <v>98571.05</v>
      </c>
      <c r="L791" s="31">
        <v>138250</v>
      </c>
      <c r="M791" s="31">
        <v>132050</v>
      </c>
      <c r="N791" s="32">
        <v>-0.28700867992766699</v>
      </c>
      <c r="O791" s="32">
        <v>-0.25353237410071899</v>
      </c>
      <c r="P791" s="30"/>
      <c r="Q791" s="31">
        <v>828.328151260504</v>
      </c>
    </row>
    <row r="792" spans="1:17" ht="15" customHeight="1" x14ac:dyDescent="0.2">
      <c r="A792" s="17" t="s">
        <v>169</v>
      </c>
      <c r="B792" s="18" t="s">
        <v>148</v>
      </c>
      <c r="C792" s="18" t="s">
        <v>149</v>
      </c>
      <c r="D792" s="20">
        <v>211</v>
      </c>
      <c r="E792" s="17" t="s">
        <v>555</v>
      </c>
      <c r="F792" s="19" t="s">
        <v>545</v>
      </c>
      <c r="G792" s="19" t="s">
        <v>519</v>
      </c>
      <c r="H792" s="19" t="s">
        <v>556</v>
      </c>
      <c r="I792" s="21"/>
      <c r="J792" s="21"/>
      <c r="K792" s="22">
        <v>141396.65</v>
      </c>
      <c r="L792" s="22">
        <v>201680</v>
      </c>
      <c r="M792" s="22">
        <v>201680</v>
      </c>
      <c r="N792" s="23">
        <v>-0.29890594010313398</v>
      </c>
      <c r="O792" s="23">
        <v>-0.29890594010313398</v>
      </c>
      <c r="P792" s="21"/>
      <c r="Q792" s="22">
        <v>670.12630331753599</v>
      </c>
    </row>
    <row r="793" spans="1:17" ht="15" customHeight="1" x14ac:dyDescent="0.2">
      <c r="A793" s="26" t="s">
        <v>171</v>
      </c>
      <c r="B793" s="27" t="s">
        <v>148</v>
      </c>
      <c r="C793" s="27" t="s">
        <v>149</v>
      </c>
      <c r="D793" s="29">
        <v>211</v>
      </c>
      <c r="E793" s="26" t="s">
        <v>555</v>
      </c>
      <c r="F793" s="28" t="s">
        <v>545</v>
      </c>
      <c r="G793" s="28" t="s">
        <v>519</v>
      </c>
      <c r="H793" s="28" t="s">
        <v>556</v>
      </c>
      <c r="I793" s="30"/>
      <c r="J793" s="30"/>
      <c r="K793" s="31">
        <v>176444.92</v>
      </c>
      <c r="L793" s="31">
        <v>212400</v>
      </c>
      <c r="M793" s="31">
        <v>215686</v>
      </c>
      <c r="N793" s="32">
        <v>-0.169280037664783</v>
      </c>
      <c r="O793" s="32">
        <v>-0.181936147918734</v>
      </c>
      <c r="P793" s="30"/>
      <c r="Q793" s="31">
        <v>836.23184834123197</v>
      </c>
    </row>
    <row r="794" spans="1:17" ht="15" customHeight="1" x14ac:dyDescent="0.2">
      <c r="A794" s="17" t="s">
        <v>173</v>
      </c>
      <c r="B794" s="18" t="s">
        <v>148</v>
      </c>
      <c r="C794" s="18" t="s">
        <v>149</v>
      </c>
      <c r="D794" s="20">
        <v>256</v>
      </c>
      <c r="E794" s="17" t="s">
        <v>555</v>
      </c>
      <c r="F794" s="19" t="s">
        <v>545</v>
      </c>
      <c r="G794" s="19" t="s">
        <v>519</v>
      </c>
      <c r="H794" s="19" t="s">
        <v>556</v>
      </c>
      <c r="I794" s="21"/>
      <c r="J794" s="21"/>
      <c r="K794" s="22">
        <v>87900.72</v>
      </c>
      <c r="L794" s="22">
        <v>363580</v>
      </c>
      <c r="M794" s="22">
        <v>213718</v>
      </c>
      <c r="N794" s="23">
        <v>-0.75823554650970904</v>
      </c>
      <c r="O794" s="23">
        <v>-0.58870698771277996</v>
      </c>
      <c r="P794" s="21"/>
      <c r="Q794" s="22">
        <v>343.3621875</v>
      </c>
    </row>
    <row r="795" spans="1:17" ht="15" customHeight="1" x14ac:dyDescent="0.2">
      <c r="A795" s="26" t="s">
        <v>175</v>
      </c>
      <c r="B795" s="27" t="s">
        <v>148</v>
      </c>
      <c r="C795" s="27" t="s">
        <v>149</v>
      </c>
      <c r="D795" s="29">
        <v>136</v>
      </c>
      <c r="E795" s="26" t="s">
        <v>555</v>
      </c>
      <c r="F795" s="28" t="s">
        <v>545</v>
      </c>
      <c r="G795" s="28" t="s">
        <v>519</v>
      </c>
      <c r="H795" s="28" t="s">
        <v>556</v>
      </c>
      <c r="I795" s="30"/>
      <c r="J795" s="30"/>
      <c r="K795" s="31">
        <v>99695.01</v>
      </c>
      <c r="L795" s="31">
        <v>145590</v>
      </c>
      <c r="M795" s="31">
        <v>120660</v>
      </c>
      <c r="N795" s="32">
        <v>-0.315234494127344</v>
      </c>
      <c r="O795" s="32">
        <v>-0.17375261064147199</v>
      </c>
      <c r="P795" s="30"/>
      <c r="Q795" s="31">
        <v>733.05154411764704</v>
      </c>
    </row>
    <row r="796" spans="1:17" ht="15" customHeight="1" x14ac:dyDescent="0.2">
      <c r="A796" s="17" t="s">
        <v>177</v>
      </c>
      <c r="B796" s="18" t="s">
        <v>148</v>
      </c>
      <c r="C796" s="18" t="s">
        <v>149</v>
      </c>
      <c r="D796" s="20">
        <v>18</v>
      </c>
      <c r="E796" s="17" t="s">
        <v>555</v>
      </c>
      <c r="F796" s="19" t="s">
        <v>545</v>
      </c>
      <c r="G796" s="19" t="s">
        <v>519</v>
      </c>
      <c r="H796" s="19" t="s">
        <v>556</v>
      </c>
      <c r="I796" s="21"/>
      <c r="J796" s="21"/>
      <c r="K796" s="22">
        <v>20929.54</v>
      </c>
      <c r="L796" s="22">
        <v>24340</v>
      </c>
      <c r="M796" s="22">
        <v>24340</v>
      </c>
      <c r="N796" s="23">
        <v>-0.14011750205423201</v>
      </c>
      <c r="O796" s="23">
        <v>-0.14011750205423201</v>
      </c>
      <c r="P796" s="21"/>
      <c r="Q796" s="22">
        <v>1162.7522222222201</v>
      </c>
    </row>
    <row r="797" spans="1:17" ht="15" customHeight="1" x14ac:dyDescent="0.2">
      <c r="A797" s="26" t="s">
        <v>179</v>
      </c>
      <c r="B797" s="27" t="s">
        <v>148</v>
      </c>
      <c r="C797" s="27" t="s">
        <v>180</v>
      </c>
      <c r="D797" s="29">
        <v>209</v>
      </c>
      <c r="E797" s="26" t="s">
        <v>555</v>
      </c>
      <c r="F797" s="28" t="s">
        <v>545</v>
      </c>
      <c r="G797" s="28" t="s">
        <v>519</v>
      </c>
      <c r="H797" s="28" t="s">
        <v>556</v>
      </c>
      <c r="I797" s="30"/>
      <c r="J797" s="30"/>
      <c r="K797" s="31">
        <v>158305.23000000001</v>
      </c>
      <c r="L797" s="31">
        <v>156630</v>
      </c>
      <c r="M797" s="31">
        <v>224127</v>
      </c>
      <c r="N797" s="32">
        <v>1.06954606397243E-2</v>
      </c>
      <c r="O797" s="32">
        <v>-0.29368068104244499</v>
      </c>
      <c r="P797" s="30"/>
      <c r="Q797" s="31">
        <v>757.44129186602902</v>
      </c>
    </row>
    <row r="798" spans="1:17" ht="15" customHeight="1" x14ac:dyDescent="0.2">
      <c r="A798" s="17" t="s">
        <v>185</v>
      </c>
      <c r="B798" s="18" t="s">
        <v>148</v>
      </c>
      <c r="C798" s="18" t="s">
        <v>180</v>
      </c>
      <c r="D798" s="20">
        <v>117</v>
      </c>
      <c r="E798" s="17" t="s">
        <v>555</v>
      </c>
      <c r="F798" s="19" t="s">
        <v>545</v>
      </c>
      <c r="G798" s="19" t="s">
        <v>519</v>
      </c>
      <c r="H798" s="19" t="s">
        <v>556</v>
      </c>
      <c r="I798" s="21"/>
      <c r="J798" s="21"/>
      <c r="K798" s="22">
        <v>75249.36</v>
      </c>
      <c r="L798" s="22">
        <v>122600</v>
      </c>
      <c r="M798" s="22">
        <v>124334</v>
      </c>
      <c r="N798" s="23">
        <v>-0.38622055464926602</v>
      </c>
      <c r="O798" s="23">
        <v>-0.39478051056026497</v>
      </c>
      <c r="P798" s="21"/>
      <c r="Q798" s="22">
        <v>643.15692307692302</v>
      </c>
    </row>
    <row r="799" spans="1:17" ht="15" customHeight="1" x14ac:dyDescent="0.2">
      <c r="A799" s="26" t="s">
        <v>190</v>
      </c>
      <c r="B799" s="27" t="s">
        <v>148</v>
      </c>
      <c r="C799" s="27" t="s">
        <v>180</v>
      </c>
      <c r="D799" s="29">
        <v>75</v>
      </c>
      <c r="E799" s="26" t="s">
        <v>555</v>
      </c>
      <c r="F799" s="28" t="s">
        <v>545</v>
      </c>
      <c r="G799" s="28" t="s">
        <v>519</v>
      </c>
      <c r="H799" s="28" t="s">
        <v>556</v>
      </c>
      <c r="I799" s="30"/>
      <c r="J799" s="30"/>
      <c r="K799" s="31">
        <v>58515.95</v>
      </c>
      <c r="L799" s="31">
        <v>76655</v>
      </c>
      <c r="M799" s="31">
        <v>77101</v>
      </c>
      <c r="N799" s="32">
        <v>-0.23663231361294099</v>
      </c>
      <c r="O799" s="32">
        <v>-0.241048105731443</v>
      </c>
      <c r="P799" s="30"/>
      <c r="Q799" s="31">
        <v>780.21266666666702</v>
      </c>
    </row>
    <row r="800" spans="1:17" ht="15" customHeight="1" x14ac:dyDescent="0.2">
      <c r="A800" s="17" t="s">
        <v>195</v>
      </c>
      <c r="B800" s="18" t="s">
        <v>148</v>
      </c>
      <c r="C800" s="18" t="s">
        <v>180</v>
      </c>
      <c r="D800" s="20">
        <v>49</v>
      </c>
      <c r="E800" s="17" t="s">
        <v>555</v>
      </c>
      <c r="F800" s="19" t="s">
        <v>545</v>
      </c>
      <c r="G800" s="19" t="s">
        <v>519</v>
      </c>
      <c r="H800" s="19" t="s">
        <v>556</v>
      </c>
      <c r="I800" s="21"/>
      <c r="J800" s="21"/>
      <c r="K800" s="22">
        <v>42655.4</v>
      </c>
      <c r="L800" s="22">
        <v>60210</v>
      </c>
      <c r="M800" s="22">
        <v>60210</v>
      </c>
      <c r="N800" s="23">
        <v>-0.29155621989702701</v>
      </c>
      <c r="O800" s="23">
        <v>-0.29155621989702701</v>
      </c>
      <c r="P800" s="21"/>
      <c r="Q800" s="22">
        <v>870.51836734693904</v>
      </c>
    </row>
    <row r="801" spans="1:17" ht="15" customHeight="1" x14ac:dyDescent="0.2">
      <c r="A801" s="26" t="s">
        <v>201</v>
      </c>
      <c r="B801" s="27" t="s">
        <v>148</v>
      </c>
      <c r="C801" s="27" t="s">
        <v>180</v>
      </c>
      <c r="D801" s="29">
        <v>170</v>
      </c>
      <c r="E801" s="26" t="s">
        <v>555</v>
      </c>
      <c r="F801" s="28" t="s">
        <v>545</v>
      </c>
      <c r="G801" s="28" t="s">
        <v>519</v>
      </c>
      <c r="H801" s="28" t="s">
        <v>556</v>
      </c>
      <c r="I801" s="30"/>
      <c r="J801" s="30"/>
      <c r="K801" s="31">
        <v>91274.89</v>
      </c>
      <c r="L801" s="31">
        <v>153325</v>
      </c>
      <c r="M801" s="31">
        <v>151625</v>
      </c>
      <c r="N801" s="32">
        <v>-0.40469662481656599</v>
      </c>
      <c r="O801" s="32">
        <v>-0.39802215993404799</v>
      </c>
      <c r="P801" s="30"/>
      <c r="Q801" s="31">
        <v>536.91111764705897</v>
      </c>
    </row>
    <row r="802" spans="1:17" ht="15" customHeight="1" x14ac:dyDescent="0.2">
      <c r="A802" s="17" t="s">
        <v>205</v>
      </c>
      <c r="B802" s="18" t="s">
        <v>148</v>
      </c>
      <c r="C802" s="18" t="s">
        <v>180</v>
      </c>
      <c r="D802" s="20">
        <v>296</v>
      </c>
      <c r="E802" s="17" t="s">
        <v>555</v>
      </c>
      <c r="F802" s="19" t="s">
        <v>545</v>
      </c>
      <c r="G802" s="19" t="s">
        <v>519</v>
      </c>
      <c r="H802" s="19" t="s">
        <v>556</v>
      </c>
      <c r="I802" s="21"/>
      <c r="J802" s="21"/>
      <c r="K802" s="22">
        <v>77241.990000000005</v>
      </c>
      <c r="L802" s="22">
        <v>149440</v>
      </c>
      <c r="M802" s="22">
        <v>151272</v>
      </c>
      <c r="N802" s="23">
        <v>-0.48312372858672398</v>
      </c>
      <c r="O802" s="23">
        <v>-0.48938342852609901</v>
      </c>
      <c r="P802" s="21"/>
      <c r="Q802" s="22">
        <v>260.95266891891902</v>
      </c>
    </row>
    <row r="803" spans="1:17" ht="15" customHeight="1" x14ac:dyDescent="0.2">
      <c r="A803" s="26" t="s">
        <v>210</v>
      </c>
      <c r="B803" s="27" t="s">
        <v>148</v>
      </c>
      <c r="C803" s="27" t="s">
        <v>180</v>
      </c>
      <c r="D803" s="29">
        <v>83</v>
      </c>
      <c r="E803" s="26" t="s">
        <v>555</v>
      </c>
      <c r="F803" s="28" t="s">
        <v>545</v>
      </c>
      <c r="G803" s="28" t="s">
        <v>519</v>
      </c>
      <c r="H803" s="28" t="s">
        <v>556</v>
      </c>
      <c r="I803" s="30"/>
      <c r="J803" s="30"/>
      <c r="K803" s="31">
        <v>63196.04</v>
      </c>
      <c r="L803" s="31">
        <v>79600</v>
      </c>
      <c r="M803" s="31">
        <v>80398</v>
      </c>
      <c r="N803" s="32">
        <v>-0.20607989949748701</v>
      </c>
      <c r="O803" s="32">
        <v>-0.21396004875743199</v>
      </c>
      <c r="P803" s="30"/>
      <c r="Q803" s="31">
        <v>761.39807228915697</v>
      </c>
    </row>
    <row r="804" spans="1:17" ht="15" customHeight="1" x14ac:dyDescent="0.2">
      <c r="A804" s="17" t="s">
        <v>214</v>
      </c>
      <c r="B804" s="18" t="s">
        <v>148</v>
      </c>
      <c r="C804" s="18" t="s">
        <v>180</v>
      </c>
      <c r="D804" s="20">
        <v>144</v>
      </c>
      <c r="E804" s="17" t="s">
        <v>555</v>
      </c>
      <c r="F804" s="19" t="s">
        <v>545</v>
      </c>
      <c r="G804" s="19" t="s">
        <v>519</v>
      </c>
      <c r="H804" s="19" t="s">
        <v>556</v>
      </c>
      <c r="I804" s="21"/>
      <c r="J804" s="21"/>
      <c r="K804" s="22">
        <v>104992.07</v>
      </c>
      <c r="L804" s="22">
        <v>141080</v>
      </c>
      <c r="M804" s="22">
        <v>130320</v>
      </c>
      <c r="N804" s="23">
        <v>-0.25579763254890803</v>
      </c>
      <c r="O804" s="23">
        <v>-0.194351826273788</v>
      </c>
      <c r="P804" s="21"/>
      <c r="Q804" s="22">
        <v>729.11159722222203</v>
      </c>
    </row>
    <row r="805" spans="1:17" ht="15" customHeight="1" x14ac:dyDescent="0.2">
      <c r="A805" s="26" t="s">
        <v>219</v>
      </c>
      <c r="B805" s="27" t="s">
        <v>148</v>
      </c>
      <c r="C805" s="27" t="s">
        <v>180</v>
      </c>
      <c r="D805" s="29">
        <v>398</v>
      </c>
      <c r="E805" s="26" t="s">
        <v>555</v>
      </c>
      <c r="F805" s="28" t="s">
        <v>545</v>
      </c>
      <c r="G805" s="28" t="s">
        <v>519</v>
      </c>
      <c r="H805" s="28" t="s">
        <v>556</v>
      </c>
      <c r="I805" s="30"/>
      <c r="J805" s="30"/>
      <c r="K805" s="31">
        <v>90966.27</v>
      </c>
      <c r="L805" s="31">
        <v>142470</v>
      </c>
      <c r="M805" s="31">
        <v>145264</v>
      </c>
      <c r="N805" s="32">
        <v>-0.361505790692777</v>
      </c>
      <c r="O805" s="32">
        <v>-0.37378655413591799</v>
      </c>
      <c r="P805" s="30"/>
      <c r="Q805" s="31">
        <v>228.55846733668301</v>
      </c>
    </row>
    <row r="806" spans="1:17" ht="15" customHeight="1" x14ac:dyDescent="0.2">
      <c r="A806" s="17" t="s">
        <v>224</v>
      </c>
      <c r="B806" s="18" t="s">
        <v>148</v>
      </c>
      <c r="C806" s="18" t="s">
        <v>180</v>
      </c>
      <c r="D806" s="20">
        <v>71</v>
      </c>
      <c r="E806" s="17" t="s">
        <v>555</v>
      </c>
      <c r="F806" s="19" t="s">
        <v>545</v>
      </c>
      <c r="G806" s="19" t="s">
        <v>519</v>
      </c>
      <c r="H806" s="19" t="s">
        <v>556</v>
      </c>
      <c r="I806" s="21"/>
      <c r="J806" s="21"/>
      <c r="K806" s="22">
        <v>27891.8</v>
      </c>
      <c r="L806" s="22">
        <v>48085</v>
      </c>
      <c r="M806" s="22">
        <v>49835</v>
      </c>
      <c r="N806" s="23">
        <v>-0.41994800873453297</v>
      </c>
      <c r="O806" s="23">
        <v>-0.44031704625263401</v>
      </c>
      <c r="P806" s="21"/>
      <c r="Q806" s="22">
        <v>392.84225352112702</v>
      </c>
    </row>
    <row r="807" spans="1:17" ht="15" customHeight="1" x14ac:dyDescent="0.2">
      <c r="A807" s="26" t="s">
        <v>230</v>
      </c>
      <c r="B807" s="27" t="s">
        <v>148</v>
      </c>
      <c r="C807" s="27" t="s">
        <v>180</v>
      </c>
      <c r="D807" s="29">
        <v>139</v>
      </c>
      <c r="E807" s="26" t="s">
        <v>555</v>
      </c>
      <c r="F807" s="28" t="s">
        <v>545</v>
      </c>
      <c r="G807" s="28" t="s">
        <v>519</v>
      </c>
      <c r="H807" s="28" t="s">
        <v>556</v>
      </c>
      <c r="I807" s="30"/>
      <c r="J807" s="30"/>
      <c r="K807" s="31">
        <v>67263.77</v>
      </c>
      <c r="L807" s="31">
        <v>294400</v>
      </c>
      <c r="M807" s="31">
        <v>171617</v>
      </c>
      <c r="N807" s="32">
        <v>-0.77152252038043501</v>
      </c>
      <c r="O807" s="32">
        <v>-0.60805881701696196</v>
      </c>
      <c r="P807" s="30"/>
      <c r="Q807" s="31">
        <v>483.91201438848901</v>
      </c>
    </row>
    <row r="808" spans="1:17" ht="15" customHeight="1" x14ac:dyDescent="0.2">
      <c r="A808" s="17" t="s">
        <v>236</v>
      </c>
      <c r="B808" s="18" t="s">
        <v>148</v>
      </c>
      <c r="C808" s="18" t="s">
        <v>180</v>
      </c>
      <c r="D808" s="20">
        <v>128</v>
      </c>
      <c r="E808" s="17" t="s">
        <v>555</v>
      </c>
      <c r="F808" s="19" t="s">
        <v>545</v>
      </c>
      <c r="G808" s="19" t="s">
        <v>519</v>
      </c>
      <c r="H808" s="19" t="s">
        <v>556</v>
      </c>
      <c r="I808" s="21"/>
      <c r="J808" s="21"/>
      <c r="K808" s="22">
        <v>100919.24</v>
      </c>
      <c r="L808" s="22">
        <v>197820</v>
      </c>
      <c r="M808" s="22">
        <v>201155</v>
      </c>
      <c r="N808" s="23">
        <v>-0.48984308967748502</v>
      </c>
      <c r="O808" s="23">
        <v>-0.49830111108349301</v>
      </c>
      <c r="P808" s="21"/>
      <c r="Q808" s="22">
        <v>788.43156250000004</v>
      </c>
    </row>
    <row r="809" spans="1:17" ht="15" customHeight="1" x14ac:dyDescent="0.2">
      <c r="A809" s="26" t="s">
        <v>239</v>
      </c>
      <c r="B809" s="27" t="s">
        <v>148</v>
      </c>
      <c r="C809" s="27" t="s">
        <v>180</v>
      </c>
      <c r="D809" s="29">
        <v>92</v>
      </c>
      <c r="E809" s="26" t="s">
        <v>555</v>
      </c>
      <c r="F809" s="28" t="s">
        <v>545</v>
      </c>
      <c r="G809" s="28" t="s">
        <v>519</v>
      </c>
      <c r="H809" s="28" t="s">
        <v>556</v>
      </c>
      <c r="I809" s="30"/>
      <c r="J809" s="30"/>
      <c r="K809" s="31">
        <v>17359.05</v>
      </c>
      <c r="L809" s="31">
        <v>35575</v>
      </c>
      <c r="M809" s="31">
        <v>35575</v>
      </c>
      <c r="N809" s="32">
        <v>-0.51204356992269895</v>
      </c>
      <c r="O809" s="32">
        <v>-0.51204356992269895</v>
      </c>
      <c r="P809" s="30"/>
      <c r="Q809" s="31">
        <v>188.68532608695699</v>
      </c>
    </row>
    <row r="810" spans="1:17" ht="15" customHeight="1" x14ac:dyDescent="0.2">
      <c r="A810" s="17" t="s">
        <v>245</v>
      </c>
      <c r="B810" s="18" t="s">
        <v>148</v>
      </c>
      <c r="C810" s="18" t="s">
        <v>180</v>
      </c>
      <c r="D810" s="20">
        <v>31</v>
      </c>
      <c r="E810" s="17" t="s">
        <v>555</v>
      </c>
      <c r="F810" s="19" t="s">
        <v>545</v>
      </c>
      <c r="G810" s="19" t="s">
        <v>519</v>
      </c>
      <c r="H810" s="19" t="s">
        <v>556</v>
      </c>
      <c r="I810" s="21"/>
      <c r="J810" s="21"/>
      <c r="K810" s="22">
        <v>21242.97</v>
      </c>
      <c r="L810" s="22">
        <v>30375</v>
      </c>
      <c r="M810" s="22">
        <v>30375</v>
      </c>
      <c r="N810" s="23">
        <v>-0.300642962962963</v>
      </c>
      <c r="O810" s="23">
        <v>-0.300642962962963</v>
      </c>
      <c r="P810" s="21"/>
      <c r="Q810" s="22">
        <v>685.257096774194</v>
      </c>
    </row>
    <row r="811" spans="1:17" ht="15" customHeight="1" x14ac:dyDescent="0.2">
      <c r="A811" s="26" t="s">
        <v>249</v>
      </c>
      <c r="B811" s="27" t="s">
        <v>148</v>
      </c>
      <c r="C811" s="27" t="s">
        <v>180</v>
      </c>
      <c r="D811" s="29">
        <v>122</v>
      </c>
      <c r="E811" s="26" t="s">
        <v>555</v>
      </c>
      <c r="F811" s="28" t="s">
        <v>545</v>
      </c>
      <c r="G811" s="28" t="s">
        <v>519</v>
      </c>
      <c r="H811" s="28" t="s">
        <v>556</v>
      </c>
      <c r="I811" s="30"/>
      <c r="J811" s="30"/>
      <c r="K811" s="31">
        <v>106312.24</v>
      </c>
      <c r="L811" s="31">
        <v>101645</v>
      </c>
      <c r="M811" s="31">
        <v>105468</v>
      </c>
      <c r="N811" s="32">
        <v>4.5917064292390203E-2</v>
      </c>
      <c r="O811" s="32">
        <v>8.0047028482573401E-3</v>
      </c>
      <c r="P811" s="30"/>
      <c r="Q811" s="31">
        <v>871.41180327868904</v>
      </c>
    </row>
    <row r="812" spans="1:17" ht="15" customHeight="1" x14ac:dyDescent="0.2">
      <c r="A812" s="17" t="s">
        <v>254</v>
      </c>
      <c r="B812" s="18" t="s">
        <v>148</v>
      </c>
      <c r="C812" s="18" t="s">
        <v>180</v>
      </c>
      <c r="D812" s="20">
        <v>80</v>
      </c>
      <c r="E812" s="17" t="s">
        <v>555</v>
      </c>
      <c r="F812" s="19" t="s">
        <v>545</v>
      </c>
      <c r="G812" s="19" t="s">
        <v>519</v>
      </c>
      <c r="H812" s="19" t="s">
        <v>556</v>
      </c>
      <c r="I812" s="21"/>
      <c r="J812" s="21"/>
      <c r="K812" s="22">
        <v>61984.15</v>
      </c>
      <c r="L812" s="22">
        <v>83800</v>
      </c>
      <c r="M812" s="22">
        <v>88698</v>
      </c>
      <c r="N812" s="23">
        <v>-0.26033233890214802</v>
      </c>
      <c r="O812" s="23">
        <v>-0.30117759137748301</v>
      </c>
      <c r="P812" s="21"/>
      <c r="Q812" s="22">
        <v>774.801875</v>
      </c>
    </row>
    <row r="813" spans="1:17" ht="15" customHeight="1" x14ac:dyDescent="0.2">
      <c r="A813" s="26" t="s">
        <v>259</v>
      </c>
      <c r="B813" s="27" t="s">
        <v>148</v>
      </c>
      <c r="C813" s="27" t="s">
        <v>180</v>
      </c>
      <c r="D813" s="29"/>
      <c r="E813" s="26" t="s">
        <v>555</v>
      </c>
      <c r="F813" s="28" t="s">
        <v>545</v>
      </c>
      <c r="G813" s="28" t="s">
        <v>519</v>
      </c>
      <c r="H813" s="28" t="s">
        <v>556</v>
      </c>
      <c r="I813" s="30"/>
      <c r="J813" s="30"/>
      <c r="K813" s="31">
        <v>30.2</v>
      </c>
      <c r="L813" s="31"/>
      <c r="M813" s="31"/>
      <c r="N813" s="32"/>
      <c r="O813" s="32"/>
      <c r="P813" s="30"/>
      <c r="Q813" s="31"/>
    </row>
    <row r="814" spans="1:17" ht="15" customHeight="1" x14ac:dyDescent="0.2">
      <c r="A814" s="17" t="s">
        <v>263</v>
      </c>
      <c r="B814" s="18" t="s">
        <v>148</v>
      </c>
      <c r="C814" s="18" t="s">
        <v>180</v>
      </c>
      <c r="D814" s="20">
        <v>55</v>
      </c>
      <c r="E814" s="17" t="s">
        <v>555</v>
      </c>
      <c r="F814" s="19" t="s">
        <v>545</v>
      </c>
      <c r="G814" s="19" t="s">
        <v>519</v>
      </c>
      <c r="H814" s="19" t="s">
        <v>556</v>
      </c>
      <c r="I814" s="21"/>
      <c r="J814" s="21"/>
      <c r="K814" s="22">
        <v>24915.98</v>
      </c>
      <c r="L814" s="22">
        <v>32500</v>
      </c>
      <c r="M814" s="22">
        <v>32895</v>
      </c>
      <c r="N814" s="23">
        <v>-0.23335446153846201</v>
      </c>
      <c r="O814" s="23">
        <v>-0.24256026751786</v>
      </c>
      <c r="P814" s="21"/>
      <c r="Q814" s="22">
        <v>453.01781818181797</v>
      </c>
    </row>
    <row r="815" spans="1:17" ht="15" customHeight="1" x14ac:dyDescent="0.2">
      <c r="A815" s="26" t="s">
        <v>266</v>
      </c>
      <c r="B815" s="27" t="s">
        <v>148</v>
      </c>
      <c r="C815" s="27" t="s">
        <v>267</v>
      </c>
      <c r="D815" s="29">
        <v>108</v>
      </c>
      <c r="E815" s="26" t="s">
        <v>555</v>
      </c>
      <c r="F815" s="28" t="s">
        <v>545</v>
      </c>
      <c r="G815" s="28" t="s">
        <v>519</v>
      </c>
      <c r="H815" s="28" t="s">
        <v>556</v>
      </c>
      <c r="I815" s="30"/>
      <c r="J815" s="30"/>
      <c r="K815" s="31">
        <v>79004.39</v>
      </c>
      <c r="L815" s="31">
        <v>90850</v>
      </c>
      <c r="M815" s="31">
        <v>90170</v>
      </c>
      <c r="N815" s="32">
        <v>-0.13038646119978001</v>
      </c>
      <c r="O815" s="32">
        <v>-0.12382843517799701</v>
      </c>
      <c r="P815" s="30"/>
      <c r="Q815" s="31">
        <v>731.52212962962994</v>
      </c>
    </row>
    <row r="816" spans="1:17" ht="15" customHeight="1" x14ac:dyDescent="0.2">
      <c r="A816" s="17" t="s">
        <v>270</v>
      </c>
      <c r="B816" s="18" t="s">
        <v>148</v>
      </c>
      <c r="C816" s="18" t="s">
        <v>267</v>
      </c>
      <c r="D816" s="20">
        <v>75</v>
      </c>
      <c r="E816" s="17" t="s">
        <v>555</v>
      </c>
      <c r="F816" s="19" t="s">
        <v>545</v>
      </c>
      <c r="G816" s="19" t="s">
        <v>519</v>
      </c>
      <c r="H816" s="19" t="s">
        <v>556</v>
      </c>
      <c r="I816" s="21"/>
      <c r="J816" s="21"/>
      <c r="K816" s="22">
        <v>62128.4</v>
      </c>
      <c r="L816" s="22">
        <v>74450</v>
      </c>
      <c r="M816" s="22">
        <v>74650</v>
      </c>
      <c r="N816" s="23">
        <v>-0.165501678979181</v>
      </c>
      <c r="O816" s="23">
        <v>-0.16773744139316801</v>
      </c>
      <c r="P816" s="21"/>
      <c r="Q816" s="22">
        <v>828.37866666666696</v>
      </c>
    </row>
    <row r="817" spans="1:17" ht="15" customHeight="1" x14ac:dyDescent="0.2">
      <c r="A817" s="26" t="s">
        <v>272</v>
      </c>
      <c r="B817" s="27" t="s">
        <v>148</v>
      </c>
      <c r="C817" s="27" t="s">
        <v>267</v>
      </c>
      <c r="D817" s="29">
        <v>89</v>
      </c>
      <c r="E817" s="26" t="s">
        <v>555</v>
      </c>
      <c r="F817" s="28" t="s">
        <v>545</v>
      </c>
      <c r="G817" s="28" t="s">
        <v>519</v>
      </c>
      <c r="H817" s="28" t="s">
        <v>556</v>
      </c>
      <c r="I817" s="30"/>
      <c r="J817" s="30"/>
      <c r="K817" s="31">
        <v>30692.52</v>
      </c>
      <c r="L817" s="31">
        <v>53365</v>
      </c>
      <c r="M817" s="31">
        <v>54365</v>
      </c>
      <c r="N817" s="32">
        <v>-0.42485674130984702</v>
      </c>
      <c r="O817" s="32">
        <v>-0.43543603421318899</v>
      </c>
      <c r="P817" s="30"/>
      <c r="Q817" s="31">
        <v>344.85977528089899</v>
      </c>
    </row>
    <row r="818" spans="1:17" ht="15" customHeight="1" x14ac:dyDescent="0.2">
      <c r="A818" s="17" t="s">
        <v>275</v>
      </c>
      <c r="B818" s="18" t="s">
        <v>148</v>
      </c>
      <c r="C818" s="18" t="s">
        <v>267</v>
      </c>
      <c r="D818" s="20">
        <v>78</v>
      </c>
      <c r="E818" s="17" t="s">
        <v>555</v>
      </c>
      <c r="F818" s="19" t="s">
        <v>545</v>
      </c>
      <c r="G818" s="19" t="s">
        <v>519</v>
      </c>
      <c r="H818" s="19" t="s">
        <v>556</v>
      </c>
      <c r="I818" s="21"/>
      <c r="J818" s="21"/>
      <c r="K818" s="22">
        <v>42382.13</v>
      </c>
      <c r="L818" s="22">
        <v>44200</v>
      </c>
      <c r="M818" s="22">
        <v>45350</v>
      </c>
      <c r="N818" s="23">
        <v>-4.1128280542986499E-2</v>
      </c>
      <c r="O818" s="23">
        <v>-6.5443660418963698E-2</v>
      </c>
      <c r="P818" s="21"/>
      <c r="Q818" s="22">
        <v>543.36064102564103</v>
      </c>
    </row>
    <row r="819" spans="1:17" ht="15" customHeight="1" x14ac:dyDescent="0.2">
      <c r="A819" s="26" t="s">
        <v>277</v>
      </c>
      <c r="B819" s="27" t="s">
        <v>148</v>
      </c>
      <c r="C819" s="27" t="s">
        <v>267</v>
      </c>
      <c r="D819" s="29">
        <v>158</v>
      </c>
      <c r="E819" s="26" t="s">
        <v>555</v>
      </c>
      <c r="F819" s="28" t="s">
        <v>545</v>
      </c>
      <c r="G819" s="28" t="s">
        <v>519</v>
      </c>
      <c r="H819" s="28" t="s">
        <v>556</v>
      </c>
      <c r="I819" s="30"/>
      <c r="J819" s="30"/>
      <c r="K819" s="31">
        <v>97191</v>
      </c>
      <c r="L819" s="31">
        <v>153390</v>
      </c>
      <c r="M819" s="31">
        <v>158260</v>
      </c>
      <c r="N819" s="32">
        <v>-0.36637981615489901</v>
      </c>
      <c r="O819" s="32">
        <v>-0.38587766965752601</v>
      </c>
      <c r="P819" s="30"/>
      <c r="Q819" s="31">
        <v>615.13291139240505</v>
      </c>
    </row>
    <row r="820" spans="1:17" ht="15" customHeight="1" x14ac:dyDescent="0.2">
      <c r="A820" s="17" t="s">
        <v>280</v>
      </c>
      <c r="B820" s="18" t="s">
        <v>148</v>
      </c>
      <c r="C820" s="18" t="s">
        <v>267</v>
      </c>
      <c r="D820" s="20">
        <v>110</v>
      </c>
      <c r="E820" s="17" t="s">
        <v>555</v>
      </c>
      <c r="F820" s="19" t="s">
        <v>545</v>
      </c>
      <c r="G820" s="19" t="s">
        <v>519</v>
      </c>
      <c r="H820" s="19" t="s">
        <v>556</v>
      </c>
      <c r="I820" s="21"/>
      <c r="J820" s="21"/>
      <c r="K820" s="22">
        <v>91683.71</v>
      </c>
      <c r="L820" s="22">
        <v>129520</v>
      </c>
      <c r="M820" s="22">
        <v>130335</v>
      </c>
      <c r="N820" s="23">
        <v>-0.292127007411983</v>
      </c>
      <c r="O820" s="23">
        <v>-0.29655342003299201</v>
      </c>
      <c r="P820" s="21"/>
      <c r="Q820" s="22">
        <v>833.48827272727306</v>
      </c>
    </row>
    <row r="821" spans="1:17" ht="15" customHeight="1" x14ac:dyDescent="0.2">
      <c r="A821" s="26" t="s">
        <v>282</v>
      </c>
      <c r="B821" s="27" t="s">
        <v>148</v>
      </c>
      <c r="C821" s="27" t="s">
        <v>267</v>
      </c>
      <c r="D821" s="29">
        <v>70</v>
      </c>
      <c r="E821" s="26" t="s">
        <v>555</v>
      </c>
      <c r="F821" s="28" t="s">
        <v>545</v>
      </c>
      <c r="G821" s="28" t="s">
        <v>519</v>
      </c>
      <c r="H821" s="28" t="s">
        <v>556</v>
      </c>
      <c r="I821" s="30"/>
      <c r="J821" s="30"/>
      <c r="K821" s="31">
        <v>56003.99</v>
      </c>
      <c r="L821" s="31">
        <v>59765</v>
      </c>
      <c r="M821" s="31">
        <v>67358</v>
      </c>
      <c r="N821" s="32">
        <v>-6.29299757383084E-2</v>
      </c>
      <c r="O821" s="32">
        <v>-0.16856216039668601</v>
      </c>
      <c r="P821" s="30"/>
      <c r="Q821" s="31">
        <v>800.05700000000002</v>
      </c>
    </row>
    <row r="822" spans="1:17" ht="15" customHeight="1" x14ac:dyDescent="0.2">
      <c r="A822" s="17" t="s">
        <v>284</v>
      </c>
      <c r="B822" s="18" t="s">
        <v>148</v>
      </c>
      <c r="C822" s="18" t="s">
        <v>267</v>
      </c>
      <c r="D822" s="20">
        <v>72</v>
      </c>
      <c r="E822" s="17" t="s">
        <v>555</v>
      </c>
      <c r="F822" s="19" t="s">
        <v>545</v>
      </c>
      <c r="G822" s="19" t="s">
        <v>519</v>
      </c>
      <c r="H822" s="19" t="s">
        <v>556</v>
      </c>
      <c r="I822" s="21"/>
      <c r="J822" s="21"/>
      <c r="K822" s="22">
        <v>51415.82</v>
      </c>
      <c r="L822" s="22">
        <v>62505</v>
      </c>
      <c r="M822" s="22">
        <v>63290</v>
      </c>
      <c r="N822" s="23">
        <v>-0.17741268698504101</v>
      </c>
      <c r="O822" s="23">
        <v>-0.187615421077579</v>
      </c>
      <c r="P822" s="21"/>
      <c r="Q822" s="22">
        <v>714.10861111111103</v>
      </c>
    </row>
    <row r="823" spans="1:17" ht="15" customHeight="1" x14ac:dyDescent="0.2">
      <c r="A823" s="26" t="s">
        <v>285</v>
      </c>
      <c r="B823" s="27" t="s">
        <v>148</v>
      </c>
      <c r="C823" s="27" t="s">
        <v>267</v>
      </c>
      <c r="D823" s="29">
        <v>296</v>
      </c>
      <c r="E823" s="26" t="s">
        <v>555</v>
      </c>
      <c r="F823" s="28" t="s">
        <v>545</v>
      </c>
      <c r="G823" s="28" t="s">
        <v>519</v>
      </c>
      <c r="H823" s="28" t="s">
        <v>556</v>
      </c>
      <c r="I823" s="30"/>
      <c r="J823" s="30"/>
      <c r="K823" s="31">
        <v>140166.18</v>
      </c>
      <c r="L823" s="31">
        <v>96000</v>
      </c>
      <c r="M823" s="31">
        <v>96762</v>
      </c>
      <c r="N823" s="32">
        <v>0.46006437500000003</v>
      </c>
      <c r="O823" s="32">
        <v>0.44856637936380001</v>
      </c>
      <c r="P823" s="30"/>
      <c r="Q823" s="31">
        <v>473.53439189189203</v>
      </c>
    </row>
    <row r="824" spans="1:17" ht="15" customHeight="1" x14ac:dyDescent="0.2">
      <c r="A824" s="17" t="s">
        <v>286</v>
      </c>
      <c r="B824" s="18" t="s">
        <v>148</v>
      </c>
      <c r="C824" s="18" t="s">
        <v>267</v>
      </c>
      <c r="D824" s="20">
        <v>50</v>
      </c>
      <c r="E824" s="17" t="s">
        <v>555</v>
      </c>
      <c r="F824" s="19" t="s">
        <v>545</v>
      </c>
      <c r="G824" s="19" t="s">
        <v>519</v>
      </c>
      <c r="H824" s="19" t="s">
        <v>556</v>
      </c>
      <c r="I824" s="21"/>
      <c r="J824" s="21"/>
      <c r="K824" s="22">
        <v>40315.08</v>
      </c>
      <c r="L824" s="22">
        <v>49945</v>
      </c>
      <c r="M824" s="22">
        <v>50270</v>
      </c>
      <c r="N824" s="23">
        <v>-0.19281049154069499</v>
      </c>
      <c r="O824" s="23">
        <v>-0.19802904316689901</v>
      </c>
      <c r="P824" s="21"/>
      <c r="Q824" s="22">
        <v>806.30160000000001</v>
      </c>
    </row>
    <row r="825" spans="1:17" ht="15" customHeight="1" x14ac:dyDescent="0.2">
      <c r="A825" s="26" t="s">
        <v>287</v>
      </c>
      <c r="B825" s="27" t="s">
        <v>148</v>
      </c>
      <c r="C825" s="27" t="s">
        <v>267</v>
      </c>
      <c r="D825" s="29">
        <v>163</v>
      </c>
      <c r="E825" s="26" t="s">
        <v>555</v>
      </c>
      <c r="F825" s="28" t="s">
        <v>545</v>
      </c>
      <c r="G825" s="28" t="s">
        <v>519</v>
      </c>
      <c r="H825" s="28" t="s">
        <v>556</v>
      </c>
      <c r="I825" s="30"/>
      <c r="J825" s="30"/>
      <c r="K825" s="31">
        <v>47851.97</v>
      </c>
      <c r="L825" s="31">
        <v>230840</v>
      </c>
      <c r="M825" s="31">
        <v>145597</v>
      </c>
      <c r="N825" s="32">
        <v>-0.79270503378963797</v>
      </c>
      <c r="O825" s="32">
        <v>-0.67133958804096205</v>
      </c>
      <c r="P825" s="30"/>
      <c r="Q825" s="31">
        <v>293.57036809815997</v>
      </c>
    </row>
    <row r="826" spans="1:17" ht="15" customHeight="1" x14ac:dyDescent="0.2">
      <c r="A826" s="17" t="s">
        <v>289</v>
      </c>
      <c r="B826" s="18" t="s">
        <v>148</v>
      </c>
      <c r="C826" s="18" t="s">
        <v>267</v>
      </c>
      <c r="D826" s="20">
        <v>107</v>
      </c>
      <c r="E826" s="17" t="s">
        <v>555</v>
      </c>
      <c r="F826" s="19" t="s">
        <v>545</v>
      </c>
      <c r="G826" s="19" t="s">
        <v>519</v>
      </c>
      <c r="H826" s="19" t="s">
        <v>556</v>
      </c>
      <c r="I826" s="21"/>
      <c r="J826" s="21"/>
      <c r="K826" s="22">
        <v>87583.59</v>
      </c>
      <c r="L826" s="22">
        <v>112170</v>
      </c>
      <c r="M826" s="22">
        <v>118820</v>
      </c>
      <c r="N826" s="23">
        <v>-0.21918882054025099</v>
      </c>
      <c r="O826" s="23">
        <v>-0.26288848678673599</v>
      </c>
      <c r="P826" s="21"/>
      <c r="Q826" s="22">
        <v>818.53822429906495</v>
      </c>
    </row>
    <row r="827" spans="1:17" ht="15" customHeight="1" x14ac:dyDescent="0.2">
      <c r="A827" s="26" t="s">
        <v>292</v>
      </c>
      <c r="B827" s="27" t="s">
        <v>148</v>
      </c>
      <c r="C827" s="27" t="s">
        <v>267</v>
      </c>
      <c r="D827" s="29">
        <v>136</v>
      </c>
      <c r="E827" s="26" t="s">
        <v>555</v>
      </c>
      <c r="F827" s="28" t="s">
        <v>545</v>
      </c>
      <c r="G827" s="28" t="s">
        <v>519</v>
      </c>
      <c r="H827" s="28" t="s">
        <v>556</v>
      </c>
      <c r="I827" s="30"/>
      <c r="J827" s="30"/>
      <c r="K827" s="31">
        <v>74601.11</v>
      </c>
      <c r="L827" s="31">
        <v>163620</v>
      </c>
      <c r="M827" s="31">
        <v>166602</v>
      </c>
      <c r="N827" s="32">
        <v>-0.54405873365114299</v>
      </c>
      <c r="O827" s="32">
        <v>-0.55221960120526803</v>
      </c>
      <c r="P827" s="30"/>
      <c r="Q827" s="31">
        <v>548.53757352941204</v>
      </c>
    </row>
    <row r="828" spans="1:17" ht="15" customHeight="1" x14ac:dyDescent="0.2">
      <c r="A828" s="17" t="s">
        <v>295</v>
      </c>
      <c r="B828" s="18" t="s">
        <v>148</v>
      </c>
      <c r="C828" s="18" t="s">
        <v>267</v>
      </c>
      <c r="D828" s="20">
        <v>68</v>
      </c>
      <c r="E828" s="17" t="s">
        <v>555</v>
      </c>
      <c r="F828" s="19" t="s">
        <v>545</v>
      </c>
      <c r="G828" s="19" t="s">
        <v>519</v>
      </c>
      <c r="H828" s="19" t="s">
        <v>556</v>
      </c>
      <c r="I828" s="21"/>
      <c r="J828" s="21"/>
      <c r="K828" s="22">
        <v>34199.43</v>
      </c>
      <c r="L828" s="22">
        <v>46890</v>
      </c>
      <c r="M828" s="22">
        <v>49582</v>
      </c>
      <c r="N828" s="23">
        <v>-0.27064555342290503</v>
      </c>
      <c r="O828" s="23">
        <v>-0.31024504860634899</v>
      </c>
      <c r="P828" s="21"/>
      <c r="Q828" s="22">
        <v>502.93279411764701</v>
      </c>
    </row>
    <row r="829" spans="1:17" ht="15" customHeight="1" x14ac:dyDescent="0.2">
      <c r="A829" s="26" t="s">
        <v>298</v>
      </c>
      <c r="B829" s="27" t="s">
        <v>148</v>
      </c>
      <c r="C829" s="27" t="s">
        <v>267</v>
      </c>
      <c r="D829" s="29">
        <v>98</v>
      </c>
      <c r="E829" s="26" t="s">
        <v>555</v>
      </c>
      <c r="F829" s="28" t="s">
        <v>545</v>
      </c>
      <c r="G829" s="28" t="s">
        <v>519</v>
      </c>
      <c r="H829" s="28" t="s">
        <v>556</v>
      </c>
      <c r="I829" s="30"/>
      <c r="J829" s="30"/>
      <c r="K829" s="31">
        <v>84940.23</v>
      </c>
      <c r="L829" s="31">
        <v>63421</v>
      </c>
      <c r="M829" s="31">
        <v>70041</v>
      </c>
      <c r="N829" s="32">
        <v>0.33930764257895701</v>
      </c>
      <c r="O829" s="32">
        <v>0.21272154880712699</v>
      </c>
      <c r="P829" s="30"/>
      <c r="Q829" s="31">
        <v>866.73704081632695</v>
      </c>
    </row>
    <row r="830" spans="1:17" ht="15" customHeight="1" x14ac:dyDescent="0.2">
      <c r="A830" s="17" t="s">
        <v>300</v>
      </c>
      <c r="B830" s="18" t="s">
        <v>148</v>
      </c>
      <c r="C830" s="18" t="s">
        <v>267</v>
      </c>
      <c r="D830" s="20">
        <v>321</v>
      </c>
      <c r="E830" s="17" t="s">
        <v>555</v>
      </c>
      <c r="F830" s="19" t="s">
        <v>545</v>
      </c>
      <c r="G830" s="19" t="s">
        <v>519</v>
      </c>
      <c r="H830" s="19" t="s">
        <v>556</v>
      </c>
      <c r="I830" s="21"/>
      <c r="J830" s="21"/>
      <c r="K830" s="22">
        <v>239543.21</v>
      </c>
      <c r="L830" s="22">
        <v>429928</v>
      </c>
      <c r="M830" s="22">
        <v>431128</v>
      </c>
      <c r="N830" s="23">
        <v>-0.44282947377235299</v>
      </c>
      <c r="O830" s="23">
        <v>-0.44438030005010098</v>
      </c>
      <c r="P830" s="21"/>
      <c r="Q830" s="22">
        <v>746.24052959501603</v>
      </c>
    </row>
    <row r="831" spans="1:17" ht="15" customHeight="1" x14ac:dyDescent="0.2">
      <c r="A831" s="26" t="s">
        <v>302</v>
      </c>
      <c r="B831" s="27" t="s">
        <v>148</v>
      </c>
      <c r="C831" s="27" t="s">
        <v>267</v>
      </c>
      <c r="D831" s="29">
        <v>111</v>
      </c>
      <c r="E831" s="26" t="s">
        <v>555</v>
      </c>
      <c r="F831" s="28" t="s">
        <v>545</v>
      </c>
      <c r="G831" s="28" t="s">
        <v>519</v>
      </c>
      <c r="H831" s="28" t="s">
        <v>556</v>
      </c>
      <c r="I831" s="30"/>
      <c r="J831" s="30"/>
      <c r="K831" s="31">
        <v>25828.61</v>
      </c>
      <c r="L831" s="31">
        <v>53020</v>
      </c>
      <c r="M831" s="31">
        <v>53020</v>
      </c>
      <c r="N831" s="32">
        <v>-0.51285156544700095</v>
      </c>
      <c r="O831" s="32">
        <v>-0.51285156544700095</v>
      </c>
      <c r="P831" s="30"/>
      <c r="Q831" s="31">
        <v>232.69018018017999</v>
      </c>
    </row>
    <row r="832" spans="1:17" ht="15" customHeight="1" x14ac:dyDescent="0.2">
      <c r="A832" s="17" t="s">
        <v>304</v>
      </c>
      <c r="B832" s="18" t="s">
        <v>148</v>
      </c>
      <c r="C832" s="18" t="s">
        <v>267</v>
      </c>
      <c r="D832" s="20">
        <v>77</v>
      </c>
      <c r="E832" s="17" t="s">
        <v>555</v>
      </c>
      <c r="F832" s="19" t="s">
        <v>545</v>
      </c>
      <c r="G832" s="19" t="s">
        <v>519</v>
      </c>
      <c r="H832" s="19" t="s">
        <v>556</v>
      </c>
      <c r="I832" s="21"/>
      <c r="J832" s="21"/>
      <c r="K832" s="22">
        <v>32023.13</v>
      </c>
      <c r="L832" s="22">
        <v>43040</v>
      </c>
      <c r="M832" s="22">
        <v>44540</v>
      </c>
      <c r="N832" s="23">
        <v>-0.25596816914498099</v>
      </c>
      <c r="O832" s="23">
        <v>-0.28102537045352499</v>
      </c>
      <c r="P832" s="21"/>
      <c r="Q832" s="22">
        <v>415.88480519480498</v>
      </c>
    </row>
    <row r="833" spans="1:17" ht="15" customHeight="1" x14ac:dyDescent="0.2">
      <c r="A833" s="26" t="s">
        <v>306</v>
      </c>
      <c r="B833" s="27" t="s">
        <v>148</v>
      </c>
      <c r="C833" s="27" t="s">
        <v>267</v>
      </c>
      <c r="D833" s="29">
        <v>365</v>
      </c>
      <c r="E833" s="26" t="s">
        <v>555</v>
      </c>
      <c r="F833" s="28" t="s">
        <v>545</v>
      </c>
      <c r="G833" s="28" t="s">
        <v>519</v>
      </c>
      <c r="H833" s="28" t="s">
        <v>556</v>
      </c>
      <c r="I833" s="30"/>
      <c r="J833" s="30"/>
      <c r="K833" s="31">
        <v>205612.27</v>
      </c>
      <c r="L833" s="31">
        <v>342245</v>
      </c>
      <c r="M833" s="31">
        <v>342415</v>
      </c>
      <c r="N833" s="32">
        <v>-0.39922491197826099</v>
      </c>
      <c r="O833" s="32">
        <v>-0.399523180935415</v>
      </c>
      <c r="P833" s="30"/>
      <c r="Q833" s="31">
        <v>563.32128767123299</v>
      </c>
    </row>
    <row r="834" spans="1:17" ht="15" customHeight="1" x14ac:dyDescent="0.2">
      <c r="A834" s="17" t="s">
        <v>309</v>
      </c>
      <c r="B834" s="18" t="s">
        <v>148</v>
      </c>
      <c r="C834" s="18" t="s">
        <v>267</v>
      </c>
      <c r="D834" s="20">
        <v>270</v>
      </c>
      <c r="E834" s="17" t="s">
        <v>555</v>
      </c>
      <c r="F834" s="19" t="s">
        <v>545</v>
      </c>
      <c r="G834" s="19" t="s">
        <v>519</v>
      </c>
      <c r="H834" s="19" t="s">
        <v>556</v>
      </c>
      <c r="I834" s="21"/>
      <c r="J834" s="21"/>
      <c r="K834" s="22">
        <v>162471.67999999999</v>
      </c>
      <c r="L834" s="22">
        <v>205194</v>
      </c>
      <c r="M834" s="22">
        <v>376194</v>
      </c>
      <c r="N834" s="23">
        <v>-0.20820452839751699</v>
      </c>
      <c r="O834" s="23">
        <v>-0.56811730117971104</v>
      </c>
      <c r="P834" s="21"/>
      <c r="Q834" s="22">
        <v>601.74696296296304</v>
      </c>
    </row>
    <row r="835" spans="1:17" ht="15" customHeight="1" x14ac:dyDescent="0.2">
      <c r="A835" s="35" t="s">
        <v>312</v>
      </c>
      <c r="B835" s="36" t="s">
        <v>313</v>
      </c>
      <c r="C835" s="36" t="s">
        <v>267</v>
      </c>
      <c r="D835" s="38">
        <v>170</v>
      </c>
      <c r="E835" s="35" t="s">
        <v>555</v>
      </c>
      <c r="F835" s="37" t="s">
        <v>545</v>
      </c>
      <c r="G835" s="37" t="s">
        <v>519</v>
      </c>
      <c r="H835" s="37" t="s">
        <v>556</v>
      </c>
      <c r="I835" s="39"/>
      <c r="J835" s="39"/>
      <c r="K835" s="40">
        <v>266624.03000000003</v>
      </c>
      <c r="L835" s="40">
        <v>611575</v>
      </c>
      <c r="M835" s="40">
        <v>623175</v>
      </c>
      <c r="N835" s="41">
        <v>-0.56403706822548305</v>
      </c>
      <c r="O835" s="41">
        <v>-0.57215223653067004</v>
      </c>
      <c r="P835" s="39"/>
      <c r="Q835" s="40">
        <v>1568.37664705882</v>
      </c>
    </row>
    <row r="836" spans="1:17" ht="15" customHeight="1" x14ac:dyDescent="0.2">
      <c r="A836" s="35" t="s">
        <v>316</v>
      </c>
      <c r="B836" s="36" t="s">
        <v>313</v>
      </c>
      <c r="C836" s="36" t="s">
        <v>267</v>
      </c>
      <c r="D836" s="38">
        <v>234</v>
      </c>
      <c r="E836" s="35" t="s">
        <v>555</v>
      </c>
      <c r="F836" s="37" t="s">
        <v>545</v>
      </c>
      <c r="G836" s="37" t="s">
        <v>519</v>
      </c>
      <c r="H836" s="37" t="s">
        <v>556</v>
      </c>
      <c r="I836" s="39"/>
      <c r="J836" s="39"/>
      <c r="K836" s="40">
        <v>429974.35</v>
      </c>
      <c r="L836" s="40">
        <v>636571</v>
      </c>
      <c r="M836" s="40">
        <v>657496</v>
      </c>
      <c r="N836" s="41">
        <v>-0.32454612289909501</v>
      </c>
      <c r="O836" s="41">
        <v>-0.34604263752174902</v>
      </c>
      <c r="P836" s="39"/>
      <c r="Q836" s="40">
        <v>1837.49722222222</v>
      </c>
    </row>
    <row r="837" spans="1:17" ht="15" customHeight="1" x14ac:dyDescent="0.2">
      <c r="A837" s="35" t="s">
        <v>319</v>
      </c>
      <c r="B837" s="36" t="s">
        <v>313</v>
      </c>
      <c r="C837" s="36" t="s">
        <v>267</v>
      </c>
      <c r="D837" s="38">
        <v>24</v>
      </c>
      <c r="E837" s="35" t="s">
        <v>555</v>
      </c>
      <c r="F837" s="37" t="s">
        <v>545</v>
      </c>
      <c r="G837" s="37" t="s">
        <v>519</v>
      </c>
      <c r="H837" s="37" t="s">
        <v>556</v>
      </c>
      <c r="I837" s="39"/>
      <c r="J837" s="39"/>
      <c r="K837" s="40">
        <v>18939.04</v>
      </c>
      <c r="L837" s="40">
        <v>53635</v>
      </c>
      <c r="M837" s="40">
        <v>53835</v>
      </c>
      <c r="N837" s="41">
        <v>-0.64689027687144596</v>
      </c>
      <c r="O837" s="41">
        <v>-0.64820209900622305</v>
      </c>
      <c r="P837" s="39"/>
      <c r="Q837" s="40">
        <v>789.12666666666701</v>
      </c>
    </row>
    <row r="838" spans="1:17" ht="15" customHeight="1" x14ac:dyDescent="0.2">
      <c r="A838" s="35" t="s">
        <v>327</v>
      </c>
      <c r="B838" s="36" t="s">
        <v>313</v>
      </c>
      <c r="C838" s="36" t="s">
        <v>267</v>
      </c>
      <c r="D838" s="38">
        <v>244</v>
      </c>
      <c r="E838" s="35" t="s">
        <v>555</v>
      </c>
      <c r="F838" s="37" t="s">
        <v>545</v>
      </c>
      <c r="G838" s="37" t="s">
        <v>519</v>
      </c>
      <c r="H838" s="37" t="s">
        <v>556</v>
      </c>
      <c r="I838" s="39"/>
      <c r="J838" s="39"/>
      <c r="K838" s="40">
        <v>209687.42</v>
      </c>
      <c r="L838" s="40">
        <v>381860</v>
      </c>
      <c r="M838" s="40">
        <v>392310</v>
      </c>
      <c r="N838" s="41">
        <v>-0.450878803750065</v>
      </c>
      <c r="O838" s="41">
        <v>-0.46550579898549599</v>
      </c>
      <c r="P838" s="39"/>
      <c r="Q838" s="40">
        <v>859.37467213114803</v>
      </c>
    </row>
    <row r="839" spans="1:17" ht="15" customHeight="1" x14ac:dyDescent="0.2">
      <c r="A839" s="35" t="s">
        <v>329</v>
      </c>
      <c r="B839" s="36" t="s">
        <v>313</v>
      </c>
      <c r="C839" s="36" t="s">
        <v>330</v>
      </c>
      <c r="D839" s="38">
        <v>186</v>
      </c>
      <c r="E839" s="35" t="s">
        <v>555</v>
      </c>
      <c r="F839" s="37" t="s">
        <v>545</v>
      </c>
      <c r="G839" s="37" t="s">
        <v>519</v>
      </c>
      <c r="H839" s="37" t="s">
        <v>556</v>
      </c>
      <c r="I839" s="39"/>
      <c r="J839" s="39"/>
      <c r="K839" s="40">
        <v>224000.12</v>
      </c>
      <c r="L839" s="40">
        <v>465420</v>
      </c>
      <c r="M839" s="40">
        <v>466720</v>
      </c>
      <c r="N839" s="41">
        <v>-0.51871402174380099</v>
      </c>
      <c r="O839" s="41">
        <v>-0.52005459376071295</v>
      </c>
      <c r="P839" s="39"/>
      <c r="Q839" s="40">
        <v>1204.30172043011</v>
      </c>
    </row>
    <row r="840" spans="1:17" ht="15" customHeight="1" x14ac:dyDescent="0.2">
      <c r="A840" s="35" t="s">
        <v>334</v>
      </c>
      <c r="B840" s="36" t="s">
        <v>313</v>
      </c>
      <c r="C840" s="36" t="s">
        <v>330</v>
      </c>
      <c r="D840" s="38">
        <v>20</v>
      </c>
      <c r="E840" s="35" t="s">
        <v>555</v>
      </c>
      <c r="F840" s="37" t="s">
        <v>545</v>
      </c>
      <c r="G840" s="37" t="s">
        <v>519</v>
      </c>
      <c r="H840" s="37" t="s">
        <v>556</v>
      </c>
      <c r="I840" s="39"/>
      <c r="J840" s="39"/>
      <c r="K840" s="40">
        <v>32236.67</v>
      </c>
      <c r="L840" s="40">
        <v>37330</v>
      </c>
      <c r="M840" s="40">
        <v>37810</v>
      </c>
      <c r="N840" s="41">
        <v>-0.13644066434503099</v>
      </c>
      <c r="O840" s="41">
        <v>-0.14740359693202901</v>
      </c>
      <c r="P840" s="39"/>
      <c r="Q840" s="40">
        <v>1611.8335</v>
      </c>
    </row>
    <row r="841" spans="1:17" ht="15" customHeight="1" x14ac:dyDescent="0.2">
      <c r="A841" s="26" t="s">
        <v>147</v>
      </c>
      <c r="B841" s="27" t="s">
        <v>148</v>
      </c>
      <c r="C841" s="27" t="s">
        <v>149</v>
      </c>
      <c r="D841" s="29">
        <v>234</v>
      </c>
      <c r="E841" s="26" t="s">
        <v>557</v>
      </c>
      <c r="F841" s="28" t="s">
        <v>545</v>
      </c>
      <c r="G841" s="28" t="s">
        <v>522</v>
      </c>
      <c r="H841" s="28" t="s">
        <v>558</v>
      </c>
      <c r="I841" s="30"/>
      <c r="J841" s="30"/>
      <c r="K841" s="31">
        <v>327741.23</v>
      </c>
      <c r="L841" s="31">
        <v>372749</v>
      </c>
      <c r="M841" s="31">
        <v>372749</v>
      </c>
      <c r="N841" s="32">
        <v>-0.120745515078511</v>
      </c>
      <c r="O841" s="32">
        <v>-0.120745515078511</v>
      </c>
      <c r="P841" s="30"/>
      <c r="Q841" s="31">
        <v>1400.6035470085501</v>
      </c>
    </row>
    <row r="842" spans="1:17" ht="15" customHeight="1" x14ac:dyDescent="0.2">
      <c r="A842" s="17" t="s">
        <v>152</v>
      </c>
      <c r="B842" s="18" t="s">
        <v>148</v>
      </c>
      <c r="C842" s="18" t="s">
        <v>149</v>
      </c>
      <c r="D842" s="20">
        <v>258</v>
      </c>
      <c r="E842" s="17" t="s">
        <v>557</v>
      </c>
      <c r="F842" s="19" t="s">
        <v>545</v>
      </c>
      <c r="G842" s="19" t="s">
        <v>522</v>
      </c>
      <c r="H842" s="19" t="s">
        <v>558</v>
      </c>
      <c r="I842" s="21"/>
      <c r="J842" s="21"/>
      <c r="K842" s="22">
        <v>428881.3</v>
      </c>
      <c r="L842" s="22">
        <v>498050</v>
      </c>
      <c r="M842" s="22">
        <v>521715</v>
      </c>
      <c r="N842" s="23">
        <v>-0.13887902821001899</v>
      </c>
      <c r="O842" s="23">
        <v>-0.17793948803465501</v>
      </c>
      <c r="P842" s="21"/>
      <c r="Q842" s="22">
        <v>1662.3306201550399</v>
      </c>
    </row>
    <row r="843" spans="1:17" ht="15" customHeight="1" x14ac:dyDescent="0.2">
      <c r="A843" s="26" t="s">
        <v>154</v>
      </c>
      <c r="B843" s="27" t="s">
        <v>148</v>
      </c>
      <c r="C843" s="27" t="s">
        <v>149</v>
      </c>
      <c r="D843" s="29">
        <v>56</v>
      </c>
      <c r="E843" s="26" t="s">
        <v>557</v>
      </c>
      <c r="F843" s="28" t="s">
        <v>545</v>
      </c>
      <c r="G843" s="28" t="s">
        <v>522</v>
      </c>
      <c r="H843" s="28" t="s">
        <v>558</v>
      </c>
      <c r="I843" s="30"/>
      <c r="J843" s="30"/>
      <c r="K843" s="31">
        <v>109975.66</v>
      </c>
      <c r="L843" s="31">
        <v>143270</v>
      </c>
      <c r="M843" s="31">
        <v>143381</v>
      </c>
      <c r="N843" s="32">
        <v>-0.23238877643610001</v>
      </c>
      <c r="O843" s="32">
        <v>-0.23298303122450001</v>
      </c>
      <c r="P843" s="30"/>
      <c r="Q843" s="31">
        <v>1963.8510714285701</v>
      </c>
    </row>
    <row r="844" spans="1:17" ht="15" customHeight="1" x14ac:dyDescent="0.2">
      <c r="A844" s="17" t="s">
        <v>157</v>
      </c>
      <c r="B844" s="18" t="s">
        <v>148</v>
      </c>
      <c r="C844" s="18" t="s">
        <v>149</v>
      </c>
      <c r="D844" s="20">
        <v>149</v>
      </c>
      <c r="E844" s="17" t="s">
        <v>557</v>
      </c>
      <c r="F844" s="19" t="s">
        <v>545</v>
      </c>
      <c r="G844" s="19" t="s">
        <v>522</v>
      </c>
      <c r="H844" s="19" t="s">
        <v>558</v>
      </c>
      <c r="I844" s="21"/>
      <c r="J844" s="21"/>
      <c r="K844" s="22">
        <v>173652.72</v>
      </c>
      <c r="L844" s="22">
        <v>261700</v>
      </c>
      <c r="M844" s="22">
        <v>251305</v>
      </c>
      <c r="N844" s="23">
        <v>-0.33644356132976699</v>
      </c>
      <c r="O844" s="23">
        <v>-0.30899616004456698</v>
      </c>
      <c r="P844" s="21"/>
      <c r="Q844" s="22">
        <v>1165.4544966443</v>
      </c>
    </row>
    <row r="845" spans="1:17" ht="15" customHeight="1" x14ac:dyDescent="0.2">
      <c r="A845" s="26" t="s">
        <v>159</v>
      </c>
      <c r="B845" s="27" t="s">
        <v>148</v>
      </c>
      <c r="C845" s="27" t="s">
        <v>149</v>
      </c>
      <c r="D845" s="29">
        <v>117</v>
      </c>
      <c r="E845" s="26" t="s">
        <v>557</v>
      </c>
      <c r="F845" s="28" t="s">
        <v>545</v>
      </c>
      <c r="G845" s="28" t="s">
        <v>522</v>
      </c>
      <c r="H845" s="28" t="s">
        <v>558</v>
      </c>
      <c r="I845" s="30"/>
      <c r="J845" s="30"/>
      <c r="K845" s="31">
        <v>207101.2</v>
      </c>
      <c r="L845" s="31">
        <v>231620</v>
      </c>
      <c r="M845" s="31">
        <v>259734</v>
      </c>
      <c r="N845" s="32">
        <v>-0.105857870650203</v>
      </c>
      <c r="O845" s="32">
        <v>-0.20264116365204399</v>
      </c>
      <c r="P845" s="30"/>
      <c r="Q845" s="31">
        <v>1770.0957264957301</v>
      </c>
    </row>
    <row r="846" spans="1:17" ht="15" customHeight="1" x14ac:dyDescent="0.2">
      <c r="A846" s="17" t="s">
        <v>161</v>
      </c>
      <c r="B846" s="18" t="s">
        <v>148</v>
      </c>
      <c r="C846" s="18" t="s">
        <v>149</v>
      </c>
      <c r="D846" s="20">
        <v>162</v>
      </c>
      <c r="E846" s="17" t="s">
        <v>557</v>
      </c>
      <c r="F846" s="19" t="s">
        <v>545</v>
      </c>
      <c r="G846" s="19" t="s">
        <v>522</v>
      </c>
      <c r="H846" s="19" t="s">
        <v>558</v>
      </c>
      <c r="I846" s="21"/>
      <c r="J846" s="21"/>
      <c r="K846" s="22">
        <v>210145.22</v>
      </c>
      <c r="L846" s="22">
        <v>261600</v>
      </c>
      <c r="M846" s="22">
        <v>269866</v>
      </c>
      <c r="N846" s="23">
        <v>-0.196692584097859</v>
      </c>
      <c r="O846" s="23">
        <v>-0.22129790340391201</v>
      </c>
      <c r="P846" s="21"/>
      <c r="Q846" s="22">
        <v>1297.1927160493799</v>
      </c>
    </row>
    <row r="847" spans="1:17" ht="15" customHeight="1" x14ac:dyDescent="0.2">
      <c r="A847" s="26" t="s">
        <v>165</v>
      </c>
      <c r="B847" s="27" t="s">
        <v>148</v>
      </c>
      <c r="C847" s="27" t="s">
        <v>149</v>
      </c>
      <c r="D847" s="29">
        <v>197</v>
      </c>
      <c r="E847" s="26" t="s">
        <v>557</v>
      </c>
      <c r="F847" s="28" t="s">
        <v>545</v>
      </c>
      <c r="G847" s="28" t="s">
        <v>522</v>
      </c>
      <c r="H847" s="28" t="s">
        <v>558</v>
      </c>
      <c r="I847" s="30"/>
      <c r="J847" s="30"/>
      <c r="K847" s="31">
        <v>337546.71</v>
      </c>
      <c r="L847" s="31">
        <v>466740</v>
      </c>
      <c r="M847" s="31">
        <v>483149</v>
      </c>
      <c r="N847" s="32">
        <v>-0.27679926725800202</v>
      </c>
      <c r="O847" s="32">
        <v>-0.30136105011083503</v>
      </c>
      <c r="P847" s="30"/>
      <c r="Q847" s="31">
        <v>1713.4350761421299</v>
      </c>
    </row>
    <row r="848" spans="1:17" ht="15" customHeight="1" x14ac:dyDescent="0.2">
      <c r="A848" s="17" t="s">
        <v>167</v>
      </c>
      <c r="B848" s="18" t="s">
        <v>148</v>
      </c>
      <c r="C848" s="18" t="s">
        <v>149</v>
      </c>
      <c r="D848" s="20">
        <v>119</v>
      </c>
      <c r="E848" s="17" t="s">
        <v>557</v>
      </c>
      <c r="F848" s="19" t="s">
        <v>545</v>
      </c>
      <c r="G848" s="19" t="s">
        <v>522</v>
      </c>
      <c r="H848" s="19" t="s">
        <v>558</v>
      </c>
      <c r="I848" s="21"/>
      <c r="J848" s="21"/>
      <c r="K848" s="22">
        <v>192296.61</v>
      </c>
      <c r="L848" s="22">
        <v>273100</v>
      </c>
      <c r="M848" s="22">
        <v>248951</v>
      </c>
      <c r="N848" s="23">
        <v>-0.29587473452947599</v>
      </c>
      <c r="O848" s="23">
        <v>-0.227572454017056</v>
      </c>
      <c r="P848" s="21"/>
      <c r="Q848" s="22">
        <v>1615.93789915966</v>
      </c>
    </row>
    <row r="849" spans="1:17" ht="15" customHeight="1" x14ac:dyDescent="0.2">
      <c r="A849" s="26" t="s">
        <v>169</v>
      </c>
      <c r="B849" s="27" t="s">
        <v>148</v>
      </c>
      <c r="C849" s="27" t="s">
        <v>149</v>
      </c>
      <c r="D849" s="29">
        <v>211</v>
      </c>
      <c r="E849" s="26" t="s">
        <v>557</v>
      </c>
      <c r="F849" s="28" t="s">
        <v>545</v>
      </c>
      <c r="G849" s="28" t="s">
        <v>522</v>
      </c>
      <c r="H849" s="28" t="s">
        <v>558</v>
      </c>
      <c r="I849" s="30"/>
      <c r="J849" s="30"/>
      <c r="K849" s="31">
        <v>272549.21999999997</v>
      </c>
      <c r="L849" s="31">
        <v>390477</v>
      </c>
      <c r="M849" s="31">
        <v>336907</v>
      </c>
      <c r="N849" s="32">
        <v>-0.30200954217533998</v>
      </c>
      <c r="O849" s="32">
        <v>-0.19102535714603699</v>
      </c>
      <c r="P849" s="30"/>
      <c r="Q849" s="31">
        <v>1291.7024644549799</v>
      </c>
    </row>
    <row r="850" spans="1:17" ht="15" customHeight="1" x14ac:dyDescent="0.2">
      <c r="A850" s="17" t="s">
        <v>171</v>
      </c>
      <c r="B850" s="18" t="s">
        <v>148</v>
      </c>
      <c r="C850" s="18" t="s">
        <v>149</v>
      </c>
      <c r="D850" s="20">
        <v>211</v>
      </c>
      <c r="E850" s="17" t="s">
        <v>557</v>
      </c>
      <c r="F850" s="19" t="s">
        <v>545</v>
      </c>
      <c r="G850" s="19" t="s">
        <v>522</v>
      </c>
      <c r="H850" s="19" t="s">
        <v>558</v>
      </c>
      <c r="I850" s="21"/>
      <c r="J850" s="21"/>
      <c r="K850" s="22">
        <v>313722.19</v>
      </c>
      <c r="L850" s="22">
        <v>461500</v>
      </c>
      <c r="M850" s="22">
        <v>488611</v>
      </c>
      <c r="N850" s="23">
        <v>-0.32021193932827702</v>
      </c>
      <c r="O850" s="23">
        <v>-0.35793056234919002</v>
      </c>
      <c r="P850" s="21"/>
      <c r="Q850" s="22">
        <v>1486.8350236966801</v>
      </c>
    </row>
    <row r="851" spans="1:17" ht="15" customHeight="1" x14ac:dyDescent="0.2">
      <c r="A851" s="26" t="s">
        <v>173</v>
      </c>
      <c r="B851" s="27" t="s">
        <v>148</v>
      </c>
      <c r="C851" s="27" t="s">
        <v>149</v>
      </c>
      <c r="D851" s="29">
        <v>256</v>
      </c>
      <c r="E851" s="26" t="s">
        <v>557</v>
      </c>
      <c r="F851" s="28" t="s">
        <v>545</v>
      </c>
      <c r="G851" s="28" t="s">
        <v>522</v>
      </c>
      <c r="H851" s="28" t="s">
        <v>558</v>
      </c>
      <c r="I851" s="30"/>
      <c r="J851" s="30"/>
      <c r="K851" s="31">
        <v>411991.97</v>
      </c>
      <c r="L851" s="31">
        <v>478500</v>
      </c>
      <c r="M851" s="31">
        <v>526401</v>
      </c>
      <c r="N851" s="32">
        <v>-0.138992748171369</v>
      </c>
      <c r="O851" s="32">
        <v>-0.217341969335165</v>
      </c>
      <c r="P851" s="30"/>
      <c r="Q851" s="31">
        <v>1609.3436328124999</v>
      </c>
    </row>
    <row r="852" spans="1:17" ht="15" customHeight="1" x14ac:dyDescent="0.2">
      <c r="A852" s="17" t="s">
        <v>175</v>
      </c>
      <c r="B852" s="18" t="s">
        <v>148</v>
      </c>
      <c r="C852" s="18" t="s">
        <v>149</v>
      </c>
      <c r="D852" s="20">
        <v>136</v>
      </c>
      <c r="E852" s="17" t="s">
        <v>557</v>
      </c>
      <c r="F852" s="19" t="s">
        <v>545</v>
      </c>
      <c r="G852" s="19" t="s">
        <v>522</v>
      </c>
      <c r="H852" s="19" t="s">
        <v>558</v>
      </c>
      <c r="I852" s="21"/>
      <c r="J852" s="21"/>
      <c r="K852" s="22">
        <v>202739.69</v>
      </c>
      <c r="L852" s="22">
        <v>256900</v>
      </c>
      <c r="M852" s="22">
        <v>260675</v>
      </c>
      <c r="N852" s="23">
        <v>-0.21082253795251099</v>
      </c>
      <c r="O852" s="23">
        <v>-0.22225111729164701</v>
      </c>
      <c r="P852" s="21"/>
      <c r="Q852" s="22">
        <v>1490.7330147058799</v>
      </c>
    </row>
    <row r="853" spans="1:17" ht="15" customHeight="1" x14ac:dyDescent="0.2">
      <c r="A853" s="26" t="s">
        <v>177</v>
      </c>
      <c r="B853" s="27" t="s">
        <v>148</v>
      </c>
      <c r="C853" s="27" t="s">
        <v>149</v>
      </c>
      <c r="D853" s="29">
        <v>18</v>
      </c>
      <c r="E853" s="26" t="s">
        <v>557</v>
      </c>
      <c r="F853" s="28" t="s">
        <v>545</v>
      </c>
      <c r="G853" s="28" t="s">
        <v>522</v>
      </c>
      <c r="H853" s="28" t="s">
        <v>558</v>
      </c>
      <c r="I853" s="30"/>
      <c r="J853" s="30"/>
      <c r="K853" s="31">
        <v>32656.07</v>
      </c>
      <c r="L853" s="31">
        <v>52590</v>
      </c>
      <c r="M853" s="31">
        <v>59219</v>
      </c>
      <c r="N853" s="32">
        <v>-0.37904411485073197</v>
      </c>
      <c r="O853" s="32">
        <v>-0.44855418024620503</v>
      </c>
      <c r="P853" s="30"/>
      <c r="Q853" s="31">
        <v>1814.22611111111</v>
      </c>
    </row>
    <row r="854" spans="1:17" ht="15" customHeight="1" x14ac:dyDescent="0.2">
      <c r="A854" s="17" t="s">
        <v>179</v>
      </c>
      <c r="B854" s="18" t="s">
        <v>148</v>
      </c>
      <c r="C854" s="18" t="s">
        <v>180</v>
      </c>
      <c r="D854" s="20">
        <v>209</v>
      </c>
      <c r="E854" s="17" t="s">
        <v>557</v>
      </c>
      <c r="F854" s="19" t="s">
        <v>545</v>
      </c>
      <c r="G854" s="19" t="s">
        <v>522</v>
      </c>
      <c r="H854" s="19" t="s">
        <v>558</v>
      </c>
      <c r="I854" s="21"/>
      <c r="J854" s="21"/>
      <c r="K854" s="22">
        <v>287126.83</v>
      </c>
      <c r="L854" s="22">
        <v>496970</v>
      </c>
      <c r="M854" s="22">
        <v>491330</v>
      </c>
      <c r="N854" s="23">
        <v>-0.42224514558222798</v>
      </c>
      <c r="O854" s="23">
        <v>-0.41561307064498398</v>
      </c>
      <c r="P854" s="21"/>
      <c r="Q854" s="22">
        <v>1373.8125837320599</v>
      </c>
    </row>
    <row r="855" spans="1:17" ht="15" customHeight="1" x14ac:dyDescent="0.2">
      <c r="A855" s="26" t="s">
        <v>185</v>
      </c>
      <c r="B855" s="27" t="s">
        <v>148</v>
      </c>
      <c r="C855" s="27" t="s">
        <v>180</v>
      </c>
      <c r="D855" s="29">
        <v>117</v>
      </c>
      <c r="E855" s="26" t="s">
        <v>557</v>
      </c>
      <c r="F855" s="28" t="s">
        <v>545</v>
      </c>
      <c r="G855" s="28" t="s">
        <v>522</v>
      </c>
      <c r="H855" s="28" t="s">
        <v>558</v>
      </c>
      <c r="I855" s="30"/>
      <c r="J855" s="30"/>
      <c r="K855" s="31">
        <v>70943.89</v>
      </c>
      <c r="L855" s="31">
        <v>267000</v>
      </c>
      <c r="M855" s="31">
        <v>276405</v>
      </c>
      <c r="N855" s="32">
        <v>-0.73429254681647904</v>
      </c>
      <c r="O855" s="32">
        <v>-0.74333355040610705</v>
      </c>
      <c r="P855" s="30"/>
      <c r="Q855" s="31">
        <v>606.35803418803403</v>
      </c>
    </row>
    <row r="856" spans="1:17" ht="15" customHeight="1" x14ac:dyDescent="0.2">
      <c r="A856" s="17" t="s">
        <v>190</v>
      </c>
      <c r="B856" s="18" t="s">
        <v>148</v>
      </c>
      <c r="C856" s="18" t="s">
        <v>180</v>
      </c>
      <c r="D856" s="20">
        <v>75</v>
      </c>
      <c r="E856" s="17" t="s">
        <v>557</v>
      </c>
      <c r="F856" s="19" t="s">
        <v>545</v>
      </c>
      <c r="G856" s="19" t="s">
        <v>522</v>
      </c>
      <c r="H856" s="19" t="s">
        <v>558</v>
      </c>
      <c r="I856" s="21"/>
      <c r="J856" s="21"/>
      <c r="K856" s="22">
        <v>110946.04</v>
      </c>
      <c r="L856" s="22">
        <v>105200</v>
      </c>
      <c r="M856" s="22">
        <v>104606.5</v>
      </c>
      <c r="N856" s="23">
        <v>5.4620152091254703E-2</v>
      </c>
      <c r="O856" s="23">
        <v>6.0603690975226103E-2</v>
      </c>
      <c r="P856" s="21"/>
      <c r="Q856" s="22">
        <v>1479.2805333333299</v>
      </c>
    </row>
    <row r="857" spans="1:17" ht="15" customHeight="1" x14ac:dyDescent="0.2">
      <c r="A857" s="26" t="s">
        <v>195</v>
      </c>
      <c r="B857" s="27" t="s">
        <v>148</v>
      </c>
      <c r="C857" s="27" t="s">
        <v>180</v>
      </c>
      <c r="D857" s="29">
        <v>49</v>
      </c>
      <c r="E857" s="26" t="s">
        <v>557</v>
      </c>
      <c r="F857" s="28" t="s">
        <v>545</v>
      </c>
      <c r="G857" s="28" t="s">
        <v>522</v>
      </c>
      <c r="H857" s="28" t="s">
        <v>558</v>
      </c>
      <c r="I857" s="30"/>
      <c r="J857" s="30"/>
      <c r="K857" s="31">
        <v>68397.279999999999</v>
      </c>
      <c r="L857" s="31">
        <v>78595</v>
      </c>
      <c r="M857" s="31">
        <v>82765</v>
      </c>
      <c r="N857" s="32">
        <v>-0.12975023856479401</v>
      </c>
      <c r="O857" s="32">
        <v>-0.17359656859783701</v>
      </c>
      <c r="P857" s="30"/>
      <c r="Q857" s="31">
        <v>1395.8628571428601</v>
      </c>
    </row>
    <row r="858" spans="1:17" ht="15" customHeight="1" x14ac:dyDescent="0.2">
      <c r="A858" s="17" t="s">
        <v>201</v>
      </c>
      <c r="B858" s="18" t="s">
        <v>148</v>
      </c>
      <c r="C858" s="18" t="s">
        <v>180</v>
      </c>
      <c r="D858" s="20">
        <v>170</v>
      </c>
      <c r="E858" s="17" t="s">
        <v>557</v>
      </c>
      <c r="F858" s="19" t="s">
        <v>545</v>
      </c>
      <c r="G858" s="19" t="s">
        <v>522</v>
      </c>
      <c r="H858" s="19" t="s">
        <v>558</v>
      </c>
      <c r="I858" s="21"/>
      <c r="J858" s="21"/>
      <c r="K858" s="22">
        <v>220048.68</v>
      </c>
      <c r="L858" s="22">
        <v>224100</v>
      </c>
      <c r="M858" s="22">
        <v>238053</v>
      </c>
      <c r="N858" s="23">
        <v>-1.8078179384203499E-2</v>
      </c>
      <c r="O858" s="23">
        <v>-7.5631561038928305E-2</v>
      </c>
      <c r="P858" s="21"/>
      <c r="Q858" s="22">
        <v>1294.404</v>
      </c>
    </row>
    <row r="859" spans="1:17" ht="15" customHeight="1" x14ac:dyDescent="0.2">
      <c r="A859" s="26" t="s">
        <v>205</v>
      </c>
      <c r="B859" s="27" t="s">
        <v>148</v>
      </c>
      <c r="C859" s="27" t="s">
        <v>180</v>
      </c>
      <c r="D859" s="29">
        <v>296</v>
      </c>
      <c r="E859" s="26" t="s">
        <v>557</v>
      </c>
      <c r="F859" s="28" t="s">
        <v>545</v>
      </c>
      <c r="G859" s="28" t="s">
        <v>522</v>
      </c>
      <c r="H859" s="28" t="s">
        <v>558</v>
      </c>
      <c r="I859" s="30"/>
      <c r="J859" s="30"/>
      <c r="K859" s="31">
        <v>140999.26999999999</v>
      </c>
      <c r="L859" s="31">
        <v>283585</v>
      </c>
      <c r="M859" s="31">
        <v>143340</v>
      </c>
      <c r="N859" s="32">
        <v>-0.502797150766084</v>
      </c>
      <c r="O859" s="32">
        <v>-1.6329914887679702E-2</v>
      </c>
      <c r="P859" s="30"/>
      <c r="Q859" s="31">
        <v>476.34888513513499</v>
      </c>
    </row>
    <row r="860" spans="1:17" ht="15" customHeight="1" x14ac:dyDescent="0.2">
      <c r="A860" s="17" t="s">
        <v>210</v>
      </c>
      <c r="B860" s="18" t="s">
        <v>148</v>
      </c>
      <c r="C860" s="18" t="s">
        <v>180</v>
      </c>
      <c r="D860" s="20">
        <v>83</v>
      </c>
      <c r="E860" s="17" t="s">
        <v>557</v>
      </c>
      <c r="F860" s="19" t="s">
        <v>545</v>
      </c>
      <c r="G860" s="19" t="s">
        <v>522</v>
      </c>
      <c r="H860" s="19" t="s">
        <v>558</v>
      </c>
      <c r="I860" s="21"/>
      <c r="J860" s="21"/>
      <c r="K860" s="22">
        <v>82322</v>
      </c>
      <c r="L860" s="22">
        <v>94600</v>
      </c>
      <c r="M860" s="22">
        <v>95549.5</v>
      </c>
      <c r="N860" s="23">
        <v>-0.129788583509514</v>
      </c>
      <c r="O860" s="23">
        <v>-0.13843609856671199</v>
      </c>
      <c r="P860" s="21"/>
      <c r="Q860" s="22">
        <v>991.83132530120497</v>
      </c>
    </row>
    <row r="861" spans="1:17" ht="15" customHeight="1" x14ac:dyDescent="0.2">
      <c r="A861" s="26" t="s">
        <v>214</v>
      </c>
      <c r="B861" s="27" t="s">
        <v>148</v>
      </c>
      <c r="C861" s="27" t="s">
        <v>180</v>
      </c>
      <c r="D861" s="29">
        <v>144</v>
      </c>
      <c r="E861" s="26" t="s">
        <v>557</v>
      </c>
      <c r="F861" s="28" t="s">
        <v>545</v>
      </c>
      <c r="G861" s="28" t="s">
        <v>522</v>
      </c>
      <c r="H861" s="28" t="s">
        <v>558</v>
      </c>
      <c r="I861" s="30"/>
      <c r="J861" s="30"/>
      <c r="K861" s="31">
        <v>290680.64</v>
      </c>
      <c r="L861" s="31">
        <v>209900</v>
      </c>
      <c r="M861" s="31">
        <v>321508</v>
      </c>
      <c r="N861" s="32">
        <v>0.38485297760838499</v>
      </c>
      <c r="O861" s="32">
        <v>-9.5883648307351604E-2</v>
      </c>
      <c r="P861" s="30"/>
      <c r="Q861" s="31">
        <v>2018.6155555555599</v>
      </c>
    </row>
    <row r="862" spans="1:17" ht="15" customHeight="1" x14ac:dyDescent="0.2">
      <c r="A862" s="17" t="s">
        <v>219</v>
      </c>
      <c r="B862" s="18" t="s">
        <v>148</v>
      </c>
      <c r="C862" s="18" t="s">
        <v>180</v>
      </c>
      <c r="D862" s="20">
        <v>398</v>
      </c>
      <c r="E862" s="17" t="s">
        <v>557</v>
      </c>
      <c r="F862" s="19" t="s">
        <v>545</v>
      </c>
      <c r="G862" s="19" t="s">
        <v>522</v>
      </c>
      <c r="H862" s="19" t="s">
        <v>558</v>
      </c>
      <c r="I862" s="21"/>
      <c r="J862" s="21"/>
      <c r="K862" s="22">
        <v>268692.84000000003</v>
      </c>
      <c r="L862" s="22">
        <v>264020</v>
      </c>
      <c r="M862" s="22">
        <v>230010</v>
      </c>
      <c r="N862" s="23">
        <v>1.76988106961595E-2</v>
      </c>
      <c r="O862" s="23">
        <v>0.168178948741359</v>
      </c>
      <c r="P862" s="21"/>
      <c r="Q862" s="22">
        <v>675.10763819095496</v>
      </c>
    </row>
    <row r="863" spans="1:17" ht="15" customHeight="1" x14ac:dyDescent="0.2">
      <c r="A863" s="26" t="s">
        <v>224</v>
      </c>
      <c r="B863" s="27" t="s">
        <v>148</v>
      </c>
      <c r="C863" s="27" t="s">
        <v>180</v>
      </c>
      <c r="D863" s="29">
        <v>71</v>
      </c>
      <c r="E863" s="26" t="s">
        <v>557</v>
      </c>
      <c r="F863" s="28" t="s">
        <v>545</v>
      </c>
      <c r="G863" s="28" t="s">
        <v>522</v>
      </c>
      <c r="H863" s="28" t="s">
        <v>558</v>
      </c>
      <c r="I863" s="30"/>
      <c r="J863" s="30"/>
      <c r="K863" s="31">
        <v>98389.06</v>
      </c>
      <c r="L863" s="31">
        <v>79470</v>
      </c>
      <c r="M863" s="31">
        <v>92626</v>
      </c>
      <c r="N863" s="32">
        <v>0.238065433496917</v>
      </c>
      <c r="O863" s="32">
        <v>6.2218599529289799E-2</v>
      </c>
      <c r="P863" s="30"/>
      <c r="Q863" s="31">
        <v>1385.7614084506999</v>
      </c>
    </row>
    <row r="864" spans="1:17" ht="15" customHeight="1" x14ac:dyDescent="0.2">
      <c r="A864" s="17" t="s">
        <v>230</v>
      </c>
      <c r="B864" s="18" t="s">
        <v>148</v>
      </c>
      <c r="C864" s="18" t="s">
        <v>180</v>
      </c>
      <c r="D864" s="20">
        <v>139</v>
      </c>
      <c r="E864" s="17" t="s">
        <v>557</v>
      </c>
      <c r="F864" s="19" t="s">
        <v>545</v>
      </c>
      <c r="G864" s="19" t="s">
        <v>522</v>
      </c>
      <c r="H864" s="19" t="s">
        <v>558</v>
      </c>
      <c r="I864" s="21"/>
      <c r="J864" s="21"/>
      <c r="K864" s="22">
        <v>219513.43</v>
      </c>
      <c r="L864" s="22">
        <v>222560</v>
      </c>
      <c r="M864" s="22">
        <v>197050</v>
      </c>
      <c r="N864" s="23">
        <v>-1.36887580877067E-2</v>
      </c>
      <c r="O864" s="23">
        <v>0.113998629789394</v>
      </c>
      <c r="P864" s="21"/>
      <c r="Q864" s="22">
        <v>1579.2333093525201</v>
      </c>
    </row>
    <row r="865" spans="1:17" ht="15" customHeight="1" x14ac:dyDescent="0.2">
      <c r="A865" s="26" t="s">
        <v>236</v>
      </c>
      <c r="B865" s="27" t="s">
        <v>148</v>
      </c>
      <c r="C865" s="27" t="s">
        <v>180</v>
      </c>
      <c r="D865" s="29">
        <v>128</v>
      </c>
      <c r="E865" s="26" t="s">
        <v>557</v>
      </c>
      <c r="F865" s="28" t="s">
        <v>545</v>
      </c>
      <c r="G865" s="28" t="s">
        <v>522</v>
      </c>
      <c r="H865" s="28" t="s">
        <v>558</v>
      </c>
      <c r="I865" s="30"/>
      <c r="J865" s="30"/>
      <c r="K865" s="31">
        <v>181853.14</v>
      </c>
      <c r="L865" s="31">
        <v>195710</v>
      </c>
      <c r="M865" s="31">
        <v>188997</v>
      </c>
      <c r="N865" s="32">
        <v>-7.0803024883756505E-2</v>
      </c>
      <c r="O865" s="32">
        <v>-3.7798801039169903E-2</v>
      </c>
      <c r="P865" s="30"/>
      <c r="Q865" s="31">
        <v>1420.7276562500001</v>
      </c>
    </row>
    <row r="866" spans="1:17" ht="15" customHeight="1" x14ac:dyDescent="0.2">
      <c r="A866" s="17" t="s">
        <v>239</v>
      </c>
      <c r="B866" s="18" t="s">
        <v>148</v>
      </c>
      <c r="C866" s="18" t="s">
        <v>180</v>
      </c>
      <c r="D866" s="20">
        <v>92</v>
      </c>
      <c r="E866" s="17" t="s">
        <v>557</v>
      </c>
      <c r="F866" s="19" t="s">
        <v>545</v>
      </c>
      <c r="G866" s="19" t="s">
        <v>522</v>
      </c>
      <c r="H866" s="19" t="s">
        <v>558</v>
      </c>
      <c r="I866" s="21"/>
      <c r="J866" s="21"/>
      <c r="K866" s="22">
        <v>96906.5</v>
      </c>
      <c r="L866" s="22">
        <v>96100</v>
      </c>
      <c r="M866" s="22">
        <v>94265</v>
      </c>
      <c r="N866" s="23">
        <v>8.3922996878251794E-3</v>
      </c>
      <c r="O866" s="23">
        <v>2.8022065453773899E-2</v>
      </c>
      <c r="P866" s="21"/>
      <c r="Q866" s="22">
        <v>1053.33152173913</v>
      </c>
    </row>
    <row r="867" spans="1:17" ht="15" customHeight="1" x14ac:dyDescent="0.2">
      <c r="A867" s="26" t="s">
        <v>245</v>
      </c>
      <c r="B867" s="27" t="s">
        <v>148</v>
      </c>
      <c r="C867" s="27" t="s">
        <v>180</v>
      </c>
      <c r="D867" s="29">
        <v>31</v>
      </c>
      <c r="E867" s="26" t="s">
        <v>557</v>
      </c>
      <c r="F867" s="28" t="s">
        <v>545</v>
      </c>
      <c r="G867" s="28" t="s">
        <v>522</v>
      </c>
      <c r="H867" s="28" t="s">
        <v>558</v>
      </c>
      <c r="I867" s="30"/>
      <c r="J867" s="30"/>
      <c r="K867" s="31">
        <v>65661.22</v>
      </c>
      <c r="L867" s="31">
        <v>62775</v>
      </c>
      <c r="M867" s="31">
        <v>73757</v>
      </c>
      <c r="N867" s="32">
        <v>4.5977220230983697E-2</v>
      </c>
      <c r="O867" s="32">
        <v>-0.109762869964885</v>
      </c>
      <c r="P867" s="30"/>
      <c r="Q867" s="31">
        <v>2118.10387096774</v>
      </c>
    </row>
    <row r="868" spans="1:17" ht="15" customHeight="1" x14ac:dyDescent="0.2">
      <c r="A868" s="17" t="s">
        <v>249</v>
      </c>
      <c r="B868" s="18" t="s">
        <v>148</v>
      </c>
      <c r="C868" s="18" t="s">
        <v>180</v>
      </c>
      <c r="D868" s="20">
        <v>122</v>
      </c>
      <c r="E868" s="17" t="s">
        <v>557</v>
      </c>
      <c r="F868" s="19" t="s">
        <v>545</v>
      </c>
      <c r="G868" s="19" t="s">
        <v>522</v>
      </c>
      <c r="H868" s="19" t="s">
        <v>558</v>
      </c>
      <c r="I868" s="21"/>
      <c r="J868" s="21"/>
      <c r="K868" s="22">
        <v>273944.52</v>
      </c>
      <c r="L868" s="22">
        <v>187500</v>
      </c>
      <c r="M868" s="22">
        <v>331860</v>
      </c>
      <c r="N868" s="23">
        <v>0.46103744000000002</v>
      </c>
      <c r="O868" s="23">
        <v>-0.174517808714518</v>
      </c>
      <c r="P868" s="21"/>
      <c r="Q868" s="22">
        <v>2245.4468852458999</v>
      </c>
    </row>
    <row r="869" spans="1:17" ht="15" customHeight="1" x14ac:dyDescent="0.2">
      <c r="A869" s="26" t="s">
        <v>254</v>
      </c>
      <c r="B869" s="27" t="s">
        <v>148</v>
      </c>
      <c r="C869" s="27" t="s">
        <v>180</v>
      </c>
      <c r="D869" s="29">
        <v>80</v>
      </c>
      <c r="E869" s="26" t="s">
        <v>557</v>
      </c>
      <c r="F869" s="28" t="s">
        <v>545</v>
      </c>
      <c r="G869" s="28" t="s">
        <v>522</v>
      </c>
      <c r="H869" s="28" t="s">
        <v>558</v>
      </c>
      <c r="I869" s="30"/>
      <c r="J869" s="30"/>
      <c r="K869" s="31">
        <v>116427.88</v>
      </c>
      <c r="L869" s="31">
        <v>137370</v>
      </c>
      <c r="M869" s="31">
        <v>109090</v>
      </c>
      <c r="N869" s="32">
        <v>-0.15245046225522299</v>
      </c>
      <c r="O869" s="32">
        <v>6.7264460537171195E-2</v>
      </c>
      <c r="P869" s="30"/>
      <c r="Q869" s="31">
        <v>1455.3485000000001</v>
      </c>
    </row>
    <row r="870" spans="1:17" ht="15" customHeight="1" x14ac:dyDescent="0.2">
      <c r="A870" s="17" t="s">
        <v>263</v>
      </c>
      <c r="B870" s="18" t="s">
        <v>148</v>
      </c>
      <c r="C870" s="18" t="s">
        <v>180</v>
      </c>
      <c r="D870" s="20">
        <v>55</v>
      </c>
      <c r="E870" s="17" t="s">
        <v>557</v>
      </c>
      <c r="F870" s="19" t="s">
        <v>545</v>
      </c>
      <c r="G870" s="19" t="s">
        <v>522</v>
      </c>
      <c r="H870" s="19" t="s">
        <v>558</v>
      </c>
      <c r="I870" s="21"/>
      <c r="J870" s="21"/>
      <c r="K870" s="22">
        <v>88855.74</v>
      </c>
      <c r="L870" s="22">
        <v>68220</v>
      </c>
      <c r="M870" s="22">
        <v>79636</v>
      </c>
      <c r="N870" s="23">
        <v>0.30248812664907698</v>
      </c>
      <c r="O870" s="23">
        <v>0.115773519513788</v>
      </c>
      <c r="P870" s="21"/>
      <c r="Q870" s="22">
        <v>1615.55890909091</v>
      </c>
    </row>
    <row r="871" spans="1:17" ht="15" customHeight="1" x14ac:dyDescent="0.2">
      <c r="A871" s="26" t="s">
        <v>266</v>
      </c>
      <c r="B871" s="27" t="s">
        <v>148</v>
      </c>
      <c r="C871" s="27" t="s">
        <v>267</v>
      </c>
      <c r="D871" s="29">
        <v>108</v>
      </c>
      <c r="E871" s="26" t="s">
        <v>557</v>
      </c>
      <c r="F871" s="28" t="s">
        <v>545</v>
      </c>
      <c r="G871" s="28" t="s">
        <v>522</v>
      </c>
      <c r="H871" s="28" t="s">
        <v>558</v>
      </c>
      <c r="I871" s="30"/>
      <c r="J871" s="30"/>
      <c r="K871" s="31">
        <v>251663.7</v>
      </c>
      <c r="L871" s="31">
        <v>311040</v>
      </c>
      <c r="M871" s="31">
        <v>337431</v>
      </c>
      <c r="N871" s="32">
        <v>-0.190896026234568</v>
      </c>
      <c r="O871" s="32">
        <v>-0.254177298469909</v>
      </c>
      <c r="P871" s="30"/>
      <c r="Q871" s="31">
        <v>2330.2194444444399</v>
      </c>
    </row>
    <row r="872" spans="1:17" ht="15" customHeight="1" x14ac:dyDescent="0.2">
      <c r="A872" s="17" t="s">
        <v>270</v>
      </c>
      <c r="B872" s="18" t="s">
        <v>148</v>
      </c>
      <c r="C872" s="18" t="s">
        <v>267</v>
      </c>
      <c r="D872" s="20">
        <v>75</v>
      </c>
      <c r="E872" s="17" t="s">
        <v>557</v>
      </c>
      <c r="F872" s="19" t="s">
        <v>545</v>
      </c>
      <c r="G872" s="19" t="s">
        <v>522</v>
      </c>
      <c r="H872" s="19" t="s">
        <v>558</v>
      </c>
      <c r="I872" s="21"/>
      <c r="J872" s="21"/>
      <c r="K872" s="22">
        <v>148333.68</v>
      </c>
      <c r="L872" s="22">
        <v>162699</v>
      </c>
      <c r="M872" s="22">
        <v>168539</v>
      </c>
      <c r="N872" s="23">
        <v>-8.8293843231980598E-2</v>
      </c>
      <c r="O872" s="23">
        <v>-0.119885130444586</v>
      </c>
      <c r="P872" s="21"/>
      <c r="Q872" s="22">
        <v>1977.7824000000001</v>
      </c>
    </row>
    <row r="873" spans="1:17" ht="15" customHeight="1" x14ac:dyDescent="0.2">
      <c r="A873" s="26" t="s">
        <v>272</v>
      </c>
      <c r="B873" s="27" t="s">
        <v>148</v>
      </c>
      <c r="C873" s="27" t="s">
        <v>267</v>
      </c>
      <c r="D873" s="29">
        <v>89</v>
      </c>
      <c r="E873" s="26" t="s">
        <v>557</v>
      </c>
      <c r="F873" s="28" t="s">
        <v>545</v>
      </c>
      <c r="G873" s="28" t="s">
        <v>522</v>
      </c>
      <c r="H873" s="28" t="s">
        <v>558</v>
      </c>
      <c r="I873" s="30"/>
      <c r="J873" s="30"/>
      <c r="K873" s="31">
        <v>200687.65</v>
      </c>
      <c r="L873" s="31">
        <v>328175</v>
      </c>
      <c r="M873" s="31">
        <v>321400</v>
      </c>
      <c r="N873" s="32">
        <v>-0.388473680201112</v>
      </c>
      <c r="O873" s="32">
        <v>-0.37558291848164299</v>
      </c>
      <c r="P873" s="30"/>
      <c r="Q873" s="31">
        <v>2254.9174157303401</v>
      </c>
    </row>
    <row r="874" spans="1:17" ht="15" customHeight="1" x14ac:dyDescent="0.2">
      <c r="A874" s="17" t="s">
        <v>275</v>
      </c>
      <c r="B874" s="18" t="s">
        <v>148</v>
      </c>
      <c r="C874" s="18" t="s">
        <v>267</v>
      </c>
      <c r="D874" s="20">
        <v>78</v>
      </c>
      <c r="E874" s="17" t="s">
        <v>557</v>
      </c>
      <c r="F874" s="19" t="s">
        <v>545</v>
      </c>
      <c r="G874" s="19" t="s">
        <v>522</v>
      </c>
      <c r="H874" s="19" t="s">
        <v>558</v>
      </c>
      <c r="I874" s="21"/>
      <c r="J874" s="21"/>
      <c r="K874" s="22">
        <v>133693.07999999999</v>
      </c>
      <c r="L874" s="22">
        <v>147457</v>
      </c>
      <c r="M874" s="22">
        <v>163316</v>
      </c>
      <c r="N874" s="23">
        <v>-9.3341923408180094E-2</v>
      </c>
      <c r="O874" s="23">
        <v>-0.18138406524774101</v>
      </c>
      <c r="P874" s="21"/>
      <c r="Q874" s="22">
        <v>1714.01384615385</v>
      </c>
    </row>
    <row r="875" spans="1:17" ht="15" customHeight="1" x14ac:dyDescent="0.2">
      <c r="A875" s="26" t="s">
        <v>277</v>
      </c>
      <c r="B875" s="27" t="s">
        <v>148</v>
      </c>
      <c r="C875" s="27" t="s">
        <v>267</v>
      </c>
      <c r="D875" s="29">
        <v>158</v>
      </c>
      <c r="E875" s="26" t="s">
        <v>557</v>
      </c>
      <c r="F875" s="28" t="s">
        <v>545</v>
      </c>
      <c r="G875" s="28" t="s">
        <v>522</v>
      </c>
      <c r="H875" s="28" t="s">
        <v>558</v>
      </c>
      <c r="I875" s="30"/>
      <c r="J875" s="30"/>
      <c r="K875" s="31">
        <v>293213.40999999997</v>
      </c>
      <c r="L875" s="31">
        <v>274850</v>
      </c>
      <c r="M875" s="31">
        <v>325525</v>
      </c>
      <c r="N875" s="32">
        <v>6.68124795342913E-2</v>
      </c>
      <c r="O875" s="32">
        <v>-9.9259933952845505E-2</v>
      </c>
      <c r="P875" s="30"/>
      <c r="Q875" s="31">
        <v>1855.78107594937</v>
      </c>
    </row>
    <row r="876" spans="1:17" ht="15" customHeight="1" x14ac:dyDescent="0.2">
      <c r="A876" s="17" t="s">
        <v>280</v>
      </c>
      <c r="B876" s="18" t="s">
        <v>148</v>
      </c>
      <c r="C876" s="18" t="s">
        <v>267</v>
      </c>
      <c r="D876" s="20">
        <v>110</v>
      </c>
      <c r="E876" s="17" t="s">
        <v>557</v>
      </c>
      <c r="F876" s="19" t="s">
        <v>545</v>
      </c>
      <c r="G876" s="19" t="s">
        <v>522</v>
      </c>
      <c r="H876" s="19" t="s">
        <v>558</v>
      </c>
      <c r="I876" s="21"/>
      <c r="J876" s="21"/>
      <c r="K876" s="22">
        <v>199016.45</v>
      </c>
      <c r="L876" s="22">
        <v>226119</v>
      </c>
      <c r="M876" s="22">
        <v>255231</v>
      </c>
      <c r="N876" s="23">
        <v>-0.11985967565750801</v>
      </c>
      <c r="O876" s="23">
        <v>-0.220249695373995</v>
      </c>
      <c r="P876" s="21"/>
      <c r="Q876" s="22">
        <v>1809.2404545454599</v>
      </c>
    </row>
    <row r="877" spans="1:17" ht="15" customHeight="1" x14ac:dyDescent="0.2">
      <c r="A877" s="26" t="s">
        <v>282</v>
      </c>
      <c r="B877" s="27" t="s">
        <v>148</v>
      </c>
      <c r="C877" s="27" t="s">
        <v>267</v>
      </c>
      <c r="D877" s="29">
        <v>70</v>
      </c>
      <c r="E877" s="26" t="s">
        <v>557</v>
      </c>
      <c r="F877" s="28" t="s">
        <v>545</v>
      </c>
      <c r="G877" s="28" t="s">
        <v>522</v>
      </c>
      <c r="H877" s="28" t="s">
        <v>558</v>
      </c>
      <c r="I877" s="30"/>
      <c r="J877" s="30"/>
      <c r="K877" s="31">
        <v>77180.429999999993</v>
      </c>
      <c r="L877" s="31">
        <v>89920</v>
      </c>
      <c r="M877" s="31">
        <v>105538</v>
      </c>
      <c r="N877" s="32">
        <v>-0.141676712633452</v>
      </c>
      <c r="O877" s="32">
        <v>-0.26869535143739698</v>
      </c>
      <c r="P877" s="30"/>
      <c r="Q877" s="31">
        <v>1102.5775714285701</v>
      </c>
    </row>
    <row r="878" spans="1:17" ht="15" customHeight="1" x14ac:dyDescent="0.2">
      <c r="A878" s="17" t="s">
        <v>284</v>
      </c>
      <c r="B878" s="18" t="s">
        <v>148</v>
      </c>
      <c r="C878" s="18" t="s">
        <v>267</v>
      </c>
      <c r="D878" s="20">
        <v>72</v>
      </c>
      <c r="E878" s="17" t="s">
        <v>557</v>
      </c>
      <c r="F878" s="19" t="s">
        <v>545</v>
      </c>
      <c r="G878" s="19" t="s">
        <v>522</v>
      </c>
      <c r="H878" s="19" t="s">
        <v>558</v>
      </c>
      <c r="I878" s="21"/>
      <c r="J878" s="21"/>
      <c r="K878" s="22">
        <v>64020.72</v>
      </c>
      <c r="L878" s="22">
        <v>81287</v>
      </c>
      <c r="M878" s="22">
        <v>86964</v>
      </c>
      <c r="N878" s="23">
        <v>-0.212411332685423</v>
      </c>
      <c r="O878" s="23">
        <v>-0.26382503104733002</v>
      </c>
      <c r="P878" s="21"/>
      <c r="Q878" s="22">
        <v>889.17666666666696</v>
      </c>
    </row>
    <row r="879" spans="1:17" ht="15" customHeight="1" x14ac:dyDescent="0.2">
      <c r="A879" s="26" t="s">
        <v>285</v>
      </c>
      <c r="B879" s="27" t="s">
        <v>148</v>
      </c>
      <c r="C879" s="27" t="s">
        <v>267</v>
      </c>
      <c r="D879" s="29">
        <v>296</v>
      </c>
      <c r="E879" s="26" t="s">
        <v>557</v>
      </c>
      <c r="F879" s="28" t="s">
        <v>545</v>
      </c>
      <c r="G879" s="28" t="s">
        <v>522</v>
      </c>
      <c r="H879" s="28" t="s">
        <v>558</v>
      </c>
      <c r="I879" s="30"/>
      <c r="J879" s="30"/>
      <c r="K879" s="31">
        <v>335404.06</v>
      </c>
      <c r="L879" s="31">
        <v>334600</v>
      </c>
      <c r="M879" s="31">
        <v>347595</v>
      </c>
      <c r="N879" s="32">
        <v>2.4030484160191198E-3</v>
      </c>
      <c r="O879" s="32">
        <v>-3.5072253628504503E-2</v>
      </c>
      <c r="P879" s="30"/>
      <c r="Q879" s="31">
        <v>1133.12182432432</v>
      </c>
    </row>
    <row r="880" spans="1:17" ht="15" customHeight="1" x14ac:dyDescent="0.2">
      <c r="A880" s="17" t="s">
        <v>286</v>
      </c>
      <c r="B880" s="18" t="s">
        <v>148</v>
      </c>
      <c r="C880" s="18" t="s">
        <v>267</v>
      </c>
      <c r="D880" s="20">
        <v>50</v>
      </c>
      <c r="E880" s="17" t="s">
        <v>557</v>
      </c>
      <c r="F880" s="19" t="s">
        <v>545</v>
      </c>
      <c r="G880" s="19" t="s">
        <v>522</v>
      </c>
      <c r="H880" s="19" t="s">
        <v>558</v>
      </c>
      <c r="I880" s="21"/>
      <c r="J880" s="21"/>
      <c r="K880" s="22">
        <v>111207.3</v>
      </c>
      <c r="L880" s="22">
        <v>180170</v>
      </c>
      <c r="M880" s="22">
        <v>182982</v>
      </c>
      <c r="N880" s="23">
        <v>-0.38276461120053301</v>
      </c>
      <c r="O880" s="23">
        <v>-0.39225005738269297</v>
      </c>
      <c r="P880" s="21"/>
      <c r="Q880" s="22">
        <v>2224.1460000000002</v>
      </c>
    </row>
    <row r="881" spans="1:17" ht="15" customHeight="1" x14ac:dyDescent="0.2">
      <c r="A881" s="26" t="s">
        <v>287</v>
      </c>
      <c r="B881" s="27" t="s">
        <v>148</v>
      </c>
      <c r="C881" s="27" t="s">
        <v>267</v>
      </c>
      <c r="D881" s="29">
        <v>163</v>
      </c>
      <c r="E881" s="26" t="s">
        <v>557</v>
      </c>
      <c r="F881" s="28" t="s">
        <v>545</v>
      </c>
      <c r="G881" s="28" t="s">
        <v>522</v>
      </c>
      <c r="H881" s="28" t="s">
        <v>558</v>
      </c>
      <c r="I881" s="30"/>
      <c r="J881" s="30"/>
      <c r="K881" s="31">
        <v>281538.12</v>
      </c>
      <c r="L881" s="31">
        <v>332585</v>
      </c>
      <c r="M881" s="31">
        <v>352190</v>
      </c>
      <c r="N881" s="32">
        <v>-0.153485214306117</v>
      </c>
      <c r="O881" s="32">
        <v>-0.20060728584002999</v>
      </c>
      <c r="P881" s="30"/>
      <c r="Q881" s="31">
        <v>1727.22773006135</v>
      </c>
    </row>
    <row r="882" spans="1:17" ht="15" customHeight="1" x14ac:dyDescent="0.2">
      <c r="A882" s="17" t="s">
        <v>289</v>
      </c>
      <c r="B882" s="18" t="s">
        <v>148</v>
      </c>
      <c r="C882" s="18" t="s">
        <v>267</v>
      </c>
      <c r="D882" s="20">
        <v>107</v>
      </c>
      <c r="E882" s="17" t="s">
        <v>557</v>
      </c>
      <c r="F882" s="19" t="s">
        <v>545</v>
      </c>
      <c r="G882" s="19" t="s">
        <v>522</v>
      </c>
      <c r="H882" s="19" t="s">
        <v>558</v>
      </c>
      <c r="I882" s="21"/>
      <c r="J882" s="21"/>
      <c r="K882" s="22">
        <v>273004.96000000002</v>
      </c>
      <c r="L882" s="22">
        <v>404000</v>
      </c>
      <c r="M882" s="22">
        <v>419844</v>
      </c>
      <c r="N882" s="23">
        <v>-0.32424514851485098</v>
      </c>
      <c r="O882" s="23">
        <v>-0.34974666780994801</v>
      </c>
      <c r="P882" s="21"/>
      <c r="Q882" s="22">
        <v>2551.4482242990698</v>
      </c>
    </row>
    <row r="883" spans="1:17" ht="15" customHeight="1" x14ac:dyDescent="0.2">
      <c r="A883" s="26" t="s">
        <v>292</v>
      </c>
      <c r="B883" s="27" t="s">
        <v>148</v>
      </c>
      <c r="C883" s="27" t="s">
        <v>267</v>
      </c>
      <c r="D883" s="29">
        <v>136</v>
      </c>
      <c r="E883" s="26" t="s">
        <v>557</v>
      </c>
      <c r="F883" s="28" t="s">
        <v>545</v>
      </c>
      <c r="G883" s="28" t="s">
        <v>522</v>
      </c>
      <c r="H883" s="28" t="s">
        <v>558</v>
      </c>
      <c r="I883" s="30"/>
      <c r="J883" s="30"/>
      <c r="K883" s="31">
        <v>287966.65000000002</v>
      </c>
      <c r="L883" s="31">
        <v>371637</v>
      </c>
      <c r="M883" s="31">
        <v>366745</v>
      </c>
      <c r="N883" s="32">
        <v>-0.22513998875246499</v>
      </c>
      <c r="O883" s="32">
        <v>-0.214804155475876</v>
      </c>
      <c r="P883" s="30"/>
      <c r="Q883" s="31">
        <v>2117.4018382352901</v>
      </c>
    </row>
    <row r="884" spans="1:17" ht="15" customHeight="1" x14ac:dyDescent="0.2">
      <c r="A884" s="17" t="s">
        <v>295</v>
      </c>
      <c r="B884" s="18" t="s">
        <v>148</v>
      </c>
      <c r="C884" s="18" t="s">
        <v>267</v>
      </c>
      <c r="D884" s="20">
        <v>68</v>
      </c>
      <c r="E884" s="17" t="s">
        <v>557</v>
      </c>
      <c r="F884" s="19" t="s">
        <v>545</v>
      </c>
      <c r="G884" s="19" t="s">
        <v>522</v>
      </c>
      <c r="H884" s="19" t="s">
        <v>558</v>
      </c>
      <c r="I884" s="21"/>
      <c r="J884" s="21"/>
      <c r="K884" s="22">
        <v>147852.35999999999</v>
      </c>
      <c r="L884" s="22">
        <v>129526</v>
      </c>
      <c r="M884" s="22">
        <v>169700</v>
      </c>
      <c r="N884" s="23">
        <v>0.14148788660191799</v>
      </c>
      <c r="O884" s="23">
        <v>-0.12874272245138499</v>
      </c>
      <c r="P884" s="21"/>
      <c r="Q884" s="22">
        <v>2174.2994117647099</v>
      </c>
    </row>
    <row r="885" spans="1:17" ht="15" customHeight="1" x14ac:dyDescent="0.2">
      <c r="A885" s="26" t="s">
        <v>298</v>
      </c>
      <c r="B885" s="27" t="s">
        <v>148</v>
      </c>
      <c r="C885" s="27" t="s">
        <v>267</v>
      </c>
      <c r="D885" s="29">
        <v>98</v>
      </c>
      <c r="E885" s="26" t="s">
        <v>557</v>
      </c>
      <c r="F885" s="28" t="s">
        <v>545</v>
      </c>
      <c r="G885" s="28" t="s">
        <v>522</v>
      </c>
      <c r="H885" s="28" t="s">
        <v>558</v>
      </c>
      <c r="I885" s="30"/>
      <c r="J885" s="30"/>
      <c r="K885" s="31">
        <v>216460.37</v>
      </c>
      <c r="L885" s="31">
        <v>238986</v>
      </c>
      <c r="M885" s="31">
        <v>255066</v>
      </c>
      <c r="N885" s="32">
        <v>-9.4255019122459094E-2</v>
      </c>
      <c r="O885" s="32">
        <v>-0.151355453098414</v>
      </c>
      <c r="P885" s="30"/>
      <c r="Q885" s="31">
        <v>2208.7792857142899</v>
      </c>
    </row>
    <row r="886" spans="1:17" ht="15" customHeight="1" x14ac:dyDescent="0.2">
      <c r="A886" s="17" t="s">
        <v>300</v>
      </c>
      <c r="B886" s="18" t="s">
        <v>148</v>
      </c>
      <c r="C886" s="18" t="s">
        <v>267</v>
      </c>
      <c r="D886" s="20">
        <v>321</v>
      </c>
      <c r="E886" s="17" t="s">
        <v>557</v>
      </c>
      <c r="F886" s="19" t="s">
        <v>545</v>
      </c>
      <c r="G886" s="19" t="s">
        <v>522</v>
      </c>
      <c r="H886" s="19" t="s">
        <v>558</v>
      </c>
      <c r="I886" s="21"/>
      <c r="J886" s="21"/>
      <c r="K886" s="22">
        <v>650099</v>
      </c>
      <c r="L886" s="22">
        <v>867882</v>
      </c>
      <c r="M886" s="22">
        <v>870472</v>
      </c>
      <c r="N886" s="23">
        <v>-0.25093618717751998</v>
      </c>
      <c r="O886" s="23">
        <v>-0.25316494959056701</v>
      </c>
      <c r="P886" s="21"/>
      <c r="Q886" s="22">
        <v>2025.23052959502</v>
      </c>
    </row>
    <row r="887" spans="1:17" ht="15" customHeight="1" x14ac:dyDescent="0.2">
      <c r="A887" s="26" t="s">
        <v>302</v>
      </c>
      <c r="B887" s="27" t="s">
        <v>148</v>
      </c>
      <c r="C887" s="27" t="s">
        <v>267</v>
      </c>
      <c r="D887" s="29">
        <v>111</v>
      </c>
      <c r="E887" s="26" t="s">
        <v>557</v>
      </c>
      <c r="F887" s="28" t="s">
        <v>545</v>
      </c>
      <c r="G887" s="28" t="s">
        <v>522</v>
      </c>
      <c r="H887" s="28" t="s">
        <v>558</v>
      </c>
      <c r="I887" s="30"/>
      <c r="J887" s="30"/>
      <c r="K887" s="31">
        <v>141842.79</v>
      </c>
      <c r="L887" s="31">
        <v>253455</v>
      </c>
      <c r="M887" s="31">
        <v>260209</v>
      </c>
      <c r="N887" s="32">
        <v>-0.440363023021838</v>
      </c>
      <c r="O887" s="32">
        <v>-0.454888993078641</v>
      </c>
      <c r="P887" s="30"/>
      <c r="Q887" s="31">
        <v>1277.8629729729701</v>
      </c>
    </row>
    <row r="888" spans="1:17" ht="15" customHeight="1" x14ac:dyDescent="0.2">
      <c r="A888" s="17" t="s">
        <v>304</v>
      </c>
      <c r="B888" s="18" t="s">
        <v>148</v>
      </c>
      <c r="C888" s="18" t="s">
        <v>267</v>
      </c>
      <c r="D888" s="20">
        <v>77</v>
      </c>
      <c r="E888" s="17" t="s">
        <v>557</v>
      </c>
      <c r="F888" s="19" t="s">
        <v>545</v>
      </c>
      <c r="G888" s="19" t="s">
        <v>522</v>
      </c>
      <c r="H888" s="19" t="s">
        <v>558</v>
      </c>
      <c r="I888" s="21"/>
      <c r="J888" s="21"/>
      <c r="K888" s="22">
        <v>150779.38</v>
      </c>
      <c r="L888" s="22">
        <v>159654</v>
      </c>
      <c r="M888" s="22">
        <v>169208</v>
      </c>
      <c r="N888" s="23">
        <v>-5.5586580981372202E-2</v>
      </c>
      <c r="O888" s="23">
        <v>-0.10891104439506399</v>
      </c>
      <c r="P888" s="21"/>
      <c r="Q888" s="22">
        <v>1958.17376623377</v>
      </c>
    </row>
    <row r="889" spans="1:17" ht="15" customHeight="1" x14ac:dyDescent="0.2">
      <c r="A889" s="26" t="s">
        <v>306</v>
      </c>
      <c r="B889" s="27" t="s">
        <v>148</v>
      </c>
      <c r="C889" s="27" t="s">
        <v>267</v>
      </c>
      <c r="D889" s="29">
        <v>365</v>
      </c>
      <c r="E889" s="26" t="s">
        <v>557</v>
      </c>
      <c r="F889" s="28" t="s">
        <v>545</v>
      </c>
      <c r="G889" s="28" t="s">
        <v>522</v>
      </c>
      <c r="H889" s="28" t="s">
        <v>558</v>
      </c>
      <c r="I889" s="30"/>
      <c r="J889" s="30"/>
      <c r="K889" s="31">
        <v>682969.44</v>
      </c>
      <c r="L889" s="31">
        <v>828580</v>
      </c>
      <c r="M889" s="31">
        <v>866635</v>
      </c>
      <c r="N889" s="32">
        <v>-0.17573506480967499</v>
      </c>
      <c r="O889" s="32">
        <v>-0.21192954357947699</v>
      </c>
      <c r="P889" s="30"/>
      <c r="Q889" s="31">
        <v>1871.14915068493</v>
      </c>
    </row>
    <row r="890" spans="1:17" ht="15" customHeight="1" x14ac:dyDescent="0.2">
      <c r="A890" s="17" t="s">
        <v>309</v>
      </c>
      <c r="B890" s="18" t="s">
        <v>148</v>
      </c>
      <c r="C890" s="18" t="s">
        <v>267</v>
      </c>
      <c r="D890" s="20">
        <v>270</v>
      </c>
      <c r="E890" s="17" t="s">
        <v>557</v>
      </c>
      <c r="F890" s="19" t="s">
        <v>545</v>
      </c>
      <c r="G890" s="19" t="s">
        <v>522</v>
      </c>
      <c r="H890" s="19" t="s">
        <v>558</v>
      </c>
      <c r="I890" s="21"/>
      <c r="J890" s="21"/>
      <c r="K890" s="22">
        <v>539813.97</v>
      </c>
      <c r="L890" s="22">
        <v>875550</v>
      </c>
      <c r="M890" s="22">
        <v>998490</v>
      </c>
      <c r="N890" s="23">
        <v>-0.38345728970361498</v>
      </c>
      <c r="O890" s="23">
        <v>-0.45936967821410302</v>
      </c>
      <c r="P890" s="21"/>
      <c r="Q890" s="22">
        <v>1999.3109999999999</v>
      </c>
    </row>
    <row r="891" spans="1:17" ht="15" customHeight="1" x14ac:dyDescent="0.2">
      <c r="A891" s="35" t="s">
        <v>312</v>
      </c>
      <c r="B891" s="36" t="s">
        <v>313</v>
      </c>
      <c r="C891" s="36" t="s">
        <v>267</v>
      </c>
      <c r="D891" s="38">
        <v>170</v>
      </c>
      <c r="E891" s="35" t="s">
        <v>557</v>
      </c>
      <c r="F891" s="37" t="s">
        <v>545</v>
      </c>
      <c r="G891" s="37" t="s">
        <v>522</v>
      </c>
      <c r="H891" s="37" t="s">
        <v>558</v>
      </c>
      <c r="I891" s="39"/>
      <c r="J891" s="39"/>
      <c r="K891" s="40">
        <v>912915.01</v>
      </c>
      <c r="L891" s="40">
        <v>1131147</v>
      </c>
      <c r="M891" s="40">
        <v>1114762</v>
      </c>
      <c r="N891" s="41">
        <v>-0.19292982256064001</v>
      </c>
      <c r="O891" s="41">
        <v>-0.18106733993444299</v>
      </c>
      <c r="P891" s="39"/>
      <c r="Q891" s="40">
        <v>5370.0882941176496</v>
      </c>
    </row>
    <row r="892" spans="1:17" ht="15" customHeight="1" x14ac:dyDescent="0.2">
      <c r="A892" s="35" t="s">
        <v>316</v>
      </c>
      <c r="B892" s="36" t="s">
        <v>313</v>
      </c>
      <c r="C892" s="36" t="s">
        <v>267</v>
      </c>
      <c r="D892" s="38">
        <v>234</v>
      </c>
      <c r="E892" s="35" t="s">
        <v>557</v>
      </c>
      <c r="F892" s="37" t="s">
        <v>545</v>
      </c>
      <c r="G892" s="37" t="s">
        <v>522</v>
      </c>
      <c r="H892" s="37" t="s">
        <v>558</v>
      </c>
      <c r="I892" s="39"/>
      <c r="J892" s="39"/>
      <c r="K892" s="40">
        <v>971188.26</v>
      </c>
      <c r="L892" s="40">
        <v>1011650</v>
      </c>
      <c r="M892" s="40">
        <v>1140441</v>
      </c>
      <c r="N892" s="41">
        <v>-3.9995789057480302E-2</v>
      </c>
      <c r="O892" s="41">
        <v>-0.14840990458954001</v>
      </c>
      <c r="P892" s="39"/>
      <c r="Q892" s="40">
        <v>4150.37717948718</v>
      </c>
    </row>
    <row r="893" spans="1:17" ht="15" customHeight="1" x14ac:dyDescent="0.2">
      <c r="A893" s="35" t="s">
        <v>319</v>
      </c>
      <c r="B893" s="36" t="s">
        <v>313</v>
      </c>
      <c r="C893" s="36" t="s">
        <v>267</v>
      </c>
      <c r="D893" s="38">
        <v>24</v>
      </c>
      <c r="E893" s="35" t="s">
        <v>557</v>
      </c>
      <c r="F893" s="37" t="s">
        <v>545</v>
      </c>
      <c r="G893" s="37" t="s">
        <v>522</v>
      </c>
      <c r="H893" s="37" t="s">
        <v>558</v>
      </c>
      <c r="I893" s="39"/>
      <c r="J893" s="39"/>
      <c r="K893" s="40">
        <v>343464.97</v>
      </c>
      <c r="L893" s="40">
        <v>384025</v>
      </c>
      <c r="M893" s="40">
        <v>411659</v>
      </c>
      <c r="N893" s="41">
        <v>-0.10561820193997799</v>
      </c>
      <c r="O893" s="41">
        <v>-0.16565659927269899</v>
      </c>
      <c r="P893" s="39"/>
      <c r="Q893" s="40">
        <v>14311.040416666699</v>
      </c>
    </row>
    <row r="894" spans="1:17" ht="15" customHeight="1" x14ac:dyDescent="0.2">
      <c r="A894" s="35" t="s">
        <v>327</v>
      </c>
      <c r="B894" s="36" t="s">
        <v>313</v>
      </c>
      <c r="C894" s="36" t="s">
        <v>267</v>
      </c>
      <c r="D894" s="38">
        <v>244</v>
      </c>
      <c r="E894" s="35" t="s">
        <v>557</v>
      </c>
      <c r="F894" s="37" t="s">
        <v>545</v>
      </c>
      <c r="G894" s="37" t="s">
        <v>522</v>
      </c>
      <c r="H894" s="37" t="s">
        <v>558</v>
      </c>
      <c r="I894" s="39"/>
      <c r="J894" s="39"/>
      <c r="K894" s="40">
        <v>546778.65</v>
      </c>
      <c r="L894" s="40">
        <v>1068397</v>
      </c>
      <c r="M894" s="40">
        <v>1055804</v>
      </c>
      <c r="N894" s="41">
        <v>-0.48822521029167998</v>
      </c>
      <c r="O894" s="41">
        <v>-0.48212106603119498</v>
      </c>
      <c r="P894" s="39"/>
      <c r="Q894" s="40">
        <v>2240.8961065573799</v>
      </c>
    </row>
    <row r="895" spans="1:17" ht="15" customHeight="1" x14ac:dyDescent="0.2">
      <c r="A895" s="35" t="s">
        <v>329</v>
      </c>
      <c r="B895" s="36" t="s">
        <v>313</v>
      </c>
      <c r="C895" s="36" t="s">
        <v>330</v>
      </c>
      <c r="D895" s="38">
        <v>186</v>
      </c>
      <c r="E895" s="35" t="s">
        <v>557</v>
      </c>
      <c r="F895" s="37" t="s">
        <v>545</v>
      </c>
      <c r="G895" s="37" t="s">
        <v>522</v>
      </c>
      <c r="H895" s="37" t="s">
        <v>558</v>
      </c>
      <c r="I895" s="39"/>
      <c r="J895" s="39"/>
      <c r="K895" s="40">
        <v>43213.45</v>
      </c>
      <c r="L895" s="40">
        <v>835905</v>
      </c>
      <c r="M895" s="40">
        <v>841755</v>
      </c>
      <c r="N895" s="41">
        <v>-0.94830339572080602</v>
      </c>
      <c r="O895" s="41">
        <v>-0.94866267500638601</v>
      </c>
      <c r="P895" s="39"/>
      <c r="Q895" s="40">
        <v>232.33037634408601</v>
      </c>
    </row>
    <row r="896" spans="1:17" ht="15" customHeight="1" x14ac:dyDescent="0.2">
      <c r="A896" s="35" t="s">
        <v>334</v>
      </c>
      <c r="B896" s="36" t="s">
        <v>313</v>
      </c>
      <c r="C896" s="36" t="s">
        <v>330</v>
      </c>
      <c r="D896" s="38">
        <v>20</v>
      </c>
      <c r="E896" s="35" t="s">
        <v>557</v>
      </c>
      <c r="F896" s="37" t="s">
        <v>545</v>
      </c>
      <c r="G896" s="37" t="s">
        <v>522</v>
      </c>
      <c r="H896" s="37" t="s">
        <v>558</v>
      </c>
      <c r="I896" s="39"/>
      <c r="J896" s="39"/>
      <c r="K896" s="40">
        <v>42798.91</v>
      </c>
      <c r="L896" s="40">
        <v>198762</v>
      </c>
      <c r="M896" s="40">
        <v>213937</v>
      </c>
      <c r="N896" s="41">
        <v>-0.78467257322828299</v>
      </c>
      <c r="O896" s="41">
        <v>-0.799946199114693</v>
      </c>
      <c r="P896" s="39"/>
      <c r="Q896" s="40">
        <v>2139.9454999999998</v>
      </c>
    </row>
    <row r="897" spans="1:17" ht="15" customHeight="1" x14ac:dyDescent="0.2">
      <c r="A897" s="26" t="s">
        <v>147</v>
      </c>
      <c r="B897" s="27" t="s">
        <v>148</v>
      </c>
      <c r="C897" s="27" t="s">
        <v>149</v>
      </c>
      <c r="D897" s="29">
        <v>234</v>
      </c>
      <c r="E897" s="26" t="s">
        <v>559</v>
      </c>
      <c r="F897" s="28" t="s">
        <v>545</v>
      </c>
      <c r="G897" s="28" t="s">
        <v>525</v>
      </c>
      <c r="H897" s="28" t="s">
        <v>560</v>
      </c>
      <c r="I897" s="30"/>
      <c r="J897" s="30"/>
      <c r="K897" s="31">
        <v>10163.67</v>
      </c>
      <c r="L897" s="31">
        <v>7500</v>
      </c>
      <c r="M897" s="31">
        <v>7500</v>
      </c>
      <c r="N897" s="32">
        <v>0.35515600000000003</v>
      </c>
      <c r="O897" s="32">
        <v>0.35515600000000003</v>
      </c>
      <c r="P897" s="30"/>
      <c r="Q897" s="31">
        <v>43.434487179487199</v>
      </c>
    </row>
    <row r="898" spans="1:17" ht="15" customHeight="1" x14ac:dyDescent="0.2">
      <c r="A898" s="17" t="s">
        <v>152</v>
      </c>
      <c r="B898" s="18" t="s">
        <v>148</v>
      </c>
      <c r="C898" s="18" t="s">
        <v>149</v>
      </c>
      <c r="D898" s="20">
        <v>258</v>
      </c>
      <c r="E898" s="17" t="s">
        <v>559</v>
      </c>
      <c r="F898" s="19" t="s">
        <v>545</v>
      </c>
      <c r="G898" s="19" t="s">
        <v>525</v>
      </c>
      <c r="H898" s="19" t="s">
        <v>560</v>
      </c>
      <c r="I898" s="21"/>
      <c r="J898" s="21"/>
      <c r="K898" s="22">
        <v>11391.29</v>
      </c>
      <c r="L898" s="22">
        <v>18000</v>
      </c>
      <c r="M898" s="22">
        <v>18300</v>
      </c>
      <c r="N898" s="23">
        <v>-0.36715055555555598</v>
      </c>
      <c r="O898" s="23">
        <v>-0.37752513661202203</v>
      </c>
      <c r="P898" s="21"/>
      <c r="Q898" s="22">
        <v>44.152286821705403</v>
      </c>
    </row>
    <row r="899" spans="1:17" ht="15" customHeight="1" x14ac:dyDescent="0.2">
      <c r="A899" s="26" t="s">
        <v>157</v>
      </c>
      <c r="B899" s="27" t="s">
        <v>148</v>
      </c>
      <c r="C899" s="27" t="s">
        <v>149</v>
      </c>
      <c r="D899" s="29">
        <v>149</v>
      </c>
      <c r="E899" s="26" t="s">
        <v>559</v>
      </c>
      <c r="F899" s="28" t="s">
        <v>545</v>
      </c>
      <c r="G899" s="28" t="s">
        <v>525</v>
      </c>
      <c r="H899" s="28" t="s">
        <v>560</v>
      </c>
      <c r="I899" s="30"/>
      <c r="J899" s="30"/>
      <c r="K899" s="31">
        <v>1080.05</v>
      </c>
      <c r="L899" s="31">
        <v>3600</v>
      </c>
      <c r="M899" s="31">
        <v>3600</v>
      </c>
      <c r="N899" s="32">
        <v>-0.69998611111111098</v>
      </c>
      <c r="O899" s="32">
        <v>-0.69998611111111098</v>
      </c>
      <c r="P899" s="30"/>
      <c r="Q899" s="31">
        <v>7.2486577181208096</v>
      </c>
    </row>
    <row r="900" spans="1:17" ht="15" customHeight="1" x14ac:dyDescent="0.2">
      <c r="A900" s="17" t="s">
        <v>161</v>
      </c>
      <c r="B900" s="18" t="s">
        <v>148</v>
      </c>
      <c r="C900" s="18" t="s">
        <v>149</v>
      </c>
      <c r="D900" s="20">
        <v>162</v>
      </c>
      <c r="E900" s="17" t="s">
        <v>559</v>
      </c>
      <c r="F900" s="19" t="s">
        <v>545</v>
      </c>
      <c r="G900" s="19" t="s">
        <v>525</v>
      </c>
      <c r="H900" s="19" t="s">
        <v>560</v>
      </c>
      <c r="I900" s="21"/>
      <c r="J900" s="21"/>
      <c r="K900" s="22">
        <v>996.32</v>
      </c>
      <c r="L900" s="22">
        <v>3000</v>
      </c>
      <c r="M900" s="22">
        <v>3000</v>
      </c>
      <c r="N900" s="23">
        <v>-0.66789333333333301</v>
      </c>
      <c r="O900" s="23">
        <v>-0.66789333333333301</v>
      </c>
      <c r="P900" s="21"/>
      <c r="Q900" s="22">
        <v>6.1501234567901202</v>
      </c>
    </row>
    <row r="901" spans="1:17" ht="15" customHeight="1" x14ac:dyDescent="0.2">
      <c r="A901" s="26" t="s">
        <v>165</v>
      </c>
      <c r="B901" s="27" t="s">
        <v>148</v>
      </c>
      <c r="C901" s="27" t="s">
        <v>149</v>
      </c>
      <c r="D901" s="29">
        <v>197</v>
      </c>
      <c r="E901" s="26" t="s">
        <v>559</v>
      </c>
      <c r="F901" s="28" t="s">
        <v>545</v>
      </c>
      <c r="G901" s="28" t="s">
        <v>525</v>
      </c>
      <c r="H901" s="28" t="s">
        <v>560</v>
      </c>
      <c r="I901" s="30"/>
      <c r="J901" s="30"/>
      <c r="K901" s="31">
        <v>6984.66</v>
      </c>
      <c r="L901" s="31">
        <v>3350</v>
      </c>
      <c r="M901" s="31">
        <v>6250</v>
      </c>
      <c r="N901" s="32">
        <v>1.08497313432836</v>
      </c>
      <c r="O901" s="32">
        <v>0.1175456</v>
      </c>
      <c r="P901" s="30"/>
      <c r="Q901" s="31">
        <v>35.4551269035533</v>
      </c>
    </row>
    <row r="902" spans="1:17" ht="15" customHeight="1" x14ac:dyDescent="0.2">
      <c r="A902" s="17" t="s">
        <v>167</v>
      </c>
      <c r="B902" s="18" t="s">
        <v>148</v>
      </c>
      <c r="C902" s="18" t="s">
        <v>149</v>
      </c>
      <c r="D902" s="20">
        <v>119</v>
      </c>
      <c r="E902" s="17" t="s">
        <v>559</v>
      </c>
      <c r="F902" s="19" t="s">
        <v>545</v>
      </c>
      <c r="G902" s="19" t="s">
        <v>525</v>
      </c>
      <c r="H902" s="19" t="s">
        <v>560</v>
      </c>
      <c r="I902" s="21"/>
      <c r="J902" s="21"/>
      <c r="K902" s="22">
        <v>2769</v>
      </c>
      <c r="L902" s="22">
        <v>3600</v>
      </c>
      <c r="M902" s="22">
        <v>3600</v>
      </c>
      <c r="N902" s="23">
        <v>-0.230833333333333</v>
      </c>
      <c r="O902" s="23">
        <v>-0.230833333333333</v>
      </c>
      <c r="P902" s="21"/>
      <c r="Q902" s="22">
        <v>23.268907563025198</v>
      </c>
    </row>
    <row r="903" spans="1:17" ht="15" customHeight="1" x14ac:dyDescent="0.2">
      <c r="A903" s="26" t="s">
        <v>169</v>
      </c>
      <c r="B903" s="27" t="s">
        <v>148</v>
      </c>
      <c r="C903" s="27" t="s">
        <v>149</v>
      </c>
      <c r="D903" s="29">
        <v>211</v>
      </c>
      <c r="E903" s="26" t="s">
        <v>559</v>
      </c>
      <c r="F903" s="28" t="s">
        <v>545</v>
      </c>
      <c r="G903" s="28" t="s">
        <v>525</v>
      </c>
      <c r="H903" s="28" t="s">
        <v>560</v>
      </c>
      <c r="I903" s="30"/>
      <c r="J903" s="30"/>
      <c r="K903" s="31">
        <v>3578.52</v>
      </c>
      <c r="L903" s="31">
        <v>10800</v>
      </c>
      <c r="M903" s="31">
        <v>10800</v>
      </c>
      <c r="N903" s="32">
        <v>-0.668655555555556</v>
      </c>
      <c r="O903" s="32">
        <v>-0.668655555555556</v>
      </c>
      <c r="P903" s="30"/>
      <c r="Q903" s="31">
        <v>16.959810426540301</v>
      </c>
    </row>
    <row r="904" spans="1:17" ht="15" customHeight="1" x14ac:dyDescent="0.2">
      <c r="A904" s="17" t="s">
        <v>171</v>
      </c>
      <c r="B904" s="18" t="s">
        <v>148</v>
      </c>
      <c r="C904" s="18" t="s">
        <v>149</v>
      </c>
      <c r="D904" s="20">
        <v>211</v>
      </c>
      <c r="E904" s="17" t="s">
        <v>559</v>
      </c>
      <c r="F904" s="19" t="s">
        <v>545</v>
      </c>
      <c r="G904" s="19" t="s">
        <v>525</v>
      </c>
      <c r="H904" s="19" t="s">
        <v>560</v>
      </c>
      <c r="I904" s="21"/>
      <c r="J904" s="21"/>
      <c r="K904" s="22">
        <v>4568.01</v>
      </c>
      <c r="L904" s="22">
        <v>10300</v>
      </c>
      <c r="M904" s="22">
        <v>10532</v>
      </c>
      <c r="N904" s="23">
        <v>-0.55650388349514601</v>
      </c>
      <c r="O904" s="23">
        <v>-0.56627326243828302</v>
      </c>
      <c r="P904" s="21"/>
      <c r="Q904" s="22">
        <v>21.649336492890999</v>
      </c>
    </row>
    <row r="905" spans="1:17" ht="15" customHeight="1" x14ac:dyDescent="0.2">
      <c r="A905" s="26" t="s">
        <v>173</v>
      </c>
      <c r="B905" s="27" t="s">
        <v>148</v>
      </c>
      <c r="C905" s="27" t="s">
        <v>149</v>
      </c>
      <c r="D905" s="29">
        <v>256</v>
      </c>
      <c r="E905" s="26" t="s">
        <v>559</v>
      </c>
      <c r="F905" s="28" t="s">
        <v>545</v>
      </c>
      <c r="G905" s="28" t="s">
        <v>525</v>
      </c>
      <c r="H905" s="28" t="s">
        <v>560</v>
      </c>
      <c r="I905" s="30"/>
      <c r="J905" s="30"/>
      <c r="K905" s="31">
        <v>8263.1200000000008</v>
      </c>
      <c r="L905" s="31">
        <v>12600</v>
      </c>
      <c r="M905" s="31">
        <v>12800</v>
      </c>
      <c r="N905" s="32">
        <v>-0.344196825396825</v>
      </c>
      <c r="O905" s="32">
        <v>-0.35444375</v>
      </c>
      <c r="P905" s="30"/>
      <c r="Q905" s="31">
        <v>32.277812500000003</v>
      </c>
    </row>
    <row r="906" spans="1:17" ht="15" customHeight="1" x14ac:dyDescent="0.2">
      <c r="A906" s="17" t="s">
        <v>175</v>
      </c>
      <c r="B906" s="18" t="s">
        <v>148</v>
      </c>
      <c r="C906" s="18" t="s">
        <v>149</v>
      </c>
      <c r="D906" s="20">
        <v>136</v>
      </c>
      <c r="E906" s="17" t="s">
        <v>559</v>
      </c>
      <c r="F906" s="19" t="s">
        <v>545</v>
      </c>
      <c r="G906" s="19" t="s">
        <v>525</v>
      </c>
      <c r="H906" s="19" t="s">
        <v>560</v>
      </c>
      <c r="I906" s="21"/>
      <c r="J906" s="21"/>
      <c r="K906" s="22">
        <v>3604.09</v>
      </c>
      <c r="L906" s="22">
        <v>5500</v>
      </c>
      <c r="M906" s="22">
        <v>7369</v>
      </c>
      <c r="N906" s="23">
        <v>-0.34471090909090901</v>
      </c>
      <c r="O906" s="23">
        <v>-0.51091192834848698</v>
      </c>
      <c r="P906" s="21"/>
      <c r="Q906" s="22">
        <v>26.5006617647059</v>
      </c>
    </row>
    <row r="907" spans="1:17" ht="15" customHeight="1" x14ac:dyDescent="0.2">
      <c r="A907" s="26" t="s">
        <v>179</v>
      </c>
      <c r="B907" s="27" t="s">
        <v>148</v>
      </c>
      <c r="C907" s="27" t="s">
        <v>180</v>
      </c>
      <c r="D907" s="29">
        <v>209</v>
      </c>
      <c r="E907" s="26" t="s">
        <v>559</v>
      </c>
      <c r="F907" s="28" t="s">
        <v>545</v>
      </c>
      <c r="G907" s="28" t="s">
        <v>525</v>
      </c>
      <c r="H907" s="28" t="s">
        <v>560</v>
      </c>
      <c r="I907" s="30"/>
      <c r="J907" s="30"/>
      <c r="K907" s="31">
        <v>4873.37</v>
      </c>
      <c r="L907" s="31">
        <v>5500</v>
      </c>
      <c r="M907" s="31">
        <v>8897</v>
      </c>
      <c r="N907" s="32">
        <v>-0.11393272727272701</v>
      </c>
      <c r="O907" s="32">
        <v>-0.45224570079802201</v>
      </c>
      <c r="P907" s="30"/>
      <c r="Q907" s="31">
        <v>23.317559808612401</v>
      </c>
    </row>
    <row r="908" spans="1:17" ht="15" customHeight="1" x14ac:dyDescent="0.2">
      <c r="A908" s="17" t="s">
        <v>185</v>
      </c>
      <c r="B908" s="18" t="s">
        <v>148</v>
      </c>
      <c r="C908" s="18" t="s">
        <v>180</v>
      </c>
      <c r="D908" s="20">
        <v>117</v>
      </c>
      <c r="E908" s="17" t="s">
        <v>559</v>
      </c>
      <c r="F908" s="19" t="s">
        <v>545</v>
      </c>
      <c r="G908" s="19" t="s">
        <v>525</v>
      </c>
      <c r="H908" s="19" t="s">
        <v>560</v>
      </c>
      <c r="I908" s="21"/>
      <c r="J908" s="21"/>
      <c r="K908" s="22">
        <v>4159.9399999999996</v>
      </c>
      <c r="L908" s="22">
        <v>7200</v>
      </c>
      <c r="M908" s="22">
        <v>7200</v>
      </c>
      <c r="N908" s="23">
        <v>-0.422230555555556</v>
      </c>
      <c r="O908" s="23">
        <v>-0.422230555555556</v>
      </c>
      <c r="P908" s="21"/>
      <c r="Q908" s="22">
        <v>35.555042735042697</v>
      </c>
    </row>
    <row r="909" spans="1:17" ht="15" customHeight="1" x14ac:dyDescent="0.2">
      <c r="A909" s="26" t="s">
        <v>190</v>
      </c>
      <c r="B909" s="27" t="s">
        <v>148</v>
      </c>
      <c r="C909" s="27" t="s">
        <v>180</v>
      </c>
      <c r="D909" s="29">
        <v>75</v>
      </c>
      <c r="E909" s="26" t="s">
        <v>559</v>
      </c>
      <c r="F909" s="28" t="s">
        <v>545</v>
      </c>
      <c r="G909" s="28" t="s">
        <v>525</v>
      </c>
      <c r="H909" s="28" t="s">
        <v>560</v>
      </c>
      <c r="I909" s="30"/>
      <c r="J909" s="30"/>
      <c r="K909" s="31">
        <v>1507.91</v>
      </c>
      <c r="L909" s="31">
        <v>5500</v>
      </c>
      <c r="M909" s="31">
        <v>6088</v>
      </c>
      <c r="N909" s="32">
        <v>-0.72583454545454595</v>
      </c>
      <c r="O909" s="32">
        <v>-0.75231438896189196</v>
      </c>
      <c r="P909" s="30"/>
      <c r="Q909" s="31">
        <v>20.1054666666667</v>
      </c>
    </row>
    <row r="910" spans="1:17" ht="15" customHeight="1" x14ac:dyDescent="0.2">
      <c r="A910" s="17" t="s">
        <v>195</v>
      </c>
      <c r="B910" s="18" t="s">
        <v>148</v>
      </c>
      <c r="C910" s="18" t="s">
        <v>180</v>
      </c>
      <c r="D910" s="20">
        <v>49</v>
      </c>
      <c r="E910" s="17" t="s">
        <v>559</v>
      </c>
      <c r="F910" s="19" t="s">
        <v>545</v>
      </c>
      <c r="G910" s="19" t="s">
        <v>525</v>
      </c>
      <c r="H910" s="19" t="s">
        <v>560</v>
      </c>
      <c r="I910" s="21"/>
      <c r="J910" s="21"/>
      <c r="K910" s="22">
        <v>625.77</v>
      </c>
      <c r="L910" s="22">
        <v>3600</v>
      </c>
      <c r="M910" s="22">
        <v>3600</v>
      </c>
      <c r="N910" s="23">
        <v>-0.82617499999999999</v>
      </c>
      <c r="O910" s="23">
        <v>-0.82617499999999999</v>
      </c>
      <c r="P910" s="21"/>
      <c r="Q910" s="22">
        <v>12.7708163265306</v>
      </c>
    </row>
    <row r="911" spans="1:17" ht="15" customHeight="1" x14ac:dyDescent="0.2">
      <c r="A911" s="26" t="s">
        <v>201</v>
      </c>
      <c r="B911" s="27" t="s">
        <v>148</v>
      </c>
      <c r="C911" s="27" t="s">
        <v>180</v>
      </c>
      <c r="D911" s="29">
        <v>170</v>
      </c>
      <c r="E911" s="26" t="s">
        <v>559</v>
      </c>
      <c r="F911" s="28" t="s">
        <v>545</v>
      </c>
      <c r="G911" s="28" t="s">
        <v>525</v>
      </c>
      <c r="H911" s="28" t="s">
        <v>560</v>
      </c>
      <c r="I911" s="30"/>
      <c r="J911" s="30"/>
      <c r="K911" s="31">
        <v>1363.51</v>
      </c>
      <c r="L911" s="31">
        <v>7800</v>
      </c>
      <c r="M911" s="31">
        <v>7800</v>
      </c>
      <c r="N911" s="32">
        <v>-0.82519102564102598</v>
      </c>
      <c r="O911" s="32">
        <v>-0.82519102564102598</v>
      </c>
      <c r="P911" s="30"/>
      <c r="Q911" s="31">
        <v>8.0206470588235295</v>
      </c>
    </row>
    <row r="912" spans="1:17" ht="15" customHeight="1" x14ac:dyDescent="0.2">
      <c r="A912" s="17" t="s">
        <v>205</v>
      </c>
      <c r="B912" s="18" t="s">
        <v>148</v>
      </c>
      <c r="C912" s="18" t="s">
        <v>180</v>
      </c>
      <c r="D912" s="20">
        <v>296</v>
      </c>
      <c r="E912" s="17" t="s">
        <v>559</v>
      </c>
      <c r="F912" s="19" t="s">
        <v>545</v>
      </c>
      <c r="G912" s="19" t="s">
        <v>525</v>
      </c>
      <c r="H912" s="19" t="s">
        <v>560</v>
      </c>
      <c r="I912" s="21"/>
      <c r="J912" s="21"/>
      <c r="K912" s="22">
        <v>4382.08</v>
      </c>
      <c r="L912" s="22">
        <v>9600</v>
      </c>
      <c r="M912" s="22">
        <v>9600</v>
      </c>
      <c r="N912" s="23">
        <v>-0.54353333333333298</v>
      </c>
      <c r="O912" s="23">
        <v>-0.54353333333333298</v>
      </c>
      <c r="P912" s="21"/>
      <c r="Q912" s="22">
        <v>14.8043243243243</v>
      </c>
    </row>
    <row r="913" spans="1:17" ht="15" customHeight="1" x14ac:dyDescent="0.2">
      <c r="A913" s="26" t="s">
        <v>210</v>
      </c>
      <c r="B913" s="27" t="s">
        <v>148</v>
      </c>
      <c r="C913" s="27" t="s">
        <v>180</v>
      </c>
      <c r="D913" s="29">
        <v>83</v>
      </c>
      <c r="E913" s="26" t="s">
        <v>559</v>
      </c>
      <c r="F913" s="28" t="s">
        <v>545</v>
      </c>
      <c r="G913" s="28" t="s">
        <v>525</v>
      </c>
      <c r="H913" s="28" t="s">
        <v>560</v>
      </c>
      <c r="I913" s="30"/>
      <c r="J913" s="30"/>
      <c r="K913" s="31">
        <v>1057.3</v>
      </c>
      <c r="L913" s="31">
        <v>2400</v>
      </c>
      <c r="M913" s="31">
        <v>2987</v>
      </c>
      <c r="N913" s="32">
        <v>-0.55945833333333295</v>
      </c>
      <c r="O913" s="32">
        <v>-0.64603280883829906</v>
      </c>
      <c r="P913" s="30"/>
      <c r="Q913" s="31">
        <v>12.738554216867501</v>
      </c>
    </row>
    <row r="914" spans="1:17" ht="15" customHeight="1" x14ac:dyDescent="0.2">
      <c r="A914" s="17" t="s">
        <v>214</v>
      </c>
      <c r="B914" s="18" t="s">
        <v>148</v>
      </c>
      <c r="C914" s="18" t="s">
        <v>180</v>
      </c>
      <c r="D914" s="20">
        <v>144</v>
      </c>
      <c r="E914" s="17" t="s">
        <v>559</v>
      </c>
      <c r="F914" s="19" t="s">
        <v>545</v>
      </c>
      <c r="G914" s="19" t="s">
        <v>525</v>
      </c>
      <c r="H914" s="19" t="s">
        <v>560</v>
      </c>
      <c r="I914" s="21"/>
      <c r="J914" s="21"/>
      <c r="K914" s="22">
        <v>3056.66</v>
      </c>
      <c r="L914" s="22">
        <v>9400</v>
      </c>
      <c r="M914" s="22">
        <v>12033</v>
      </c>
      <c r="N914" s="23">
        <v>-0.67482340425531895</v>
      </c>
      <c r="O914" s="23">
        <v>-0.74597689686694901</v>
      </c>
      <c r="P914" s="21"/>
      <c r="Q914" s="22">
        <v>21.2268055555556</v>
      </c>
    </row>
    <row r="915" spans="1:17" ht="15" customHeight="1" x14ac:dyDescent="0.2">
      <c r="A915" s="26" t="s">
        <v>219</v>
      </c>
      <c r="B915" s="27" t="s">
        <v>148</v>
      </c>
      <c r="C915" s="27" t="s">
        <v>180</v>
      </c>
      <c r="D915" s="29">
        <v>398</v>
      </c>
      <c r="E915" s="26" t="s">
        <v>559</v>
      </c>
      <c r="F915" s="28" t="s">
        <v>545</v>
      </c>
      <c r="G915" s="28" t="s">
        <v>525</v>
      </c>
      <c r="H915" s="28" t="s">
        <v>560</v>
      </c>
      <c r="I915" s="30"/>
      <c r="J915" s="30"/>
      <c r="K915" s="31">
        <v>5822.71</v>
      </c>
      <c r="L915" s="31">
        <v>10400</v>
      </c>
      <c r="M915" s="31">
        <v>10930</v>
      </c>
      <c r="N915" s="32">
        <v>-0.44012403846153902</v>
      </c>
      <c r="O915" s="32">
        <v>-0.46727264409881097</v>
      </c>
      <c r="P915" s="30"/>
      <c r="Q915" s="31">
        <v>14.629924623115601</v>
      </c>
    </row>
    <row r="916" spans="1:17" ht="15" customHeight="1" x14ac:dyDescent="0.2">
      <c r="A916" s="17" t="s">
        <v>224</v>
      </c>
      <c r="B916" s="18" t="s">
        <v>148</v>
      </c>
      <c r="C916" s="18" t="s">
        <v>180</v>
      </c>
      <c r="D916" s="20">
        <v>71</v>
      </c>
      <c r="E916" s="17" t="s">
        <v>559</v>
      </c>
      <c r="F916" s="19" t="s">
        <v>545</v>
      </c>
      <c r="G916" s="19" t="s">
        <v>525</v>
      </c>
      <c r="H916" s="19" t="s">
        <v>560</v>
      </c>
      <c r="I916" s="21"/>
      <c r="J916" s="21"/>
      <c r="K916" s="22">
        <v>1008.16</v>
      </c>
      <c r="L916" s="22">
        <v>3500</v>
      </c>
      <c r="M916" s="22">
        <v>3500</v>
      </c>
      <c r="N916" s="23">
        <v>-0.71195428571428598</v>
      </c>
      <c r="O916" s="23">
        <v>-0.71195428571428598</v>
      </c>
      <c r="P916" s="21"/>
      <c r="Q916" s="22">
        <v>14.1994366197183</v>
      </c>
    </row>
    <row r="917" spans="1:17" ht="15" customHeight="1" x14ac:dyDescent="0.2">
      <c r="A917" s="26" t="s">
        <v>230</v>
      </c>
      <c r="B917" s="27" t="s">
        <v>148</v>
      </c>
      <c r="C917" s="27" t="s">
        <v>180</v>
      </c>
      <c r="D917" s="29">
        <v>139</v>
      </c>
      <c r="E917" s="26" t="s">
        <v>559</v>
      </c>
      <c r="F917" s="28" t="s">
        <v>545</v>
      </c>
      <c r="G917" s="28" t="s">
        <v>525</v>
      </c>
      <c r="H917" s="28" t="s">
        <v>560</v>
      </c>
      <c r="I917" s="30"/>
      <c r="J917" s="30"/>
      <c r="K917" s="31">
        <v>2339.62</v>
      </c>
      <c r="L917" s="31">
        <v>11600</v>
      </c>
      <c r="M917" s="31">
        <v>11600</v>
      </c>
      <c r="N917" s="32">
        <v>-0.79830862068965502</v>
      </c>
      <c r="O917" s="32">
        <v>-0.79830862068965502</v>
      </c>
      <c r="P917" s="30"/>
      <c r="Q917" s="31">
        <v>16.8317985611511</v>
      </c>
    </row>
    <row r="918" spans="1:17" ht="15" customHeight="1" x14ac:dyDescent="0.2">
      <c r="A918" s="17" t="s">
        <v>236</v>
      </c>
      <c r="B918" s="18" t="s">
        <v>148</v>
      </c>
      <c r="C918" s="18" t="s">
        <v>180</v>
      </c>
      <c r="D918" s="20">
        <v>128</v>
      </c>
      <c r="E918" s="17" t="s">
        <v>559</v>
      </c>
      <c r="F918" s="19" t="s">
        <v>545</v>
      </c>
      <c r="G918" s="19" t="s">
        <v>525</v>
      </c>
      <c r="H918" s="19" t="s">
        <v>560</v>
      </c>
      <c r="I918" s="21"/>
      <c r="J918" s="21"/>
      <c r="K918" s="22">
        <v>3977.41</v>
      </c>
      <c r="L918" s="22">
        <v>9450</v>
      </c>
      <c r="M918" s="22">
        <v>10350</v>
      </c>
      <c r="N918" s="23">
        <v>-0.57911005291005302</v>
      </c>
      <c r="O918" s="23">
        <v>-0.61570917874396103</v>
      </c>
      <c r="P918" s="21"/>
      <c r="Q918" s="22">
        <v>31.073515624999999</v>
      </c>
    </row>
    <row r="919" spans="1:17" ht="15" customHeight="1" x14ac:dyDescent="0.2">
      <c r="A919" s="26" t="s">
        <v>249</v>
      </c>
      <c r="B919" s="27" t="s">
        <v>148</v>
      </c>
      <c r="C919" s="27" t="s">
        <v>180</v>
      </c>
      <c r="D919" s="29">
        <v>122</v>
      </c>
      <c r="E919" s="26" t="s">
        <v>559</v>
      </c>
      <c r="F919" s="28" t="s">
        <v>545</v>
      </c>
      <c r="G919" s="28" t="s">
        <v>525</v>
      </c>
      <c r="H919" s="28" t="s">
        <v>560</v>
      </c>
      <c r="I919" s="30"/>
      <c r="J919" s="30"/>
      <c r="K919" s="31">
        <v>4633.76</v>
      </c>
      <c r="L919" s="31">
        <v>5625</v>
      </c>
      <c r="M919" s="31">
        <v>5625</v>
      </c>
      <c r="N919" s="32">
        <v>-0.17622044444444401</v>
      </c>
      <c r="O919" s="32">
        <v>-0.17622044444444401</v>
      </c>
      <c r="P919" s="30"/>
      <c r="Q919" s="31">
        <v>37.981639344262298</v>
      </c>
    </row>
    <row r="920" spans="1:17" ht="15" customHeight="1" x14ac:dyDescent="0.2">
      <c r="A920" s="17" t="s">
        <v>254</v>
      </c>
      <c r="B920" s="18" t="s">
        <v>148</v>
      </c>
      <c r="C920" s="18" t="s">
        <v>180</v>
      </c>
      <c r="D920" s="20">
        <v>80</v>
      </c>
      <c r="E920" s="17" t="s">
        <v>559</v>
      </c>
      <c r="F920" s="19" t="s">
        <v>545</v>
      </c>
      <c r="G920" s="19" t="s">
        <v>525</v>
      </c>
      <c r="H920" s="19" t="s">
        <v>560</v>
      </c>
      <c r="I920" s="21"/>
      <c r="J920" s="21"/>
      <c r="K920" s="22">
        <v>1301.17</v>
      </c>
      <c r="L920" s="22">
        <v>7000</v>
      </c>
      <c r="M920" s="22">
        <v>7250</v>
      </c>
      <c r="N920" s="23">
        <v>-0.81411857142857202</v>
      </c>
      <c r="O920" s="23">
        <v>-0.820528275862069</v>
      </c>
      <c r="P920" s="21"/>
      <c r="Q920" s="22">
        <v>16.264624999999999</v>
      </c>
    </row>
    <row r="921" spans="1:17" ht="15" customHeight="1" x14ac:dyDescent="0.2">
      <c r="A921" s="26" t="s">
        <v>259</v>
      </c>
      <c r="B921" s="27" t="s">
        <v>148</v>
      </c>
      <c r="C921" s="27" t="s">
        <v>180</v>
      </c>
      <c r="D921" s="29"/>
      <c r="E921" s="26" t="s">
        <v>559</v>
      </c>
      <c r="F921" s="28" t="s">
        <v>545</v>
      </c>
      <c r="G921" s="28" t="s">
        <v>525</v>
      </c>
      <c r="H921" s="28" t="s">
        <v>560</v>
      </c>
      <c r="I921" s="30"/>
      <c r="J921" s="30"/>
      <c r="K921" s="31">
        <v>2667.14</v>
      </c>
      <c r="L921" s="31">
        <v>10650</v>
      </c>
      <c r="M921" s="31">
        <v>10650</v>
      </c>
      <c r="N921" s="32">
        <v>-0.74956431924882605</v>
      </c>
      <c r="O921" s="32">
        <v>-0.74956431924882605</v>
      </c>
      <c r="P921" s="30"/>
      <c r="Q921" s="31"/>
    </row>
    <row r="922" spans="1:17" ht="15" customHeight="1" x14ac:dyDescent="0.2">
      <c r="A922" s="17" t="s">
        <v>263</v>
      </c>
      <c r="B922" s="18" t="s">
        <v>148</v>
      </c>
      <c r="C922" s="18" t="s">
        <v>180</v>
      </c>
      <c r="D922" s="20">
        <v>55</v>
      </c>
      <c r="E922" s="17" t="s">
        <v>559</v>
      </c>
      <c r="F922" s="19" t="s">
        <v>545</v>
      </c>
      <c r="G922" s="19" t="s">
        <v>525</v>
      </c>
      <c r="H922" s="19" t="s">
        <v>560</v>
      </c>
      <c r="I922" s="21"/>
      <c r="J922" s="21"/>
      <c r="K922" s="22">
        <v>1504.45</v>
      </c>
      <c r="L922" s="22">
        <v>6750</v>
      </c>
      <c r="M922" s="22">
        <v>6750</v>
      </c>
      <c r="N922" s="23">
        <v>-0.77711851851851899</v>
      </c>
      <c r="O922" s="23">
        <v>-0.77711851851851899</v>
      </c>
      <c r="P922" s="21"/>
      <c r="Q922" s="22">
        <v>27.353636363636401</v>
      </c>
    </row>
    <row r="923" spans="1:17" ht="15" customHeight="1" x14ac:dyDescent="0.2">
      <c r="A923" s="26" t="s">
        <v>266</v>
      </c>
      <c r="B923" s="27" t="s">
        <v>148</v>
      </c>
      <c r="C923" s="27" t="s">
        <v>267</v>
      </c>
      <c r="D923" s="29">
        <v>108</v>
      </c>
      <c r="E923" s="26" t="s">
        <v>559</v>
      </c>
      <c r="F923" s="28" t="s">
        <v>545</v>
      </c>
      <c r="G923" s="28" t="s">
        <v>525</v>
      </c>
      <c r="H923" s="28" t="s">
        <v>560</v>
      </c>
      <c r="I923" s="30"/>
      <c r="J923" s="30"/>
      <c r="K923" s="31">
        <v>4155.07</v>
      </c>
      <c r="L923" s="31">
        <v>5250</v>
      </c>
      <c r="M923" s="31">
        <v>5580</v>
      </c>
      <c r="N923" s="32">
        <v>-0.20855809523809499</v>
      </c>
      <c r="O923" s="32">
        <v>-0.255363799283154</v>
      </c>
      <c r="P923" s="30"/>
      <c r="Q923" s="31">
        <v>38.472870370370401</v>
      </c>
    </row>
    <row r="924" spans="1:17" ht="15" customHeight="1" x14ac:dyDescent="0.2">
      <c r="A924" s="17" t="s">
        <v>270</v>
      </c>
      <c r="B924" s="18" t="s">
        <v>148</v>
      </c>
      <c r="C924" s="18" t="s">
        <v>267</v>
      </c>
      <c r="D924" s="20">
        <v>75</v>
      </c>
      <c r="E924" s="17" t="s">
        <v>559</v>
      </c>
      <c r="F924" s="19" t="s">
        <v>545</v>
      </c>
      <c r="G924" s="19" t="s">
        <v>525</v>
      </c>
      <c r="H924" s="19" t="s">
        <v>560</v>
      </c>
      <c r="I924" s="21"/>
      <c r="J924" s="21"/>
      <c r="K924" s="22">
        <v>665.67</v>
      </c>
      <c r="L924" s="22">
        <v>7150</v>
      </c>
      <c r="M924" s="22">
        <v>7150</v>
      </c>
      <c r="N924" s="23">
        <v>-0.90689930069930103</v>
      </c>
      <c r="O924" s="23">
        <v>-0.90689930069930103</v>
      </c>
      <c r="P924" s="21"/>
      <c r="Q924" s="22">
        <v>8.8756000000000004</v>
      </c>
    </row>
    <row r="925" spans="1:17" ht="15" customHeight="1" x14ac:dyDescent="0.2">
      <c r="A925" s="26" t="s">
        <v>272</v>
      </c>
      <c r="B925" s="27" t="s">
        <v>148</v>
      </c>
      <c r="C925" s="27" t="s">
        <v>267</v>
      </c>
      <c r="D925" s="29">
        <v>89</v>
      </c>
      <c r="E925" s="26" t="s">
        <v>559</v>
      </c>
      <c r="F925" s="28" t="s">
        <v>545</v>
      </c>
      <c r="G925" s="28" t="s">
        <v>525</v>
      </c>
      <c r="H925" s="28" t="s">
        <v>560</v>
      </c>
      <c r="I925" s="30"/>
      <c r="J925" s="30"/>
      <c r="K925" s="31">
        <v>3780.25</v>
      </c>
      <c r="L925" s="31">
        <v>14400</v>
      </c>
      <c r="M925" s="31">
        <v>14400</v>
      </c>
      <c r="N925" s="32">
        <v>-0.73748263888888899</v>
      </c>
      <c r="O925" s="32">
        <v>-0.73748263888888899</v>
      </c>
      <c r="P925" s="30"/>
      <c r="Q925" s="31">
        <v>42.474719101123597</v>
      </c>
    </row>
    <row r="926" spans="1:17" ht="15" customHeight="1" x14ac:dyDescent="0.2">
      <c r="A926" s="17" t="s">
        <v>275</v>
      </c>
      <c r="B926" s="18" t="s">
        <v>148</v>
      </c>
      <c r="C926" s="18" t="s">
        <v>267</v>
      </c>
      <c r="D926" s="20">
        <v>78</v>
      </c>
      <c r="E926" s="17" t="s">
        <v>559</v>
      </c>
      <c r="F926" s="19" t="s">
        <v>545</v>
      </c>
      <c r="G926" s="19" t="s">
        <v>525</v>
      </c>
      <c r="H926" s="19" t="s">
        <v>560</v>
      </c>
      <c r="I926" s="21"/>
      <c r="J926" s="21"/>
      <c r="K926" s="22">
        <v>2098.38</v>
      </c>
      <c r="L926" s="22">
        <v>6800</v>
      </c>
      <c r="M926" s="22">
        <v>6800</v>
      </c>
      <c r="N926" s="23">
        <v>-0.69141470588235299</v>
      </c>
      <c r="O926" s="23">
        <v>-0.69141470588235299</v>
      </c>
      <c r="P926" s="21"/>
      <c r="Q926" s="22">
        <v>26.902307692307701</v>
      </c>
    </row>
    <row r="927" spans="1:17" ht="15" customHeight="1" x14ac:dyDescent="0.2">
      <c r="A927" s="26" t="s">
        <v>277</v>
      </c>
      <c r="B927" s="27" t="s">
        <v>148</v>
      </c>
      <c r="C927" s="27" t="s">
        <v>267</v>
      </c>
      <c r="D927" s="29">
        <v>158</v>
      </c>
      <c r="E927" s="26" t="s">
        <v>559</v>
      </c>
      <c r="F927" s="28" t="s">
        <v>545</v>
      </c>
      <c r="G927" s="28" t="s">
        <v>525</v>
      </c>
      <c r="H927" s="28" t="s">
        <v>560</v>
      </c>
      <c r="I927" s="30"/>
      <c r="J927" s="30"/>
      <c r="K927" s="31">
        <v>63.72</v>
      </c>
      <c r="L927" s="31"/>
      <c r="M927" s="31"/>
      <c r="N927" s="32"/>
      <c r="O927" s="32"/>
      <c r="P927" s="30"/>
      <c r="Q927" s="31">
        <v>0.40329113924050602</v>
      </c>
    </row>
    <row r="928" spans="1:17" ht="15" customHeight="1" x14ac:dyDescent="0.2">
      <c r="A928" s="17" t="s">
        <v>280</v>
      </c>
      <c r="B928" s="18" t="s">
        <v>148</v>
      </c>
      <c r="C928" s="18" t="s">
        <v>267</v>
      </c>
      <c r="D928" s="20">
        <v>110</v>
      </c>
      <c r="E928" s="17" t="s">
        <v>559</v>
      </c>
      <c r="F928" s="19" t="s">
        <v>545</v>
      </c>
      <c r="G928" s="19" t="s">
        <v>525</v>
      </c>
      <c r="H928" s="19" t="s">
        <v>560</v>
      </c>
      <c r="I928" s="21"/>
      <c r="J928" s="21"/>
      <c r="K928" s="22">
        <v>2670.82</v>
      </c>
      <c r="L928" s="22">
        <v>4000</v>
      </c>
      <c r="M928" s="22">
        <v>4000</v>
      </c>
      <c r="N928" s="23">
        <v>-0.33229500000000001</v>
      </c>
      <c r="O928" s="23">
        <v>-0.33229500000000001</v>
      </c>
      <c r="P928" s="21"/>
      <c r="Q928" s="22">
        <v>24.280181818181799</v>
      </c>
    </row>
    <row r="929" spans="1:17" ht="15" customHeight="1" x14ac:dyDescent="0.2">
      <c r="A929" s="26" t="s">
        <v>285</v>
      </c>
      <c r="B929" s="27" t="s">
        <v>148</v>
      </c>
      <c r="C929" s="27" t="s">
        <v>267</v>
      </c>
      <c r="D929" s="29">
        <v>296</v>
      </c>
      <c r="E929" s="26" t="s">
        <v>559</v>
      </c>
      <c r="F929" s="28" t="s">
        <v>545</v>
      </c>
      <c r="G929" s="28" t="s">
        <v>525</v>
      </c>
      <c r="H929" s="28" t="s">
        <v>560</v>
      </c>
      <c r="I929" s="30"/>
      <c r="J929" s="30"/>
      <c r="K929" s="31">
        <v>11428.68</v>
      </c>
      <c r="L929" s="31">
        <v>6000</v>
      </c>
      <c r="M929" s="31">
        <v>7500</v>
      </c>
      <c r="N929" s="32">
        <v>0.90478000000000003</v>
      </c>
      <c r="O929" s="32">
        <v>0.52382399999999996</v>
      </c>
      <c r="P929" s="30"/>
      <c r="Q929" s="31">
        <v>38.610405405405402</v>
      </c>
    </row>
    <row r="930" spans="1:17" ht="15" customHeight="1" x14ac:dyDescent="0.2">
      <c r="A930" s="17" t="s">
        <v>286</v>
      </c>
      <c r="B930" s="18" t="s">
        <v>148</v>
      </c>
      <c r="C930" s="18" t="s">
        <v>267</v>
      </c>
      <c r="D930" s="20">
        <v>50</v>
      </c>
      <c r="E930" s="17" t="s">
        <v>559</v>
      </c>
      <c r="F930" s="19" t="s">
        <v>545</v>
      </c>
      <c r="G930" s="19" t="s">
        <v>525</v>
      </c>
      <c r="H930" s="19" t="s">
        <v>560</v>
      </c>
      <c r="I930" s="21"/>
      <c r="J930" s="21"/>
      <c r="K930" s="22">
        <v>1913.88</v>
      </c>
      <c r="L930" s="22">
        <v>6050</v>
      </c>
      <c r="M930" s="22">
        <v>6150</v>
      </c>
      <c r="N930" s="23">
        <v>-0.683656198347107</v>
      </c>
      <c r="O930" s="23">
        <v>-0.68879999999999997</v>
      </c>
      <c r="P930" s="21"/>
      <c r="Q930" s="22">
        <v>38.2776</v>
      </c>
    </row>
    <row r="931" spans="1:17" ht="15" customHeight="1" x14ac:dyDescent="0.2">
      <c r="A931" s="26" t="s">
        <v>287</v>
      </c>
      <c r="B931" s="27" t="s">
        <v>148</v>
      </c>
      <c r="C931" s="27" t="s">
        <v>267</v>
      </c>
      <c r="D931" s="29">
        <v>163</v>
      </c>
      <c r="E931" s="26" t="s">
        <v>559</v>
      </c>
      <c r="F931" s="28" t="s">
        <v>545</v>
      </c>
      <c r="G931" s="28" t="s">
        <v>525</v>
      </c>
      <c r="H931" s="28" t="s">
        <v>560</v>
      </c>
      <c r="I931" s="30"/>
      <c r="J931" s="30"/>
      <c r="K931" s="31">
        <v>5341.44</v>
      </c>
      <c r="L931" s="31">
        <v>9800</v>
      </c>
      <c r="M931" s="31">
        <v>12214</v>
      </c>
      <c r="N931" s="32">
        <v>-0.45495510204081602</v>
      </c>
      <c r="O931" s="32">
        <v>-0.56267889307352204</v>
      </c>
      <c r="P931" s="30"/>
      <c r="Q931" s="31">
        <v>32.769570552147201</v>
      </c>
    </row>
    <row r="932" spans="1:17" ht="15" customHeight="1" x14ac:dyDescent="0.2">
      <c r="A932" s="17" t="s">
        <v>289</v>
      </c>
      <c r="B932" s="18" t="s">
        <v>148</v>
      </c>
      <c r="C932" s="18" t="s">
        <v>267</v>
      </c>
      <c r="D932" s="20">
        <v>107</v>
      </c>
      <c r="E932" s="17" t="s">
        <v>559</v>
      </c>
      <c r="F932" s="19" t="s">
        <v>545</v>
      </c>
      <c r="G932" s="19" t="s">
        <v>525</v>
      </c>
      <c r="H932" s="19" t="s">
        <v>560</v>
      </c>
      <c r="I932" s="21"/>
      <c r="J932" s="21"/>
      <c r="K932" s="22">
        <v>6559.15</v>
      </c>
      <c r="L932" s="22">
        <v>7500</v>
      </c>
      <c r="M932" s="22">
        <v>8425</v>
      </c>
      <c r="N932" s="23">
        <v>-0.12544666666666701</v>
      </c>
      <c r="O932" s="23">
        <v>-0.22146587537092</v>
      </c>
      <c r="P932" s="21"/>
      <c r="Q932" s="22">
        <v>61.300467289719599</v>
      </c>
    </row>
    <row r="933" spans="1:17" ht="15" customHeight="1" x14ac:dyDescent="0.2">
      <c r="A933" s="26" t="s">
        <v>292</v>
      </c>
      <c r="B933" s="27" t="s">
        <v>148</v>
      </c>
      <c r="C933" s="27" t="s">
        <v>267</v>
      </c>
      <c r="D933" s="29">
        <v>136</v>
      </c>
      <c r="E933" s="26" t="s">
        <v>559</v>
      </c>
      <c r="F933" s="28" t="s">
        <v>545</v>
      </c>
      <c r="G933" s="28" t="s">
        <v>525</v>
      </c>
      <c r="H933" s="28" t="s">
        <v>560</v>
      </c>
      <c r="I933" s="30"/>
      <c r="J933" s="30"/>
      <c r="K933" s="31">
        <v>6882.96</v>
      </c>
      <c r="L933" s="31">
        <v>18450</v>
      </c>
      <c r="M933" s="31">
        <v>18838</v>
      </c>
      <c r="N933" s="32">
        <v>-0.626939837398374</v>
      </c>
      <c r="O933" s="32">
        <v>-0.63462363308206804</v>
      </c>
      <c r="P933" s="30"/>
      <c r="Q933" s="31">
        <v>50.61</v>
      </c>
    </row>
    <row r="934" spans="1:17" ht="15" customHeight="1" x14ac:dyDescent="0.2">
      <c r="A934" s="17" t="s">
        <v>295</v>
      </c>
      <c r="B934" s="18" t="s">
        <v>148</v>
      </c>
      <c r="C934" s="18" t="s">
        <v>267</v>
      </c>
      <c r="D934" s="20">
        <v>68</v>
      </c>
      <c r="E934" s="17" t="s">
        <v>559</v>
      </c>
      <c r="F934" s="19" t="s">
        <v>545</v>
      </c>
      <c r="G934" s="19" t="s">
        <v>525</v>
      </c>
      <c r="H934" s="19" t="s">
        <v>560</v>
      </c>
      <c r="I934" s="21"/>
      <c r="J934" s="21"/>
      <c r="K934" s="22">
        <v>3477.36</v>
      </c>
      <c r="L934" s="22">
        <v>8500</v>
      </c>
      <c r="M934" s="22">
        <v>8500</v>
      </c>
      <c r="N934" s="23">
        <v>-0.59089882352941203</v>
      </c>
      <c r="O934" s="23">
        <v>-0.59089882352941203</v>
      </c>
      <c r="P934" s="21"/>
      <c r="Q934" s="22">
        <v>51.137647058823497</v>
      </c>
    </row>
    <row r="935" spans="1:17" ht="15" customHeight="1" x14ac:dyDescent="0.2">
      <c r="A935" s="26" t="s">
        <v>298</v>
      </c>
      <c r="B935" s="27" t="s">
        <v>148</v>
      </c>
      <c r="C935" s="27" t="s">
        <v>267</v>
      </c>
      <c r="D935" s="29">
        <v>98</v>
      </c>
      <c r="E935" s="26" t="s">
        <v>559</v>
      </c>
      <c r="F935" s="28" t="s">
        <v>545</v>
      </c>
      <c r="G935" s="28" t="s">
        <v>525</v>
      </c>
      <c r="H935" s="28" t="s">
        <v>560</v>
      </c>
      <c r="I935" s="30"/>
      <c r="J935" s="30"/>
      <c r="K935" s="31">
        <v>4654.1499999999996</v>
      </c>
      <c r="L935" s="31">
        <v>6000</v>
      </c>
      <c r="M935" s="31">
        <v>6000</v>
      </c>
      <c r="N935" s="32">
        <v>-0.224308333333333</v>
      </c>
      <c r="O935" s="32">
        <v>-0.224308333333333</v>
      </c>
      <c r="P935" s="30"/>
      <c r="Q935" s="31">
        <v>47.491326530612199</v>
      </c>
    </row>
    <row r="936" spans="1:17" ht="15" customHeight="1" x14ac:dyDescent="0.2">
      <c r="A936" s="17" t="s">
        <v>300</v>
      </c>
      <c r="B936" s="18" t="s">
        <v>148</v>
      </c>
      <c r="C936" s="18" t="s">
        <v>267</v>
      </c>
      <c r="D936" s="20">
        <v>321</v>
      </c>
      <c r="E936" s="17" t="s">
        <v>559</v>
      </c>
      <c r="F936" s="19" t="s">
        <v>545</v>
      </c>
      <c r="G936" s="19" t="s">
        <v>525</v>
      </c>
      <c r="H936" s="19" t="s">
        <v>560</v>
      </c>
      <c r="I936" s="21"/>
      <c r="J936" s="21"/>
      <c r="K936" s="22">
        <v>8134.74</v>
      </c>
      <c r="L936" s="22">
        <v>27000</v>
      </c>
      <c r="M936" s="22">
        <v>28800</v>
      </c>
      <c r="N936" s="23">
        <v>-0.69871333333333296</v>
      </c>
      <c r="O936" s="23">
        <v>-0.71754375000000004</v>
      </c>
      <c r="P936" s="21"/>
      <c r="Q936" s="22">
        <v>25.341869158878499</v>
      </c>
    </row>
    <row r="937" spans="1:17" ht="15" customHeight="1" x14ac:dyDescent="0.2">
      <c r="A937" s="26" t="s">
        <v>302</v>
      </c>
      <c r="B937" s="27" t="s">
        <v>148</v>
      </c>
      <c r="C937" s="27" t="s">
        <v>267</v>
      </c>
      <c r="D937" s="29">
        <v>111</v>
      </c>
      <c r="E937" s="26" t="s">
        <v>559</v>
      </c>
      <c r="F937" s="28" t="s">
        <v>545</v>
      </c>
      <c r="G937" s="28" t="s">
        <v>525</v>
      </c>
      <c r="H937" s="28" t="s">
        <v>560</v>
      </c>
      <c r="I937" s="30"/>
      <c r="J937" s="30"/>
      <c r="K937" s="31">
        <v>1138.79</v>
      </c>
      <c r="L937" s="31">
        <v>10800</v>
      </c>
      <c r="M937" s="31">
        <v>10972</v>
      </c>
      <c r="N937" s="32">
        <v>-0.89455648148148104</v>
      </c>
      <c r="O937" s="32">
        <v>-0.89620944221655097</v>
      </c>
      <c r="P937" s="30"/>
      <c r="Q937" s="31">
        <v>10.2593693693694</v>
      </c>
    </row>
    <row r="938" spans="1:17" ht="15" customHeight="1" x14ac:dyDescent="0.2">
      <c r="A938" s="17" t="s">
        <v>304</v>
      </c>
      <c r="B938" s="18" t="s">
        <v>148</v>
      </c>
      <c r="C938" s="18" t="s">
        <v>267</v>
      </c>
      <c r="D938" s="20">
        <v>77</v>
      </c>
      <c r="E938" s="17" t="s">
        <v>559</v>
      </c>
      <c r="F938" s="19" t="s">
        <v>545</v>
      </c>
      <c r="G938" s="19" t="s">
        <v>525</v>
      </c>
      <c r="H938" s="19" t="s">
        <v>560</v>
      </c>
      <c r="I938" s="21"/>
      <c r="J938" s="21"/>
      <c r="K938" s="22">
        <v>3600.92</v>
      </c>
      <c r="L938" s="22">
        <v>11050</v>
      </c>
      <c r="M938" s="22">
        <v>11250</v>
      </c>
      <c r="N938" s="23">
        <v>-0.67412488687782801</v>
      </c>
      <c r="O938" s="23">
        <v>-0.67991822222222198</v>
      </c>
      <c r="P938" s="21"/>
      <c r="Q938" s="22">
        <v>46.765194805194803</v>
      </c>
    </row>
    <row r="939" spans="1:17" ht="15" customHeight="1" x14ac:dyDescent="0.2">
      <c r="A939" s="26" t="s">
        <v>306</v>
      </c>
      <c r="B939" s="27" t="s">
        <v>148</v>
      </c>
      <c r="C939" s="27" t="s">
        <v>267</v>
      </c>
      <c r="D939" s="29">
        <v>365</v>
      </c>
      <c r="E939" s="26" t="s">
        <v>559</v>
      </c>
      <c r="F939" s="28" t="s">
        <v>545</v>
      </c>
      <c r="G939" s="28" t="s">
        <v>525</v>
      </c>
      <c r="H939" s="28" t="s">
        <v>560</v>
      </c>
      <c r="I939" s="30"/>
      <c r="J939" s="30"/>
      <c r="K939" s="31">
        <v>6691.94</v>
      </c>
      <c r="L939" s="31">
        <v>7650</v>
      </c>
      <c r="M939" s="31">
        <v>7650</v>
      </c>
      <c r="N939" s="32">
        <v>-0.12523660130719</v>
      </c>
      <c r="O939" s="32">
        <v>-0.12523660130719</v>
      </c>
      <c r="P939" s="30"/>
      <c r="Q939" s="31">
        <v>18.334082191780801</v>
      </c>
    </row>
    <row r="940" spans="1:17" ht="15" customHeight="1" x14ac:dyDescent="0.2">
      <c r="A940" s="17" t="s">
        <v>309</v>
      </c>
      <c r="B940" s="18" t="s">
        <v>148</v>
      </c>
      <c r="C940" s="18" t="s">
        <v>267</v>
      </c>
      <c r="D940" s="20">
        <v>270</v>
      </c>
      <c r="E940" s="17" t="s">
        <v>559</v>
      </c>
      <c r="F940" s="19" t="s">
        <v>545</v>
      </c>
      <c r="G940" s="19" t="s">
        <v>525</v>
      </c>
      <c r="H940" s="19" t="s">
        <v>560</v>
      </c>
      <c r="I940" s="21"/>
      <c r="J940" s="21"/>
      <c r="K940" s="22">
        <v>13263.56</v>
      </c>
      <c r="L940" s="22">
        <v>78000</v>
      </c>
      <c r="M940" s="22">
        <v>71950</v>
      </c>
      <c r="N940" s="23">
        <v>-0.82995435897435899</v>
      </c>
      <c r="O940" s="23">
        <v>-0.81565587213342605</v>
      </c>
      <c r="P940" s="21"/>
      <c r="Q940" s="22">
        <v>49.124296296296301</v>
      </c>
    </row>
    <row r="941" spans="1:17" ht="15" customHeight="1" x14ac:dyDescent="0.2">
      <c r="A941" s="35" t="s">
        <v>312</v>
      </c>
      <c r="B941" s="36" t="s">
        <v>313</v>
      </c>
      <c r="C941" s="36" t="s">
        <v>267</v>
      </c>
      <c r="D941" s="38">
        <v>170</v>
      </c>
      <c r="E941" s="35" t="s">
        <v>559</v>
      </c>
      <c r="F941" s="37" t="s">
        <v>545</v>
      </c>
      <c r="G941" s="37" t="s">
        <v>525</v>
      </c>
      <c r="H941" s="37" t="s">
        <v>560</v>
      </c>
      <c r="I941" s="39"/>
      <c r="J941" s="39"/>
      <c r="K941" s="40">
        <v>14686.12</v>
      </c>
      <c r="L941" s="40">
        <v>10450</v>
      </c>
      <c r="M941" s="40">
        <v>22400</v>
      </c>
      <c r="N941" s="41">
        <v>0.40537033492822999</v>
      </c>
      <c r="O941" s="41">
        <v>-0.344369642857143</v>
      </c>
      <c r="P941" s="39"/>
      <c r="Q941" s="40">
        <v>86.388941176470595</v>
      </c>
    </row>
    <row r="942" spans="1:17" ht="15" customHeight="1" x14ac:dyDescent="0.2">
      <c r="A942" s="35" t="s">
        <v>316</v>
      </c>
      <c r="B942" s="36" t="s">
        <v>313</v>
      </c>
      <c r="C942" s="36" t="s">
        <v>267</v>
      </c>
      <c r="D942" s="38">
        <v>234</v>
      </c>
      <c r="E942" s="35" t="s">
        <v>559</v>
      </c>
      <c r="F942" s="37" t="s">
        <v>545</v>
      </c>
      <c r="G942" s="37" t="s">
        <v>525</v>
      </c>
      <c r="H942" s="37" t="s">
        <v>560</v>
      </c>
      <c r="I942" s="39"/>
      <c r="J942" s="39"/>
      <c r="K942" s="40">
        <v>14023.31</v>
      </c>
      <c r="L942" s="40">
        <v>8463</v>
      </c>
      <c r="M942" s="40">
        <v>21708</v>
      </c>
      <c r="N942" s="41">
        <v>0.65701406120760997</v>
      </c>
      <c r="O942" s="41">
        <v>-0.35400267182605499</v>
      </c>
      <c r="P942" s="39"/>
      <c r="Q942" s="40">
        <v>59.928675213675199</v>
      </c>
    </row>
    <row r="943" spans="1:17" ht="15" customHeight="1" x14ac:dyDescent="0.2">
      <c r="A943" s="35" t="s">
        <v>319</v>
      </c>
      <c r="B943" s="36" t="s">
        <v>313</v>
      </c>
      <c r="C943" s="36" t="s">
        <v>267</v>
      </c>
      <c r="D943" s="38">
        <v>24</v>
      </c>
      <c r="E943" s="35" t="s">
        <v>559</v>
      </c>
      <c r="F943" s="37" t="s">
        <v>545</v>
      </c>
      <c r="G943" s="37" t="s">
        <v>525</v>
      </c>
      <c r="H943" s="37" t="s">
        <v>560</v>
      </c>
      <c r="I943" s="39"/>
      <c r="J943" s="39"/>
      <c r="K943" s="40">
        <v>2063.38</v>
      </c>
      <c r="L943" s="40">
        <v>7500</v>
      </c>
      <c r="M943" s="40">
        <v>7500</v>
      </c>
      <c r="N943" s="41">
        <v>-0.72488266666666701</v>
      </c>
      <c r="O943" s="41">
        <v>-0.72488266666666701</v>
      </c>
      <c r="P943" s="39"/>
      <c r="Q943" s="40">
        <v>85.974166666666704</v>
      </c>
    </row>
    <row r="944" spans="1:17" ht="15" customHeight="1" x14ac:dyDescent="0.2">
      <c r="A944" s="35" t="s">
        <v>327</v>
      </c>
      <c r="B944" s="36" t="s">
        <v>313</v>
      </c>
      <c r="C944" s="36" t="s">
        <v>267</v>
      </c>
      <c r="D944" s="38">
        <v>244</v>
      </c>
      <c r="E944" s="35" t="s">
        <v>559</v>
      </c>
      <c r="F944" s="37" t="s">
        <v>545</v>
      </c>
      <c r="G944" s="37" t="s">
        <v>525</v>
      </c>
      <c r="H944" s="37" t="s">
        <v>560</v>
      </c>
      <c r="I944" s="39"/>
      <c r="J944" s="39"/>
      <c r="K944" s="40">
        <v>7204.51</v>
      </c>
      <c r="L944" s="40">
        <v>5400</v>
      </c>
      <c r="M944" s="40">
        <v>8500</v>
      </c>
      <c r="N944" s="41">
        <v>0.33416851851851898</v>
      </c>
      <c r="O944" s="41">
        <v>-0.15241058823529399</v>
      </c>
      <c r="P944" s="39"/>
      <c r="Q944" s="40">
        <v>29.526680327868899</v>
      </c>
    </row>
    <row r="945" spans="1:17" ht="15" customHeight="1" x14ac:dyDescent="0.2">
      <c r="A945" s="26" t="s">
        <v>147</v>
      </c>
      <c r="B945" s="27" t="s">
        <v>148</v>
      </c>
      <c r="C945" s="27" t="s">
        <v>149</v>
      </c>
      <c r="D945" s="29">
        <v>234</v>
      </c>
      <c r="E945" s="26" t="s">
        <v>561</v>
      </c>
      <c r="F945" s="28" t="s">
        <v>545</v>
      </c>
      <c r="G945" s="28" t="s">
        <v>528</v>
      </c>
      <c r="H945" s="28" t="s">
        <v>562</v>
      </c>
      <c r="I945" s="30"/>
      <c r="J945" s="30"/>
      <c r="K945" s="31">
        <v>75553.36</v>
      </c>
      <c r="L945" s="31">
        <v>30250</v>
      </c>
      <c r="M945" s="31">
        <v>30250</v>
      </c>
      <c r="N945" s="32">
        <v>1.49763173553719</v>
      </c>
      <c r="O945" s="32">
        <v>1.49763173553719</v>
      </c>
      <c r="P945" s="30"/>
      <c r="Q945" s="31">
        <v>322.877606837607</v>
      </c>
    </row>
    <row r="946" spans="1:17" ht="15" customHeight="1" x14ac:dyDescent="0.2">
      <c r="A946" s="17" t="s">
        <v>152</v>
      </c>
      <c r="B946" s="18" t="s">
        <v>148</v>
      </c>
      <c r="C946" s="18" t="s">
        <v>149</v>
      </c>
      <c r="D946" s="20">
        <v>258</v>
      </c>
      <c r="E946" s="17" t="s">
        <v>561</v>
      </c>
      <c r="F946" s="19" t="s">
        <v>545</v>
      </c>
      <c r="G946" s="19" t="s">
        <v>528</v>
      </c>
      <c r="H946" s="19" t="s">
        <v>562</v>
      </c>
      <c r="I946" s="21"/>
      <c r="J946" s="21"/>
      <c r="K946" s="22">
        <v>80448.240000000005</v>
      </c>
      <c r="L946" s="22">
        <v>66750</v>
      </c>
      <c r="M946" s="22">
        <v>66750</v>
      </c>
      <c r="N946" s="23">
        <v>0.20521707865168601</v>
      </c>
      <c r="O946" s="23">
        <v>0.20521707865168601</v>
      </c>
      <c r="P946" s="21"/>
      <c r="Q946" s="22">
        <v>311.81488372093003</v>
      </c>
    </row>
    <row r="947" spans="1:17" ht="15" customHeight="1" x14ac:dyDescent="0.2">
      <c r="A947" s="26" t="s">
        <v>154</v>
      </c>
      <c r="B947" s="27" t="s">
        <v>148</v>
      </c>
      <c r="C947" s="27" t="s">
        <v>149</v>
      </c>
      <c r="D947" s="29">
        <v>56</v>
      </c>
      <c r="E947" s="26" t="s">
        <v>561</v>
      </c>
      <c r="F947" s="28" t="s">
        <v>545</v>
      </c>
      <c r="G947" s="28" t="s">
        <v>528</v>
      </c>
      <c r="H947" s="28" t="s">
        <v>562</v>
      </c>
      <c r="I947" s="30"/>
      <c r="J947" s="30"/>
      <c r="K947" s="31"/>
      <c r="L947" s="31"/>
      <c r="M947" s="31"/>
      <c r="N947" s="32"/>
      <c r="O947" s="32"/>
      <c r="P947" s="30"/>
      <c r="Q947" s="31"/>
    </row>
    <row r="948" spans="1:17" ht="15" customHeight="1" x14ac:dyDescent="0.2">
      <c r="A948" s="17" t="s">
        <v>157</v>
      </c>
      <c r="B948" s="18" t="s">
        <v>148</v>
      </c>
      <c r="C948" s="18" t="s">
        <v>149</v>
      </c>
      <c r="D948" s="20">
        <v>149</v>
      </c>
      <c r="E948" s="17" t="s">
        <v>561</v>
      </c>
      <c r="F948" s="19" t="s">
        <v>545</v>
      </c>
      <c r="G948" s="19" t="s">
        <v>528</v>
      </c>
      <c r="H948" s="19" t="s">
        <v>562</v>
      </c>
      <c r="I948" s="21"/>
      <c r="J948" s="21"/>
      <c r="K948" s="22">
        <v>20000.490000000002</v>
      </c>
      <c r="L948" s="22">
        <v>14900</v>
      </c>
      <c r="M948" s="22">
        <v>33900</v>
      </c>
      <c r="N948" s="23">
        <v>0.34231476510067099</v>
      </c>
      <c r="O948" s="23">
        <v>-0.41001504424778801</v>
      </c>
      <c r="P948" s="21"/>
      <c r="Q948" s="22">
        <v>134.23147651006701</v>
      </c>
    </row>
    <row r="949" spans="1:17" ht="15" customHeight="1" x14ac:dyDescent="0.2">
      <c r="A949" s="26" t="s">
        <v>159</v>
      </c>
      <c r="B949" s="27" t="s">
        <v>148</v>
      </c>
      <c r="C949" s="27" t="s">
        <v>149</v>
      </c>
      <c r="D949" s="29">
        <v>117</v>
      </c>
      <c r="E949" s="26" t="s">
        <v>561</v>
      </c>
      <c r="F949" s="28" t="s">
        <v>545</v>
      </c>
      <c r="G949" s="28" t="s">
        <v>528</v>
      </c>
      <c r="H949" s="28" t="s">
        <v>562</v>
      </c>
      <c r="I949" s="30"/>
      <c r="J949" s="30"/>
      <c r="K949" s="31">
        <v>15147.02</v>
      </c>
      <c r="L949" s="31">
        <v>7800</v>
      </c>
      <c r="M949" s="31">
        <v>7800</v>
      </c>
      <c r="N949" s="32">
        <v>0.94192564102564103</v>
      </c>
      <c r="O949" s="32">
        <v>0.94192564102564103</v>
      </c>
      <c r="P949" s="30"/>
      <c r="Q949" s="31">
        <v>129.46170940170899</v>
      </c>
    </row>
    <row r="950" spans="1:17" ht="15" customHeight="1" x14ac:dyDescent="0.2">
      <c r="A950" s="17" t="s">
        <v>161</v>
      </c>
      <c r="B950" s="18" t="s">
        <v>148</v>
      </c>
      <c r="C950" s="18" t="s">
        <v>149</v>
      </c>
      <c r="D950" s="20">
        <v>162</v>
      </c>
      <c r="E950" s="17" t="s">
        <v>561</v>
      </c>
      <c r="F950" s="19" t="s">
        <v>545</v>
      </c>
      <c r="G950" s="19" t="s">
        <v>528</v>
      </c>
      <c r="H950" s="19" t="s">
        <v>562</v>
      </c>
      <c r="I950" s="21"/>
      <c r="J950" s="21"/>
      <c r="K950" s="22">
        <v>36964.67</v>
      </c>
      <c r="L950" s="22">
        <v>65600</v>
      </c>
      <c r="M950" s="22">
        <v>65600</v>
      </c>
      <c r="N950" s="23">
        <v>-0.43651417682926802</v>
      </c>
      <c r="O950" s="23">
        <v>-0.43651417682926802</v>
      </c>
      <c r="P950" s="21"/>
      <c r="Q950" s="22">
        <v>228.176975308642</v>
      </c>
    </row>
    <row r="951" spans="1:17" ht="15" customHeight="1" x14ac:dyDescent="0.2">
      <c r="A951" s="26" t="s">
        <v>165</v>
      </c>
      <c r="B951" s="27" t="s">
        <v>148</v>
      </c>
      <c r="C951" s="27" t="s">
        <v>149</v>
      </c>
      <c r="D951" s="29">
        <v>197</v>
      </c>
      <c r="E951" s="26" t="s">
        <v>561</v>
      </c>
      <c r="F951" s="28" t="s">
        <v>545</v>
      </c>
      <c r="G951" s="28" t="s">
        <v>528</v>
      </c>
      <c r="H951" s="28" t="s">
        <v>562</v>
      </c>
      <c r="I951" s="30"/>
      <c r="J951" s="30"/>
      <c r="K951" s="31">
        <v>46749.33</v>
      </c>
      <c r="L951" s="31">
        <v>60900</v>
      </c>
      <c r="M951" s="31">
        <v>60900</v>
      </c>
      <c r="N951" s="32">
        <v>-0.232359113300493</v>
      </c>
      <c r="O951" s="32">
        <v>-0.232359113300493</v>
      </c>
      <c r="P951" s="30"/>
      <c r="Q951" s="31">
        <v>237.306243654822</v>
      </c>
    </row>
    <row r="952" spans="1:17" ht="15" customHeight="1" x14ac:dyDescent="0.2">
      <c r="A952" s="17" t="s">
        <v>167</v>
      </c>
      <c r="B952" s="18" t="s">
        <v>148</v>
      </c>
      <c r="C952" s="18" t="s">
        <v>149</v>
      </c>
      <c r="D952" s="20">
        <v>119</v>
      </c>
      <c r="E952" s="17" t="s">
        <v>561</v>
      </c>
      <c r="F952" s="19" t="s">
        <v>545</v>
      </c>
      <c r="G952" s="19" t="s">
        <v>528</v>
      </c>
      <c r="H952" s="19" t="s">
        <v>562</v>
      </c>
      <c r="I952" s="21"/>
      <c r="J952" s="21"/>
      <c r="K952" s="22">
        <v>45904.61</v>
      </c>
      <c r="L952" s="22">
        <v>51200</v>
      </c>
      <c r="M952" s="22">
        <v>51200</v>
      </c>
      <c r="N952" s="23">
        <v>-0.10342558593749999</v>
      </c>
      <c r="O952" s="23">
        <v>-0.10342558593749999</v>
      </c>
      <c r="P952" s="21"/>
      <c r="Q952" s="22">
        <v>385.75302521008399</v>
      </c>
    </row>
    <row r="953" spans="1:17" ht="15" customHeight="1" x14ac:dyDescent="0.2">
      <c r="A953" s="26" t="s">
        <v>169</v>
      </c>
      <c r="B953" s="27" t="s">
        <v>148</v>
      </c>
      <c r="C953" s="27" t="s">
        <v>149</v>
      </c>
      <c r="D953" s="29">
        <v>211</v>
      </c>
      <c r="E953" s="26" t="s">
        <v>561</v>
      </c>
      <c r="F953" s="28" t="s">
        <v>545</v>
      </c>
      <c r="G953" s="28" t="s">
        <v>528</v>
      </c>
      <c r="H953" s="28" t="s">
        <v>562</v>
      </c>
      <c r="I953" s="30"/>
      <c r="J953" s="30"/>
      <c r="K953" s="31">
        <v>48338.27</v>
      </c>
      <c r="L953" s="31">
        <v>87250</v>
      </c>
      <c r="M953" s="31">
        <v>87250</v>
      </c>
      <c r="N953" s="32">
        <v>-0.44597971346704901</v>
      </c>
      <c r="O953" s="32">
        <v>-0.44597971346704901</v>
      </c>
      <c r="P953" s="30"/>
      <c r="Q953" s="31">
        <v>229.091327014218</v>
      </c>
    </row>
    <row r="954" spans="1:17" ht="15" customHeight="1" x14ac:dyDescent="0.2">
      <c r="A954" s="17" t="s">
        <v>171</v>
      </c>
      <c r="B954" s="18" t="s">
        <v>148</v>
      </c>
      <c r="C954" s="18" t="s">
        <v>149</v>
      </c>
      <c r="D954" s="20">
        <v>211</v>
      </c>
      <c r="E954" s="17" t="s">
        <v>561</v>
      </c>
      <c r="F954" s="19" t="s">
        <v>545</v>
      </c>
      <c r="G954" s="19" t="s">
        <v>528</v>
      </c>
      <c r="H954" s="19" t="s">
        <v>562</v>
      </c>
      <c r="I954" s="21"/>
      <c r="J954" s="21"/>
      <c r="K954" s="22">
        <v>69305.69</v>
      </c>
      <c r="L954" s="22">
        <v>83500</v>
      </c>
      <c r="M954" s="22">
        <v>83775</v>
      </c>
      <c r="N954" s="23">
        <v>-0.16999173652694599</v>
      </c>
      <c r="O954" s="23">
        <v>-0.17271632348552701</v>
      </c>
      <c r="P954" s="21"/>
      <c r="Q954" s="22">
        <v>328.46298578199099</v>
      </c>
    </row>
    <row r="955" spans="1:17" ht="15" customHeight="1" x14ac:dyDescent="0.2">
      <c r="A955" s="26" t="s">
        <v>173</v>
      </c>
      <c r="B955" s="27" t="s">
        <v>148</v>
      </c>
      <c r="C955" s="27" t="s">
        <v>149</v>
      </c>
      <c r="D955" s="29">
        <v>256</v>
      </c>
      <c r="E955" s="26" t="s">
        <v>561</v>
      </c>
      <c r="F955" s="28" t="s">
        <v>545</v>
      </c>
      <c r="G955" s="28" t="s">
        <v>528</v>
      </c>
      <c r="H955" s="28" t="s">
        <v>562</v>
      </c>
      <c r="I955" s="30"/>
      <c r="J955" s="30"/>
      <c r="K955" s="31">
        <v>122165.25</v>
      </c>
      <c r="L955" s="31">
        <v>92600</v>
      </c>
      <c r="M955" s="31">
        <v>93431</v>
      </c>
      <c r="N955" s="32">
        <v>0.31927915766738701</v>
      </c>
      <c r="O955" s="32">
        <v>0.30754514026393798</v>
      </c>
      <c r="P955" s="30"/>
      <c r="Q955" s="31">
        <v>477.2080078125</v>
      </c>
    </row>
    <row r="956" spans="1:17" ht="15" customHeight="1" x14ac:dyDescent="0.2">
      <c r="A956" s="17" t="s">
        <v>175</v>
      </c>
      <c r="B956" s="18" t="s">
        <v>148</v>
      </c>
      <c r="C956" s="18" t="s">
        <v>149</v>
      </c>
      <c r="D956" s="20">
        <v>136</v>
      </c>
      <c r="E956" s="17" t="s">
        <v>561</v>
      </c>
      <c r="F956" s="19" t="s">
        <v>545</v>
      </c>
      <c r="G956" s="19" t="s">
        <v>528</v>
      </c>
      <c r="H956" s="19" t="s">
        <v>562</v>
      </c>
      <c r="I956" s="21"/>
      <c r="J956" s="21"/>
      <c r="K956" s="22">
        <v>49938.59</v>
      </c>
      <c r="L956" s="22">
        <v>45175</v>
      </c>
      <c r="M956" s="22">
        <v>45275</v>
      </c>
      <c r="N956" s="23">
        <v>0.105447482014388</v>
      </c>
      <c r="O956" s="23">
        <v>0.10300585311982299</v>
      </c>
      <c r="P956" s="21"/>
      <c r="Q956" s="22">
        <v>367.19551470588198</v>
      </c>
    </row>
    <row r="957" spans="1:17" ht="15" customHeight="1" x14ac:dyDescent="0.2">
      <c r="A957" s="26" t="s">
        <v>179</v>
      </c>
      <c r="B957" s="27" t="s">
        <v>148</v>
      </c>
      <c r="C957" s="27" t="s">
        <v>180</v>
      </c>
      <c r="D957" s="29">
        <v>209</v>
      </c>
      <c r="E957" s="26" t="s">
        <v>561</v>
      </c>
      <c r="F957" s="28" t="s">
        <v>545</v>
      </c>
      <c r="G957" s="28" t="s">
        <v>528</v>
      </c>
      <c r="H957" s="28" t="s">
        <v>562</v>
      </c>
      <c r="I957" s="30"/>
      <c r="J957" s="30"/>
      <c r="K957" s="31">
        <v>77345.279999999999</v>
      </c>
      <c r="L957" s="31">
        <v>76300</v>
      </c>
      <c r="M957" s="31">
        <v>76847</v>
      </c>
      <c r="N957" s="32">
        <v>1.3699606815203101E-2</v>
      </c>
      <c r="O957" s="32">
        <v>6.4840527281481196E-3</v>
      </c>
      <c r="P957" s="30"/>
      <c r="Q957" s="31">
        <v>370.07311004784702</v>
      </c>
    </row>
    <row r="958" spans="1:17" ht="15" customHeight="1" x14ac:dyDescent="0.2">
      <c r="A958" s="17" t="s">
        <v>185</v>
      </c>
      <c r="B958" s="18" t="s">
        <v>148</v>
      </c>
      <c r="C958" s="18" t="s">
        <v>180</v>
      </c>
      <c r="D958" s="20">
        <v>117</v>
      </c>
      <c r="E958" s="17" t="s">
        <v>561</v>
      </c>
      <c r="F958" s="19" t="s">
        <v>545</v>
      </c>
      <c r="G958" s="19" t="s">
        <v>528</v>
      </c>
      <c r="H958" s="19" t="s">
        <v>562</v>
      </c>
      <c r="I958" s="21"/>
      <c r="J958" s="21"/>
      <c r="K958" s="22">
        <v>50657.33</v>
      </c>
      <c r="L958" s="22">
        <v>59400</v>
      </c>
      <c r="M958" s="22">
        <v>59400</v>
      </c>
      <c r="N958" s="23">
        <v>-0.147182996632997</v>
      </c>
      <c r="O958" s="23">
        <v>-0.147182996632997</v>
      </c>
      <c r="P958" s="21"/>
      <c r="Q958" s="22">
        <v>432.96863247863303</v>
      </c>
    </row>
    <row r="959" spans="1:17" ht="15" customHeight="1" x14ac:dyDescent="0.2">
      <c r="A959" s="26" t="s">
        <v>190</v>
      </c>
      <c r="B959" s="27" t="s">
        <v>148</v>
      </c>
      <c r="C959" s="27" t="s">
        <v>180</v>
      </c>
      <c r="D959" s="29">
        <v>75</v>
      </c>
      <c r="E959" s="26" t="s">
        <v>561</v>
      </c>
      <c r="F959" s="28" t="s">
        <v>545</v>
      </c>
      <c r="G959" s="28" t="s">
        <v>528</v>
      </c>
      <c r="H959" s="28" t="s">
        <v>562</v>
      </c>
      <c r="I959" s="30"/>
      <c r="J959" s="30"/>
      <c r="K959" s="31">
        <v>19584.740000000002</v>
      </c>
      <c r="L959" s="31">
        <v>42330</v>
      </c>
      <c r="M959" s="31">
        <v>42330</v>
      </c>
      <c r="N959" s="32">
        <v>-0.53733191589888996</v>
      </c>
      <c r="O959" s="32">
        <v>-0.53733191589888996</v>
      </c>
      <c r="P959" s="30"/>
      <c r="Q959" s="31">
        <v>261.129866666667</v>
      </c>
    </row>
    <row r="960" spans="1:17" ht="15" customHeight="1" x14ac:dyDescent="0.2">
      <c r="A960" s="17" t="s">
        <v>195</v>
      </c>
      <c r="B960" s="18" t="s">
        <v>148</v>
      </c>
      <c r="C960" s="18" t="s">
        <v>180</v>
      </c>
      <c r="D960" s="20">
        <v>49</v>
      </c>
      <c r="E960" s="17" t="s">
        <v>561</v>
      </c>
      <c r="F960" s="19" t="s">
        <v>545</v>
      </c>
      <c r="G960" s="19" t="s">
        <v>528</v>
      </c>
      <c r="H960" s="19" t="s">
        <v>562</v>
      </c>
      <c r="I960" s="21"/>
      <c r="J960" s="21"/>
      <c r="K960" s="22">
        <v>21103.03</v>
      </c>
      <c r="L960" s="22">
        <v>32420</v>
      </c>
      <c r="M960" s="22">
        <v>32420</v>
      </c>
      <c r="N960" s="23">
        <v>-0.34907371992597203</v>
      </c>
      <c r="O960" s="23">
        <v>-0.34907371992597203</v>
      </c>
      <c r="P960" s="21"/>
      <c r="Q960" s="22">
        <v>430.67408163265299</v>
      </c>
    </row>
    <row r="961" spans="1:17" ht="15" customHeight="1" x14ac:dyDescent="0.2">
      <c r="A961" s="26" t="s">
        <v>201</v>
      </c>
      <c r="B961" s="27" t="s">
        <v>148</v>
      </c>
      <c r="C961" s="27" t="s">
        <v>180</v>
      </c>
      <c r="D961" s="29">
        <v>170</v>
      </c>
      <c r="E961" s="26" t="s">
        <v>561</v>
      </c>
      <c r="F961" s="28" t="s">
        <v>545</v>
      </c>
      <c r="G961" s="28" t="s">
        <v>528</v>
      </c>
      <c r="H961" s="28" t="s">
        <v>562</v>
      </c>
      <c r="I961" s="30"/>
      <c r="J961" s="30"/>
      <c r="K961" s="31">
        <v>71604.009999999995</v>
      </c>
      <c r="L961" s="31">
        <v>79900</v>
      </c>
      <c r="M961" s="31">
        <v>80900</v>
      </c>
      <c r="N961" s="32">
        <v>-0.103829662077597</v>
      </c>
      <c r="O961" s="32">
        <v>-0.11490716934487</v>
      </c>
      <c r="P961" s="30"/>
      <c r="Q961" s="31">
        <v>421.20005882352899</v>
      </c>
    </row>
    <row r="962" spans="1:17" ht="15" customHeight="1" x14ac:dyDescent="0.2">
      <c r="A962" s="17" t="s">
        <v>205</v>
      </c>
      <c r="B962" s="18" t="s">
        <v>148</v>
      </c>
      <c r="C962" s="18" t="s">
        <v>180</v>
      </c>
      <c r="D962" s="20">
        <v>296</v>
      </c>
      <c r="E962" s="17" t="s">
        <v>561</v>
      </c>
      <c r="F962" s="19" t="s">
        <v>545</v>
      </c>
      <c r="G962" s="19" t="s">
        <v>528</v>
      </c>
      <c r="H962" s="19" t="s">
        <v>562</v>
      </c>
      <c r="I962" s="21"/>
      <c r="J962" s="21"/>
      <c r="K962" s="22">
        <v>97106.59</v>
      </c>
      <c r="L962" s="22">
        <v>148955</v>
      </c>
      <c r="M962" s="22">
        <v>148955</v>
      </c>
      <c r="N962" s="23">
        <v>-0.34808103118391498</v>
      </c>
      <c r="O962" s="23">
        <v>-0.34808103118391498</v>
      </c>
      <c r="P962" s="21"/>
      <c r="Q962" s="22">
        <v>328.06280405405403</v>
      </c>
    </row>
    <row r="963" spans="1:17" ht="15" customHeight="1" x14ac:dyDescent="0.2">
      <c r="A963" s="26" t="s">
        <v>210</v>
      </c>
      <c r="B963" s="27" t="s">
        <v>148</v>
      </c>
      <c r="C963" s="27" t="s">
        <v>180</v>
      </c>
      <c r="D963" s="29">
        <v>83</v>
      </c>
      <c r="E963" s="26" t="s">
        <v>561</v>
      </c>
      <c r="F963" s="28" t="s">
        <v>545</v>
      </c>
      <c r="G963" s="28" t="s">
        <v>528</v>
      </c>
      <c r="H963" s="28" t="s">
        <v>562</v>
      </c>
      <c r="I963" s="30"/>
      <c r="J963" s="30"/>
      <c r="K963" s="31">
        <v>26177.22</v>
      </c>
      <c r="L963" s="31">
        <v>40200</v>
      </c>
      <c r="M963" s="31">
        <v>40200</v>
      </c>
      <c r="N963" s="32">
        <v>-0.34882537313432799</v>
      </c>
      <c r="O963" s="32">
        <v>-0.34882537313432799</v>
      </c>
      <c r="P963" s="30"/>
      <c r="Q963" s="31">
        <v>315.38819277108399</v>
      </c>
    </row>
    <row r="964" spans="1:17" ht="15" customHeight="1" x14ac:dyDescent="0.2">
      <c r="A964" s="17" t="s">
        <v>214</v>
      </c>
      <c r="B964" s="18" t="s">
        <v>148</v>
      </c>
      <c r="C964" s="18" t="s">
        <v>180</v>
      </c>
      <c r="D964" s="20">
        <v>144</v>
      </c>
      <c r="E964" s="17" t="s">
        <v>561</v>
      </c>
      <c r="F964" s="19" t="s">
        <v>545</v>
      </c>
      <c r="G964" s="19" t="s">
        <v>528</v>
      </c>
      <c r="H964" s="19" t="s">
        <v>562</v>
      </c>
      <c r="I964" s="21"/>
      <c r="J964" s="21"/>
      <c r="K964" s="22">
        <v>46541.31</v>
      </c>
      <c r="L964" s="22">
        <v>79050</v>
      </c>
      <c r="M964" s="22">
        <v>87248</v>
      </c>
      <c r="N964" s="23">
        <v>-0.411242125237192</v>
      </c>
      <c r="O964" s="23">
        <v>-0.46656301577113501</v>
      </c>
      <c r="P964" s="21"/>
      <c r="Q964" s="22">
        <v>323.20354166666698</v>
      </c>
    </row>
    <row r="965" spans="1:17" ht="15" customHeight="1" x14ac:dyDescent="0.2">
      <c r="A965" s="26" t="s">
        <v>219</v>
      </c>
      <c r="B965" s="27" t="s">
        <v>148</v>
      </c>
      <c r="C965" s="27" t="s">
        <v>180</v>
      </c>
      <c r="D965" s="29">
        <v>398</v>
      </c>
      <c r="E965" s="26" t="s">
        <v>561</v>
      </c>
      <c r="F965" s="28" t="s">
        <v>545</v>
      </c>
      <c r="G965" s="28" t="s">
        <v>528</v>
      </c>
      <c r="H965" s="28" t="s">
        <v>562</v>
      </c>
      <c r="I965" s="30"/>
      <c r="J965" s="30"/>
      <c r="K965" s="31">
        <v>48502.22</v>
      </c>
      <c r="L965" s="31">
        <v>59980</v>
      </c>
      <c r="M965" s="31">
        <v>62068</v>
      </c>
      <c r="N965" s="32">
        <v>-0.19136012004001299</v>
      </c>
      <c r="O965" s="32">
        <v>-0.21856318876071401</v>
      </c>
      <c r="P965" s="30"/>
      <c r="Q965" s="31">
        <v>121.864874371859</v>
      </c>
    </row>
    <row r="966" spans="1:17" ht="15" customHeight="1" x14ac:dyDescent="0.2">
      <c r="A966" s="17" t="s">
        <v>224</v>
      </c>
      <c r="B966" s="18" t="s">
        <v>148</v>
      </c>
      <c r="C966" s="18" t="s">
        <v>180</v>
      </c>
      <c r="D966" s="20">
        <v>71</v>
      </c>
      <c r="E966" s="17" t="s">
        <v>561</v>
      </c>
      <c r="F966" s="19" t="s">
        <v>545</v>
      </c>
      <c r="G966" s="19" t="s">
        <v>528</v>
      </c>
      <c r="H966" s="19" t="s">
        <v>562</v>
      </c>
      <c r="I966" s="21"/>
      <c r="J966" s="21"/>
      <c r="K966" s="22">
        <v>21425.26</v>
      </c>
      <c r="L966" s="22">
        <v>33025</v>
      </c>
      <c r="M966" s="22">
        <v>33025</v>
      </c>
      <c r="N966" s="23">
        <v>-0.35124118092354301</v>
      </c>
      <c r="O966" s="23">
        <v>-0.35124118092354301</v>
      </c>
      <c r="P966" s="21"/>
      <c r="Q966" s="22">
        <v>301.76422535211299</v>
      </c>
    </row>
    <row r="967" spans="1:17" ht="15" customHeight="1" x14ac:dyDescent="0.2">
      <c r="A967" s="26" t="s">
        <v>230</v>
      </c>
      <c r="B967" s="27" t="s">
        <v>148</v>
      </c>
      <c r="C967" s="27" t="s">
        <v>180</v>
      </c>
      <c r="D967" s="29">
        <v>139</v>
      </c>
      <c r="E967" s="26" t="s">
        <v>561</v>
      </c>
      <c r="F967" s="28" t="s">
        <v>545</v>
      </c>
      <c r="G967" s="28" t="s">
        <v>528</v>
      </c>
      <c r="H967" s="28" t="s">
        <v>562</v>
      </c>
      <c r="I967" s="30"/>
      <c r="J967" s="30"/>
      <c r="K967" s="31">
        <v>67464.44</v>
      </c>
      <c r="L967" s="31">
        <v>59175</v>
      </c>
      <c r="M967" s="31">
        <v>59933</v>
      </c>
      <c r="N967" s="32">
        <v>0.14008348119983099</v>
      </c>
      <c r="O967" s="32">
        <v>0.125664325163099</v>
      </c>
      <c r="P967" s="30"/>
      <c r="Q967" s="31">
        <v>485.35568345323702</v>
      </c>
    </row>
    <row r="968" spans="1:17" ht="15" customHeight="1" x14ac:dyDescent="0.2">
      <c r="A968" s="17" t="s">
        <v>236</v>
      </c>
      <c r="B968" s="18" t="s">
        <v>148</v>
      </c>
      <c r="C968" s="18" t="s">
        <v>180</v>
      </c>
      <c r="D968" s="20">
        <v>128</v>
      </c>
      <c r="E968" s="17" t="s">
        <v>561</v>
      </c>
      <c r="F968" s="19" t="s">
        <v>545</v>
      </c>
      <c r="G968" s="19" t="s">
        <v>528</v>
      </c>
      <c r="H968" s="19" t="s">
        <v>562</v>
      </c>
      <c r="I968" s="21"/>
      <c r="J968" s="21"/>
      <c r="K968" s="22">
        <v>56230.79</v>
      </c>
      <c r="L968" s="22">
        <v>55000</v>
      </c>
      <c r="M968" s="22">
        <v>56140</v>
      </c>
      <c r="N968" s="23">
        <v>2.2377999999999999E-2</v>
      </c>
      <c r="O968" s="23">
        <v>1.6172069825436601E-3</v>
      </c>
      <c r="P968" s="21"/>
      <c r="Q968" s="22">
        <v>439.30304687500001</v>
      </c>
    </row>
    <row r="969" spans="1:17" ht="15" customHeight="1" x14ac:dyDescent="0.2">
      <c r="A969" s="26" t="s">
        <v>239</v>
      </c>
      <c r="B969" s="27" t="s">
        <v>148</v>
      </c>
      <c r="C969" s="27" t="s">
        <v>180</v>
      </c>
      <c r="D969" s="29">
        <v>92</v>
      </c>
      <c r="E969" s="26" t="s">
        <v>561</v>
      </c>
      <c r="F969" s="28" t="s">
        <v>545</v>
      </c>
      <c r="G969" s="28" t="s">
        <v>528</v>
      </c>
      <c r="H969" s="28" t="s">
        <v>562</v>
      </c>
      <c r="I969" s="30"/>
      <c r="J969" s="30"/>
      <c r="K969" s="31">
        <v>17346.53</v>
      </c>
      <c r="L969" s="31">
        <v>36000</v>
      </c>
      <c r="M969" s="31">
        <v>36300</v>
      </c>
      <c r="N969" s="32">
        <v>-0.51815194444444501</v>
      </c>
      <c r="O969" s="32">
        <v>-0.52213415977961397</v>
      </c>
      <c r="P969" s="30"/>
      <c r="Q969" s="31">
        <v>188.54923913043501</v>
      </c>
    </row>
    <row r="970" spans="1:17" ht="15" customHeight="1" x14ac:dyDescent="0.2">
      <c r="A970" s="17" t="s">
        <v>245</v>
      </c>
      <c r="B970" s="18" t="s">
        <v>148</v>
      </c>
      <c r="C970" s="18" t="s">
        <v>180</v>
      </c>
      <c r="D970" s="20">
        <v>31</v>
      </c>
      <c r="E970" s="17" t="s">
        <v>561</v>
      </c>
      <c r="F970" s="19" t="s">
        <v>545</v>
      </c>
      <c r="G970" s="19" t="s">
        <v>528</v>
      </c>
      <c r="H970" s="19" t="s">
        <v>562</v>
      </c>
      <c r="I970" s="21"/>
      <c r="J970" s="21"/>
      <c r="K970" s="22">
        <v>9614.3700000000008</v>
      </c>
      <c r="L970" s="22">
        <v>3320</v>
      </c>
      <c r="M970" s="22">
        <v>3917</v>
      </c>
      <c r="N970" s="23">
        <v>1.8958945783132499</v>
      </c>
      <c r="O970" s="23">
        <v>1.4545238703089101</v>
      </c>
      <c r="P970" s="21"/>
      <c r="Q970" s="22">
        <v>310.14096774193598</v>
      </c>
    </row>
    <row r="971" spans="1:17" ht="15" customHeight="1" x14ac:dyDescent="0.2">
      <c r="A971" s="26" t="s">
        <v>249</v>
      </c>
      <c r="B971" s="27" t="s">
        <v>148</v>
      </c>
      <c r="C971" s="27" t="s">
        <v>180</v>
      </c>
      <c r="D971" s="29">
        <v>122</v>
      </c>
      <c r="E971" s="26" t="s">
        <v>561</v>
      </c>
      <c r="F971" s="28" t="s">
        <v>545</v>
      </c>
      <c r="G971" s="28" t="s">
        <v>528</v>
      </c>
      <c r="H971" s="28" t="s">
        <v>562</v>
      </c>
      <c r="I971" s="30"/>
      <c r="J971" s="30"/>
      <c r="K971" s="31">
        <v>33059.1</v>
      </c>
      <c r="L971" s="31">
        <v>66355</v>
      </c>
      <c r="M971" s="31">
        <v>66355</v>
      </c>
      <c r="N971" s="32">
        <v>-0.50178434179790499</v>
      </c>
      <c r="O971" s="32">
        <v>-0.50178434179790499</v>
      </c>
      <c r="P971" s="30"/>
      <c r="Q971" s="31">
        <v>270.97622950819698</v>
      </c>
    </row>
    <row r="972" spans="1:17" ht="15" customHeight="1" x14ac:dyDescent="0.2">
      <c r="A972" s="17" t="s">
        <v>254</v>
      </c>
      <c r="B972" s="18" t="s">
        <v>148</v>
      </c>
      <c r="C972" s="18" t="s">
        <v>180</v>
      </c>
      <c r="D972" s="20">
        <v>80</v>
      </c>
      <c r="E972" s="17" t="s">
        <v>561</v>
      </c>
      <c r="F972" s="19" t="s">
        <v>545</v>
      </c>
      <c r="G972" s="19" t="s">
        <v>528</v>
      </c>
      <c r="H972" s="19" t="s">
        <v>562</v>
      </c>
      <c r="I972" s="21"/>
      <c r="J972" s="21"/>
      <c r="K972" s="22">
        <v>32240.09</v>
      </c>
      <c r="L972" s="22">
        <v>38115</v>
      </c>
      <c r="M972" s="22">
        <v>36610</v>
      </c>
      <c r="N972" s="23">
        <v>-0.154136429227338</v>
      </c>
      <c r="O972" s="23">
        <v>-0.11936383501775499</v>
      </c>
      <c r="P972" s="21"/>
      <c r="Q972" s="22">
        <v>403.001125</v>
      </c>
    </row>
    <row r="973" spans="1:17" ht="15" customHeight="1" x14ac:dyDescent="0.2">
      <c r="A973" s="26" t="s">
        <v>263</v>
      </c>
      <c r="B973" s="27" t="s">
        <v>148</v>
      </c>
      <c r="C973" s="27" t="s">
        <v>180</v>
      </c>
      <c r="D973" s="29">
        <v>55</v>
      </c>
      <c r="E973" s="26" t="s">
        <v>561</v>
      </c>
      <c r="F973" s="28" t="s">
        <v>545</v>
      </c>
      <c r="G973" s="28" t="s">
        <v>528</v>
      </c>
      <c r="H973" s="28" t="s">
        <v>562</v>
      </c>
      <c r="I973" s="30"/>
      <c r="J973" s="30"/>
      <c r="K973" s="31">
        <v>17052.68</v>
      </c>
      <c r="L973" s="31">
        <v>22530</v>
      </c>
      <c r="M973" s="31">
        <v>22530</v>
      </c>
      <c r="N973" s="32">
        <v>-0.24311229471815399</v>
      </c>
      <c r="O973" s="32">
        <v>-0.24311229471815399</v>
      </c>
      <c r="P973" s="30"/>
      <c r="Q973" s="31">
        <v>310.04872727272698</v>
      </c>
    </row>
    <row r="974" spans="1:17" ht="15" customHeight="1" x14ac:dyDescent="0.2">
      <c r="A974" s="17" t="s">
        <v>266</v>
      </c>
      <c r="B974" s="18" t="s">
        <v>148</v>
      </c>
      <c r="C974" s="18" t="s">
        <v>267</v>
      </c>
      <c r="D974" s="20">
        <v>108</v>
      </c>
      <c r="E974" s="17" t="s">
        <v>561</v>
      </c>
      <c r="F974" s="19" t="s">
        <v>545</v>
      </c>
      <c r="G974" s="19" t="s">
        <v>528</v>
      </c>
      <c r="H974" s="19" t="s">
        <v>562</v>
      </c>
      <c r="I974" s="21"/>
      <c r="J974" s="21"/>
      <c r="K974" s="22">
        <v>62146.49</v>
      </c>
      <c r="L974" s="22">
        <v>50200</v>
      </c>
      <c r="M974" s="22">
        <v>51126</v>
      </c>
      <c r="N974" s="23">
        <v>0.23797788844621501</v>
      </c>
      <c r="O974" s="23">
        <v>0.21555549035715699</v>
      </c>
      <c r="P974" s="21"/>
      <c r="Q974" s="22">
        <v>575.43046296296302</v>
      </c>
    </row>
    <row r="975" spans="1:17" ht="15" customHeight="1" x14ac:dyDescent="0.2">
      <c r="A975" s="26" t="s">
        <v>270</v>
      </c>
      <c r="B975" s="27" t="s">
        <v>148</v>
      </c>
      <c r="C975" s="27" t="s">
        <v>267</v>
      </c>
      <c r="D975" s="29">
        <v>75</v>
      </c>
      <c r="E975" s="26" t="s">
        <v>561</v>
      </c>
      <c r="F975" s="28" t="s">
        <v>545</v>
      </c>
      <c r="G975" s="28" t="s">
        <v>528</v>
      </c>
      <c r="H975" s="28" t="s">
        <v>562</v>
      </c>
      <c r="I975" s="30"/>
      <c r="J975" s="30"/>
      <c r="K975" s="31">
        <v>13163.4</v>
      </c>
      <c r="L975" s="31">
        <v>8935</v>
      </c>
      <c r="M975" s="31">
        <v>8935</v>
      </c>
      <c r="N975" s="32">
        <v>0.47324006715165101</v>
      </c>
      <c r="O975" s="32">
        <v>0.47324006715165101</v>
      </c>
      <c r="P975" s="30"/>
      <c r="Q975" s="31">
        <v>175.512</v>
      </c>
    </row>
    <row r="976" spans="1:17" ht="15" customHeight="1" x14ac:dyDescent="0.2">
      <c r="A976" s="17" t="s">
        <v>272</v>
      </c>
      <c r="B976" s="18" t="s">
        <v>148</v>
      </c>
      <c r="C976" s="18" t="s">
        <v>267</v>
      </c>
      <c r="D976" s="20">
        <v>89</v>
      </c>
      <c r="E976" s="17" t="s">
        <v>561</v>
      </c>
      <c r="F976" s="19" t="s">
        <v>545</v>
      </c>
      <c r="G976" s="19" t="s">
        <v>528</v>
      </c>
      <c r="H976" s="19" t="s">
        <v>562</v>
      </c>
      <c r="I976" s="21"/>
      <c r="J976" s="21"/>
      <c r="K976" s="22">
        <v>29819.24</v>
      </c>
      <c r="L976" s="22">
        <v>51400</v>
      </c>
      <c r="M976" s="22">
        <v>52597</v>
      </c>
      <c r="N976" s="23">
        <v>-0.41985914396887197</v>
      </c>
      <c r="O976" s="23">
        <v>-0.43306196170884298</v>
      </c>
      <c r="P976" s="21"/>
      <c r="Q976" s="22">
        <v>335.04764044943801</v>
      </c>
    </row>
    <row r="977" spans="1:17" ht="15" customHeight="1" x14ac:dyDescent="0.2">
      <c r="A977" s="26" t="s">
        <v>275</v>
      </c>
      <c r="B977" s="27" t="s">
        <v>148</v>
      </c>
      <c r="C977" s="27" t="s">
        <v>267</v>
      </c>
      <c r="D977" s="29">
        <v>78</v>
      </c>
      <c r="E977" s="26" t="s">
        <v>561</v>
      </c>
      <c r="F977" s="28" t="s">
        <v>545</v>
      </c>
      <c r="G977" s="28" t="s">
        <v>528</v>
      </c>
      <c r="H977" s="28" t="s">
        <v>562</v>
      </c>
      <c r="I977" s="30"/>
      <c r="J977" s="30"/>
      <c r="K977" s="31">
        <v>14099.66</v>
      </c>
      <c r="L977" s="31">
        <v>26630</v>
      </c>
      <c r="M977" s="31">
        <v>26630</v>
      </c>
      <c r="N977" s="32">
        <v>-0.47053473526098399</v>
      </c>
      <c r="O977" s="32">
        <v>-0.47053473526098399</v>
      </c>
      <c r="P977" s="30"/>
      <c r="Q977" s="31">
        <v>180.76487179487199</v>
      </c>
    </row>
    <row r="978" spans="1:17" ht="15" customHeight="1" x14ac:dyDescent="0.2">
      <c r="A978" s="17" t="s">
        <v>277</v>
      </c>
      <c r="B978" s="18" t="s">
        <v>148</v>
      </c>
      <c r="C978" s="18" t="s">
        <v>267</v>
      </c>
      <c r="D978" s="20">
        <v>158</v>
      </c>
      <c r="E978" s="17" t="s">
        <v>561</v>
      </c>
      <c r="F978" s="19" t="s">
        <v>545</v>
      </c>
      <c r="G978" s="19" t="s">
        <v>528</v>
      </c>
      <c r="H978" s="19" t="s">
        <v>562</v>
      </c>
      <c r="I978" s="21"/>
      <c r="J978" s="21"/>
      <c r="K978" s="22">
        <v>65243.62</v>
      </c>
      <c r="L978" s="22">
        <v>34700</v>
      </c>
      <c r="M978" s="22">
        <v>44525</v>
      </c>
      <c r="N978" s="23">
        <v>0.88021959654178705</v>
      </c>
      <c r="O978" s="23">
        <v>0.465325547445256</v>
      </c>
      <c r="P978" s="21"/>
      <c r="Q978" s="22">
        <v>412.93430379746798</v>
      </c>
    </row>
    <row r="979" spans="1:17" ht="15" customHeight="1" x14ac:dyDescent="0.2">
      <c r="A979" s="26" t="s">
        <v>280</v>
      </c>
      <c r="B979" s="27" t="s">
        <v>148</v>
      </c>
      <c r="C979" s="27" t="s">
        <v>267</v>
      </c>
      <c r="D979" s="29">
        <v>110</v>
      </c>
      <c r="E979" s="26" t="s">
        <v>561</v>
      </c>
      <c r="F979" s="28" t="s">
        <v>545</v>
      </c>
      <c r="G979" s="28" t="s">
        <v>528</v>
      </c>
      <c r="H979" s="28" t="s">
        <v>562</v>
      </c>
      <c r="I979" s="30"/>
      <c r="J979" s="30"/>
      <c r="K979" s="31">
        <v>39917.5</v>
      </c>
      <c r="L979" s="31">
        <v>39165</v>
      </c>
      <c r="M979" s="31">
        <v>39740</v>
      </c>
      <c r="N979" s="32">
        <v>1.9213583556747099E-2</v>
      </c>
      <c r="O979" s="32">
        <v>4.4665324609964802E-3</v>
      </c>
      <c r="P979" s="30"/>
      <c r="Q979" s="31">
        <v>362.88636363636402</v>
      </c>
    </row>
    <row r="980" spans="1:17" ht="15" customHeight="1" x14ac:dyDescent="0.2">
      <c r="A980" s="17" t="s">
        <v>284</v>
      </c>
      <c r="B980" s="18" t="s">
        <v>148</v>
      </c>
      <c r="C980" s="18" t="s">
        <v>267</v>
      </c>
      <c r="D980" s="20">
        <v>72</v>
      </c>
      <c r="E980" s="17" t="s">
        <v>561</v>
      </c>
      <c r="F980" s="19" t="s">
        <v>545</v>
      </c>
      <c r="G980" s="19" t="s">
        <v>528</v>
      </c>
      <c r="H980" s="19" t="s">
        <v>562</v>
      </c>
      <c r="I980" s="21"/>
      <c r="J980" s="21"/>
      <c r="K980" s="22"/>
      <c r="L980" s="22"/>
      <c r="M980" s="22"/>
      <c r="N980" s="23"/>
      <c r="O980" s="23"/>
      <c r="P980" s="21"/>
      <c r="Q980" s="22"/>
    </row>
    <row r="981" spans="1:17" ht="15" customHeight="1" x14ac:dyDescent="0.2">
      <c r="A981" s="26" t="s">
        <v>285</v>
      </c>
      <c r="B981" s="27" t="s">
        <v>148</v>
      </c>
      <c r="C981" s="27" t="s">
        <v>267</v>
      </c>
      <c r="D981" s="29">
        <v>296</v>
      </c>
      <c r="E981" s="26" t="s">
        <v>561</v>
      </c>
      <c r="F981" s="28" t="s">
        <v>545</v>
      </c>
      <c r="G981" s="28" t="s">
        <v>528</v>
      </c>
      <c r="H981" s="28" t="s">
        <v>562</v>
      </c>
      <c r="I981" s="30"/>
      <c r="J981" s="30"/>
      <c r="K981" s="31">
        <v>96552.88</v>
      </c>
      <c r="L981" s="31">
        <v>127400</v>
      </c>
      <c r="M981" s="31">
        <v>127400</v>
      </c>
      <c r="N981" s="32">
        <v>-0.24212810047095801</v>
      </c>
      <c r="O981" s="32">
        <v>-0.24212810047095801</v>
      </c>
      <c r="P981" s="30"/>
      <c r="Q981" s="31">
        <v>326.19216216216199</v>
      </c>
    </row>
    <row r="982" spans="1:17" ht="15" customHeight="1" x14ac:dyDescent="0.2">
      <c r="A982" s="17" t="s">
        <v>286</v>
      </c>
      <c r="B982" s="18" t="s">
        <v>148</v>
      </c>
      <c r="C982" s="18" t="s">
        <v>267</v>
      </c>
      <c r="D982" s="20">
        <v>50</v>
      </c>
      <c r="E982" s="17" t="s">
        <v>561</v>
      </c>
      <c r="F982" s="19" t="s">
        <v>545</v>
      </c>
      <c r="G982" s="19" t="s">
        <v>528</v>
      </c>
      <c r="H982" s="19" t="s">
        <v>562</v>
      </c>
      <c r="I982" s="21"/>
      <c r="J982" s="21"/>
      <c r="K982" s="22">
        <v>20655.61</v>
      </c>
      <c r="L982" s="22">
        <v>20400</v>
      </c>
      <c r="M982" s="22">
        <v>20400</v>
      </c>
      <c r="N982" s="23">
        <v>1.2529901960784301E-2</v>
      </c>
      <c r="O982" s="23">
        <v>1.2529901960784301E-2</v>
      </c>
      <c r="P982" s="21"/>
      <c r="Q982" s="22">
        <v>413.11219999999997</v>
      </c>
    </row>
    <row r="983" spans="1:17" ht="15" customHeight="1" x14ac:dyDescent="0.2">
      <c r="A983" s="26" t="s">
        <v>287</v>
      </c>
      <c r="B983" s="27" t="s">
        <v>148</v>
      </c>
      <c r="C983" s="27" t="s">
        <v>267</v>
      </c>
      <c r="D983" s="29">
        <v>163</v>
      </c>
      <c r="E983" s="26" t="s">
        <v>561</v>
      </c>
      <c r="F983" s="28" t="s">
        <v>545</v>
      </c>
      <c r="G983" s="28" t="s">
        <v>528</v>
      </c>
      <c r="H983" s="28" t="s">
        <v>562</v>
      </c>
      <c r="I983" s="30"/>
      <c r="J983" s="30"/>
      <c r="K983" s="31">
        <v>43355.63</v>
      </c>
      <c r="L983" s="31">
        <v>51400</v>
      </c>
      <c r="M983" s="31">
        <v>51400</v>
      </c>
      <c r="N983" s="32">
        <v>-0.15650525291828801</v>
      </c>
      <c r="O983" s="32">
        <v>-0.15650525291828801</v>
      </c>
      <c r="P983" s="30"/>
      <c r="Q983" s="31">
        <v>265.98546012269901</v>
      </c>
    </row>
    <row r="984" spans="1:17" ht="15" customHeight="1" x14ac:dyDescent="0.2">
      <c r="A984" s="17" t="s">
        <v>289</v>
      </c>
      <c r="B984" s="18" t="s">
        <v>148</v>
      </c>
      <c r="C984" s="18" t="s">
        <v>267</v>
      </c>
      <c r="D984" s="20">
        <v>107</v>
      </c>
      <c r="E984" s="17" t="s">
        <v>561</v>
      </c>
      <c r="F984" s="19" t="s">
        <v>545</v>
      </c>
      <c r="G984" s="19" t="s">
        <v>528</v>
      </c>
      <c r="H984" s="19" t="s">
        <v>562</v>
      </c>
      <c r="I984" s="21"/>
      <c r="J984" s="21"/>
      <c r="K984" s="22">
        <v>41276.800000000003</v>
      </c>
      <c r="L984" s="22">
        <v>69550</v>
      </c>
      <c r="M984" s="22">
        <v>69550</v>
      </c>
      <c r="N984" s="23">
        <v>-0.40651617541337198</v>
      </c>
      <c r="O984" s="23">
        <v>-0.40651617541337198</v>
      </c>
      <c r="P984" s="21"/>
      <c r="Q984" s="22">
        <v>385.76448598130798</v>
      </c>
    </row>
    <row r="985" spans="1:17" ht="15" customHeight="1" x14ac:dyDescent="0.2">
      <c r="A985" s="26" t="s">
        <v>292</v>
      </c>
      <c r="B985" s="27" t="s">
        <v>148</v>
      </c>
      <c r="C985" s="27" t="s">
        <v>267</v>
      </c>
      <c r="D985" s="29">
        <v>136</v>
      </c>
      <c r="E985" s="26" t="s">
        <v>561</v>
      </c>
      <c r="F985" s="28" t="s">
        <v>545</v>
      </c>
      <c r="G985" s="28" t="s">
        <v>528</v>
      </c>
      <c r="H985" s="28" t="s">
        <v>562</v>
      </c>
      <c r="I985" s="30"/>
      <c r="J985" s="30"/>
      <c r="K985" s="31">
        <v>45462.73</v>
      </c>
      <c r="L985" s="31">
        <v>57400</v>
      </c>
      <c r="M985" s="31">
        <v>57623</v>
      </c>
      <c r="N985" s="32">
        <v>-0.20796637630661999</v>
      </c>
      <c r="O985" s="32">
        <v>-0.21103153254776699</v>
      </c>
      <c r="P985" s="30"/>
      <c r="Q985" s="31">
        <v>334.28477941176499</v>
      </c>
    </row>
    <row r="986" spans="1:17" ht="15" customHeight="1" x14ac:dyDescent="0.2">
      <c r="A986" s="17" t="s">
        <v>295</v>
      </c>
      <c r="B986" s="18" t="s">
        <v>148</v>
      </c>
      <c r="C986" s="18" t="s">
        <v>267</v>
      </c>
      <c r="D986" s="20">
        <v>68</v>
      </c>
      <c r="E986" s="17" t="s">
        <v>561</v>
      </c>
      <c r="F986" s="19" t="s">
        <v>545</v>
      </c>
      <c r="G986" s="19" t="s">
        <v>528</v>
      </c>
      <c r="H986" s="19" t="s">
        <v>562</v>
      </c>
      <c r="I986" s="21"/>
      <c r="J986" s="21"/>
      <c r="K986" s="22">
        <v>18210.349999999999</v>
      </c>
      <c r="L986" s="22">
        <v>26265</v>
      </c>
      <c r="M986" s="22">
        <v>26265</v>
      </c>
      <c r="N986" s="23">
        <v>-0.30666857034075801</v>
      </c>
      <c r="O986" s="23">
        <v>-0.30666857034075801</v>
      </c>
      <c r="P986" s="21"/>
      <c r="Q986" s="22">
        <v>267.79926470588202</v>
      </c>
    </row>
    <row r="987" spans="1:17" ht="15" customHeight="1" x14ac:dyDescent="0.2">
      <c r="A987" s="26" t="s">
        <v>298</v>
      </c>
      <c r="B987" s="27" t="s">
        <v>148</v>
      </c>
      <c r="C987" s="27" t="s">
        <v>267</v>
      </c>
      <c r="D987" s="29">
        <v>98</v>
      </c>
      <c r="E987" s="26" t="s">
        <v>561</v>
      </c>
      <c r="F987" s="28" t="s">
        <v>545</v>
      </c>
      <c r="G987" s="28" t="s">
        <v>528</v>
      </c>
      <c r="H987" s="28" t="s">
        <v>562</v>
      </c>
      <c r="I987" s="30"/>
      <c r="J987" s="30"/>
      <c r="K987" s="31">
        <v>32273.25</v>
      </c>
      <c r="L987" s="31">
        <v>33530</v>
      </c>
      <c r="M987" s="31">
        <v>37230</v>
      </c>
      <c r="N987" s="32">
        <v>-3.7481359976140799E-2</v>
      </c>
      <c r="O987" s="32">
        <v>-0.133138597904915</v>
      </c>
      <c r="P987" s="30"/>
      <c r="Q987" s="31">
        <v>329.31887755102002</v>
      </c>
    </row>
    <row r="988" spans="1:17" ht="15" customHeight="1" x14ac:dyDescent="0.2">
      <c r="A988" s="17" t="s">
        <v>300</v>
      </c>
      <c r="B988" s="18" t="s">
        <v>148</v>
      </c>
      <c r="C988" s="18" t="s">
        <v>267</v>
      </c>
      <c r="D988" s="20">
        <v>321</v>
      </c>
      <c r="E988" s="17" t="s">
        <v>561</v>
      </c>
      <c r="F988" s="19" t="s">
        <v>545</v>
      </c>
      <c r="G988" s="19" t="s">
        <v>528</v>
      </c>
      <c r="H988" s="19" t="s">
        <v>562</v>
      </c>
      <c r="I988" s="21"/>
      <c r="J988" s="21"/>
      <c r="K988" s="22">
        <v>103675.54</v>
      </c>
      <c r="L988" s="22">
        <v>205659</v>
      </c>
      <c r="M988" s="22">
        <v>206189</v>
      </c>
      <c r="N988" s="23">
        <v>-0.495886199971798</v>
      </c>
      <c r="O988" s="23">
        <v>-0.49718200291965098</v>
      </c>
      <c r="P988" s="21"/>
      <c r="Q988" s="22">
        <v>322.97676012461102</v>
      </c>
    </row>
    <row r="989" spans="1:17" ht="15" customHeight="1" x14ac:dyDescent="0.2">
      <c r="A989" s="26" t="s">
        <v>302</v>
      </c>
      <c r="B989" s="27" t="s">
        <v>148</v>
      </c>
      <c r="C989" s="27" t="s">
        <v>267</v>
      </c>
      <c r="D989" s="29">
        <v>111</v>
      </c>
      <c r="E989" s="26" t="s">
        <v>561</v>
      </c>
      <c r="F989" s="28" t="s">
        <v>545</v>
      </c>
      <c r="G989" s="28" t="s">
        <v>528</v>
      </c>
      <c r="H989" s="28" t="s">
        <v>562</v>
      </c>
      <c r="I989" s="30"/>
      <c r="J989" s="30"/>
      <c r="K989" s="31">
        <v>30721.75</v>
      </c>
      <c r="L989" s="31">
        <v>47140</v>
      </c>
      <c r="M989" s="31">
        <v>48750</v>
      </c>
      <c r="N989" s="32">
        <v>-0.34828701739499401</v>
      </c>
      <c r="O989" s="32">
        <v>-0.369810256410256</v>
      </c>
      <c r="P989" s="30"/>
      <c r="Q989" s="31">
        <v>276.77252252252299</v>
      </c>
    </row>
    <row r="990" spans="1:17" ht="15" customHeight="1" x14ac:dyDescent="0.2">
      <c r="A990" s="17" t="s">
        <v>304</v>
      </c>
      <c r="B990" s="18" t="s">
        <v>148</v>
      </c>
      <c r="C990" s="18" t="s">
        <v>267</v>
      </c>
      <c r="D990" s="20">
        <v>77</v>
      </c>
      <c r="E990" s="17" t="s">
        <v>561</v>
      </c>
      <c r="F990" s="19" t="s">
        <v>545</v>
      </c>
      <c r="G990" s="19" t="s">
        <v>528</v>
      </c>
      <c r="H990" s="19" t="s">
        <v>562</v>
      </c>
      <c r="I990" s="21"/>
      <c r="J990" s="21"/>
      <c r="K990" s="22">
        <v>16093.43</v>
      </c>
      <c r="L990" s="22">
        <v>30640</v>
      </c>
      <c r="M990" s="22">
        <v>30640</v>
      </c>
      <c r="N990" s="23">
        <v>-0.474757506527415</v>
      </c>
      <c r="O990" s="23">
        <v>-0.474757506527415</v>
      </c>
      <c r="P990" s="21"/>
      <c r="Q990" s="22">
        <v>209.005584415584</v>
      </c>
    </row>
    <row r="991" spans="1:17" ht="15" customHeight="1" x14ac:dyDescent="0.2">
      <c r="A991" s="26" t="s">
        <v>306</v>
      </c>
      <c r="B991" s="27" t="s">
        <v>148</v>
      </c>
      <c r="C991" s="27" t="s">
        <v>267</v>
      </c>
      <c r="D991" s="29">
        <v>365</v>
      </c>
      <c r="E991" s="26" t="s">
        <v>561</v>
      </c>
      <c r="F991" s="28" t="s">
        <v>545</v>
      </c>
      <c r="G991" s="28" t="s">
        <v>528</v>
      </c>
      <c r="H991" s="28" t="s">
        <v>562</v>
      </c>
      <c r="I991" s="30"/>
      <c r="J991" s="30"/>
      <c r="K991" s="31">
        <v>57918.559999999998</v>
      </c>
      <c r="L991" s="31">
        <v>84760</v>
      </c>
      <c r="M991" s="31">
        <v>84760</v>
      </c>
      <c r="N991" s="32">
        <v>-0.31667579046720201</v>
      </c>
      <c r="O991" s="32">
        <v>-0.31667579046720201</v>
      </c>
      <c r="P991" s="30"/>
      <c r="Q991" s="31">
        <v>158.68098630137001</v>
      </c>
    </row>
    <row r="992" spans="1:17" ht="15" customHeight="1" x14ac:dyDescent="0.2">
      <c r="A992" s="17" t="s">
        <v>309</v>
      </c>
      <c r="B992" s="18" t="s">
        <v>148</v>
      </c>
      <c r="C992" s="18" t="s">
        <v>267</v>
      </c>
      <c r="D992" s="20">
        <v>270</v>
      </c>
      <c r="E992" s="17" t="s">
        <v>561</v>
      </c>
      <c r="F992" s="19" t="s">
        <v>545</v>
      </c>
      <c r="G992" s="19" t="s">
        <v>528</v>
      </c>
      <c r="H992" s="19" t="s">
        <v>562</v>
      </c>
      <c r="I992" s="21"/>
      <c r="J992" s="21"/>
      <c r="K992" s="22">
        <v>134603.6</v>
      </c>
      <c r="L992" s="22">
        <v>189170</v>
      </c>
      <c r="M992" s="22">
        <v>195680</v>
      </c>
      <c r="N992" s="23">
        <v>-0.28845165723951999</v>
      </c>
      <c r="O992" s="23">
        <v>-0.31212387571545402</v>
      </c>
      <c r="P992" s="21"/>
      <c r="Q992" s="22">
        <v>498.53185185185202</v>
      </c>
    </row>
    <row r="993" spans="1:17" ht="15" customHeight="1" x14ac:dyDescent="0.2">
      <c r="A993" s="35" t="s">
        <v>312</v>
      </c>
      <c r="B993" s="36" t="s">
        <v>313</v>
      </c>
      <c r="C993" s="36" t="s">
        <v>267</v>
      </c>
      <c r="D993" s="38">
        <v>170</v>
      </c>
      <c r="E993" s="35" t="s">
        <v>561</v>
      </c>
      <c r="F993" s="37" t="s">
        <v>545</v>
      </c>
      <c r="G993" s="37" t="s">
        <v>528</v>
      </c>
      <c r="H993" s="37" t="s">
        <v>562</v>
      </c>
      <c r="I993" s="39"/>
      <c r="J993" s="39"/>
      <c r="K993" s="40">
        <v>121627.31</v>
      </c>
      <c r="L993" s="40">
        <v>136575</v>
      </c>
      <c r="M993" s="40">
        <v>138575</v>
      </c>
      <c r="N993" s="41">
        <v>-0.10944675086948601</v>
      </c>
      <c r="O993" s="41">
        <v>-0.122299765469962</v>
      </c>
      <c r="P993" s="39"/>
      <c r="Q993" s="40">
        <v>715.45476470588198</v>
      </c>
    </row>
    <row r="994" spans="1:17" ht="15" customHeight="1" x14ac:dyDescent="0.2">
      <c r="A994" s="35" t="s">
        <v>316</v>
      </c>
      <c r="B994" s="36" t="s">
        <v>313</v>
      </c>
      <c r="C994" s="36" t="s">
        <v>267</v>
      </c>
      <c r="D994" s="38">
        <v>234</v>
      </c>
      <c r="E994" s="35" t="s">
        <v>561</v>
      </c>
      <c r="F994" s="37" t="s">
        <v>545</v>
      </c>
      <c r="G994" s="37" t="s">
        <v>528</v>
      </c>
      <c r="H994" s="37" t="s">
        <v>562</v>
      </c>
      <c r="I994" s="39"/>
      <c r="J994" s="39"/>
      <c r="K994" s="40">
        <v>126781.38</v>
      </c>
      <c r="L994" s="40">
        <v>192848</v>
      </c>
      <c r="M994" s="40">
        <v>207528</v>
      </c>
      <c r="N994" s="41">
        <v>-0.34258390027379099</v>
      </c>
      <c r="O994" s="41">
        <v>-0.38908783393084301</v>
      </c>
      <c r="P994" s="39"/>
      <c r="Q994" s="40">
        <v>541.80076923076899</v>
      </c>
    </row>
    <row r="995" spans="1:17" ht="15" customHeight="1" x14ac:dyDescent="0.2">
      <c r="A995" s="35" t="s">
        <v>319</v>
      </c>
      <c r="B995" s="36" t="s">
        <v>313</v>
      </c>
      <c r="C995" s="36" t="s">
        <v>267</v>
      </c>
      <c r="D995" s="38">
        <v>24</v>
      </c>
      <c r="E995" s="35" t="s">
        <v>561</v>
      </c>
      <c r="F995" s="37" t="s">
        <v>545</v>
      </c>
      <c r="G995" s="37" t="s">
        <v>528</v>
      </c>
      <c r="H995" s="37" t="s">
        <v>562</v>
      </c>
      <c r="I995" s="39"/>
      <c r="J995" s="39"/>
      <c r="K995" s="40">
        <v>31392.49</v>
      </c>
      <c r="L995" s="40">
        <v>24065</v>
      </c>
      <c r="M995" s="40">
        <v>25015</v>
      </c>
      <c r="N995" s="41">
        <v>0.30448742987741501</v>
      </c>
      <c r="O995" s="41">
        <v>0.25494663202078799</v>
      </c>
      <c r="P995" s="39"/>
      <c r="Q995" s="40">
        <v>1308.0204166666699</v>
      </c>
    </row>
    <row r="996" spans="1:17" ht="15" customHeight="1" x14ac:dyDescent="0.2">
      <c r="A996" s="35" t="s">
        <v>327</v>
      </c>
      <c r="B996" s="36" t="s">
        <v>313</v>
      </c>
      <c r="C996" s="36" t="s">
        <v>267</v>
      </c>
      <c r="D996" s="38">
        <v>244</v>
      </c>
      <c r="E996" s="35" t="s">
        <v>561</v>
      </c>
      <c r="F996" s="37" t="s">
        <v>545</v>
      </c>
      <c r="G996" s="37" t="s">
        <v>528</v>
      </c>
      <c r="H996" s="37" t="s">
        <v>562</v>
      </c>
      <c r="I996" s="39"/>
      <c r="J996" s="39"/>
      <c r="K996" s="40">
        <v>137969.26</v>
      </c>
      <c r="L996" s="40">
        <v>180900</v>
      </c>
      <c r="M996" s="40">
        <v>189150</v>
      </c>
      <c r="N996" s="41">
        <v>-0.23731752349364299</v>
      </c>
      <c r="O996" s="41">
        <v>-0.27058281786941601</v>
      </c>
      <c r="P996" s="39"/>
      <c r="Q996" s="40">
        <v>565.44778688524605</v>
      </c>
    </row>
    <row r="997" spans="1:17" ht="15" customHeight="1" x14ac:dyDescent="0.2">
      <c r="A997" s="35" t="s">
        <v>329</v>
      </c>
      <c r="B997" s="36" t="s">
        <v>313</v>
      </c>
      <c r="C997" s="36" t="s">
        <v>330</v>
      </c>
      <c r="D997" s="38">
        <v>186</v>
      </c>
      <c r="E997" s="35" t="s">
        <v>561</v>
      </c>
      <c r="F997" s="37" t="s">
        <v>545</v>
      </c>
      <c r="G997" s="37" t="s">
        <v>528</v>
      </c>
      <c r="H997" s="37" t="s">
        <v>562</v>
      </c>
      <c r="I997" s="39"/>
      <c r="J997" s="39"/>
      <c r="K997" s="40">
        <v>15782.52</v>
      </c>
      <c r="L997" s="40">
        <v>147575</v>
      </c>
      <c r="M997" s="40">
        <v>159775</v>
      </c>
      <c r="N997" s="41">
        <v>-0.89305424360494701</v>
      </c>
      <c r="O997" s="41">
        <v>-0.90122034110467897</v>
      </c>
      <c r="P997" s="39"/>
      <c r="Q997" s="40">
        <v>84.852258064516107</v>
      </c>
    </row>
    <row r="998" spans="1:17" ht="15" customHeight="1" x14ac:dyDescent="0.2">
      <c r="A998" s="35" t="s">
        <v>334</v>
      </c>
      <c r="B998" s="36" t="s">
        <v>313</v>
      </c>
      <c r="C998" s="36" t="s">
        <v>330</v>
      </c>
      <c r="D998" s="38">
        <v>20</v>
      </c>
      <c r="E998" s="35" t="s">
        <v>561</v>
      </c>
      <c r="F998" s="37" t="s">
        <v>545</v>
      </c>
      <c r="G998" s="37" t="s">
        <v>528</v>
      </c>
      <c r="H998" s="37" t="s">
        <v>562</v>
      </c>
      <c r="I998" s="39"/>
      <c r="J998" s="39"/>
      <c r="K998" s="40">
        <v>11818.6</v>
      </c>
      <c r="L998" s="40">
        <v>15010</v>
      </c>
      <c r="M998" s="40">
        <v>15240</v>
      </c>
      <c r="N998" s="41">
        <v>-0.212618254497002</v>
      </c>
      <c r="O998" s="41">
        <v>-0.22450131233595799</v>
      </c>
      <c r="P998" s="39"/>
      <c r="Q998" s="40">
        <v>590.92999999999995</v>
      </c>
    </row>
    <row r="999" spans="1:17" ht="15" customHeight="1" x14ac:dyDescent="0.2">
      <c r="A999" s="26" t="s">
        <v>147</v>
      </c>
      <c r="B999" s="27" t="s">
        <v>148</v>
      </c>
      <c r="C999" s="27" t="s">
        <v>149</v>
      </c>
      <c r="D999" s="29">
        <v>234</v>
      </c>
      <c r="E999" s="26" t="s">
        <v>563</v>
      </c>
      <c r="F999" s="28" t="s">
        <v>545</v>
      </c>
      <c r="G999" s="28" t="s">
        <v>531</v>
      </c>
      <c r="H999" s="28" t="s">
        <v>564</v>
      </c>
      <c r="I999" s="30"/>
      <c r="J999" s="30"/>
      <c r="K999" s="31">
        <v>2968.89</v>
      </c>
      <c r="L999" s="31">
        <v>5000</v>
      </c>
      <c r="M999" s="31">
        <v>5000</v>
      </c>
      <c r="N999" s="32">
        <v>-0.40622200000000003</v>
      </c>
      <c r="O999" s="32">
        <v>-0.40622200000000003</v>
      </c>
      <c r="P999" s="30"/>
      <c r="Q999" s="31">
        <v>12.687564102564099</v>
      </c>
    </row>
    <row r="1000" spans="1:17" ht="15" customHeight="1" x14ac:dyDescent="0.2">
      <c r="A1000" s="17" t="s">
        <v>152</v>
      </c>
      <c r="B1000" s="18" t="s">
        <v>148</v>
      </c>
      <c r="C1000" s="18" t="s">
        <v>149</v>
      </c>
      <c r="D1000" s="20">
        <v>258</v>
      </c>
      <c r="E1000" s="17" t="s">
        <v>563</v>
      </c>
      <c r="F1000" s="19" t="s">
        <v>545</v>
      </c>
      <c r="G1000" s="19" t="s">
        <v>531</v>
      </c>
      <c r="H1000" s="19" t="s">
        <v>564</v>
      </c>
      <c r="I1000" s="21"/>
      <c r="J1000" s="21"/>
      <c r="K1000" s="22">
        <v>2236.9299999999998</v>
      </c>
      <c r="L1000" s="22">
        <v>5400</v>
      </c>
      <c r="M1000" s="22">
        <v>5400</v>
      </c>
      <c r="N1000" s="23">
        <v>-0.58575370370370405</v>
      </c>
      <c r="O1000" s="23">
        <v>-0.58575370370370405</v>
      </c>
      <c r="P1000" s="21"/>
      <c r="Q1000" s="22">
        <v>8.6702713178294601</v>
      </c>
    </row>
    <row r="1001" spans="1:17" ht="15" customHeight="1" x14ac:dyDescent="0.2">
      <c r="A1001" s="26" t="s">
        <v>154</v>
      </c>
      <c r="B1001" s="27" t="s">
        <v>148</v>
      </c>
      <c r="C1001" s="27" t="s">
        <v>149</v>
      </c>
      <c r="D1001" s="29">
        <v>56</v>
      </c>
      <c r="E1001" s="26" t="s">
        <v>563</v>
      </c>
      <c r="F1001" s="28" t="s">
        <v>545</v>
      </c>
      <c r="G1001" s="28" t="s">
        <v>531</v>
      </c>
      <c r="H1001" s="28" t="s">
        <v>564</v>
      </c>
      <c r="I1001" s="30"/>
      <c r="J1001" s="30"/>
      <c r="K1001" s="31">
        <v>641.45000000000005</v>
      </c>
      <c r="L1001" s="31">
        <v>2000</v>
      </c>
      <c r="M1001" s="31">
        <v>2000</v>
      </c>
      <c r="N1001" s="32">
        <v>-0.67927499999999996</v>
      </c>
      <c r="O1001" s="32">
        <v>-0.67927499999999996</v>
      </c>
      <c r="P1001" s="30"/>
      <c r="Q1001" s="31">
        <v>11.4544642857143</v>
      </c>
    </row>
    <row r="1002" spans="1:17" ht="15" customHeight="1" x14ac:dyDescent="0.2">
      <c r="A1002" s="17" t="s">
        <v>157</v>
      </c>
      <c r="B1002" s="18" t="s">
        <v>148</v>
      </c>
      <c r="C1002" s="18" t="s">
        <v>149</v>
      </c>
      <c r="D1002" s="20">
        <v>149</v>
      </c>
      <c r="E1002" s="17" t="s">
        <v>563</v>
      </c>
      <c r="F1002" s="19" t="s">
        <v>545</v>
      </c>
      <c r="G1002" s="19" t="s">
        <v>531</v>
      </c>
      <c r="H1002" s="19" t="s">
        <v>564</v>
      </c>
      <c r="I1002" s="21"/>
      <c r="J1002" s="21"/>
      <c r="K1002" s="22">
        <v>1098.46</v>
      </c>
      <c r="L1002" s="22"/>
      <c r="M1002" s="22"/>
      <c r="N1002" s="23"/>
      <c r="O1002" s="23"/>
      <c r="P1002" s="21"/>
      <c r="Q1002" s="22">
        <v>7.3722147651006704</v>
      </c>
    </row>
    <row r="1003" spans="1:17" ht="15" customHeight="1" x14ac:dyDescent="0.2">
      <c r="A1003" s="26" t="s">
        <v>159</v>
      </c>
      <c r="B1003" s="27" t="s">
        <v>148</v>
      </c>
      <c r="C1003" s="27" t="s">
        <v>149</v>
      </c>
      <c r="D1003" s="29">
        <v>117</v>
      </c>
      <c r="E1003" s="26" t="s">
        <v>563</v>
      </c>
      <c r="F1003" s="28" t="s">
        <v>545</v>
      </c>
      <c r="G1003" s="28" t="s">
        <v>531</v>
      </c>
      <c r="H1003" s="28" t="s">
        <v>564</v>
      </c>
      <c r="I1003" s="30"/>
      <c r="J1003" s="30"/>
      <c r="K1003" s="31">
        <v>1233.58</v>
      </c>
      <c r="L1003" s="31">
        <v>2500</v>
      </c>
      <c r="M1003" s="31">
        <v>2500</v>
      </c>
      <c r="N1003" s="32">
        <v>-0.50656800000000002</v>
      </c>
      <c r="O1003" s="32">
        <v>-0.50656800000000002</v>
      </c>
      <c r="P1003" s="30"/>
      <c r="Q1003" s="31">
        <v>10.543418803418801</v>
      </c>
    </row>
    <row r="1004" spans="1:17" ht="15" customHeight="1" x14ac:dyDescent="0.2">
      <c r="A1004" s="17" t="s">
        <v>161</v>
      </c>
      <c r="B1004" s="18" t="s">
        <v>148</v>
      </c>
      <c r="C1004" s="18" t="s">
        <v>149</v>
      </c>
      <c r="D1004" s="20">
        <v>162</v>
      </c>
      <c r="E1004" s="17" t="s">
        <v>563</v>
      </c>
      <c r="F1004" s="19" t="s">
        <v>545</v>
      </c>
      <c r="G1004" s="19" t="s">
        <v>531</v>
      </c>
      <c r="H1004" s="19" t="s">
        <v>564</v>
      </c>
      <c r="I1004" s="21"/>
      <c r="J1004" s="21"/>
      <c r="K1004" s="22">
        <v>22695.31</v>
      </c>
      <c r="L1004" s="22">
        <v>12000</v>
      </c>
      <c r="M1004" s="22">
        <v>12000</v>
      </c>
      <c r="N1004" s="23">
        <v>0.89127583333333404</v>
      </c>
      <c r="O1004" s="23">
        <v>0.89127583333333404</v>
      </c>
      <c r="P1004" s="21"/>
      <c r="Q1004" s="22">
        <v>140.09450617284</v>
      </c>
    </row>
    <row r="1005" spans="1:17" ht="15" customHeight="1" x14ac:dyDescent="0.2">
      <c r="A1005" s="26" t="s">
        <v>165</v>
      </c>
      <c r="B1005" s="27" t="s">
        <v>148</v>
      </c>
      <c r="C1005" s="27" t="s">
        <v>149</v>
      </c>
      <c r="D1005" s="29">
        <v>197</v>
      </c>
      <c r="E1005" s="26" t="s">
        <v>563</v>
      </c>
      <c r="F1005" s="28" t="s">
        <v>545</v>
      </c>
      <c r="G1005" s="28" t="s">
        <v>531</v>
      </c>
      <c r="H1005" s="28" t="s">
        <v>564</v>
      </c>
      <c r="I1005" s="30"/>
      <c r="J1005" s="30"/>
      <c r="K1005" s="31">
        <v>29343.46</v>
      </c>
      <c r="L1005" s="31">
        <v>12000</v>
      </c>
      <c r="M1005" s="31">
        <v>12000</v>
      </c>
      <c r="N1005" s="32">
        <v>1.44528833333333</v>
      </c>
      <c r="O1005" s="32">
        <v>1.44528833333333</v>
      </c>
      <c r="P1005" s="30"/>
      <c r="Q1005" s="31">
        <v>148.951573604061</v>
      </c>
    </row>
    <row r="1006" spans="1:17" ht="15" customHeight="1" x14ac:dyDescent="0.2">
      <c r="A1006" s="17" t="s">
        <v>167</v>
      </c>
      <c r="B1006" s="18" t="s">
        <v>148</v>
      </c>
      <c r="C1006" s="18" t="s">
        <v>149</v>
      </c>
      <c r="D1006" s="20">
        <v>119</v>
      </c>
      <c r="E1006" s="17" t="s">
        <v>563</v>
      </c>
      <c r="F1006" s="19" t="s">
        <v>545</v>
      </c>
      <c r="G1006" s="19" t="s">
        <v>531</v>
      </c>
      <c r="H1006" s="19" t="s">
        <v>564</v>
      </c>
      <c r="I1006" s="21"/>
      <c r="J1006" s="21"/>
      <c r="K1006" s="22">
        <v>8987.73</v>
      </c>
      <c r="L1006" s="22">
        <v>12000</v>
      </c>
      <c r="M1006" s="22">
        <v>12000</v>
      </c>
      <c r="N1006" s="23">
        <v>-0.25102249999999998</v>
      </c>
      <c r="O1006" s="23">
        <v>-0.25102249999999998</v>
      </c>
      <c r="P1006" s="21"/>
      <c r="Q1006" s="22">
        <v>75.527142857142906</v>
      </c>
    </row>
    <row r="1007" spans="1:17" ht="15" customHeight="1" x14ac:dyDescent="0.2">
      <c r="A1007" s="26" t="s">
        <v>169</v>
      </c>
      <c r="B1007" s="27" t="s">
        <v>148</v>
      </c>
      <c r="C1007" s="27" t="s">
        <v>149</v>
      </c>
      <c r="D1007" s="29">
        <v>211</v>
      </c>
      <c r="E1007" s="26" t="s">
        <v>563</v>
      </c>
      <c r="F1007" s="28" t="s">
        <v>545</v>
      </c>
      <c r="G1007" s="28" t="s">
        <v>531</v>
      </c>
      <c r="H1007" s="28" t="s">
        <v>564</v>
      </c>
      <c r="I1007" s="30"/>
      <c r="J1007" s="30"/>
      <c r="K1007" s="31">
        <v>1947.18</v>
      </c>
      <c r="L1007" s="31">
        <v>5520</v>
      </c>
      <c r="M1007" s="31">
        <v>5520</v>
      </c>
      <c r="N1007" s="32">
        <v>-0.64724999999999999</v>
      </c>
      <c r="O1007" s="32">
        <v>-0.64724999999999999</v>
      </c>
      <c r="P1007" s="30"/>
      <c r="Q1007" s="31">
        <v>9.2283412322274891</v>
      </c>
    </row>
    <row r="1008" spans="1:17" ht="15" customHeight="1" x14ac:dyDescent="0.2">
      <c r="A1008" s="17" t="s">
        <v>171</v>
      </c>
      <c r="B1008" s="18" t="s">
        <v>148</v>
      </c>
      <c r="C1008" s="18" t="s">
        <v>149</v>
      </c>
      <c r="D1008" s="20">
        <v>211</v>
      </c>
      <c r="E1008" s="17" t="s">
        <v>563</v>
      </c>
      <c r="F1008" s="19" t="s">
        <v>545</v>
      </c>
      <c r="G1008" s="19" t="s">
        <v>531</v>
      </c>
      <c r="H1008" s="19" t="s">
        <v>564</v>
      </c>
      <c r="I1008" s="21"/>
      <c r="J1008" s="21"/>
      <c r="K1008" s="22">
        <v>24175.21</v>
      </c>
      <c r="L1008" s="22">
        <v>32500</v>
      </c>
      <c r="M1008" s="22">
        <v>32500</v>
      </c>
      <c r="N1008" s="23">
        <v>-0.256147384615385</v>
      </c>
      <c r="O1008" s="23">
        <v>-0.256147384615385</v>
      </c>
      <c r="P1008" s="21"/>
      <c r="Q1008" s="22">
        <v>114.574454976303</v>
      </c>
    </row>
    <row r="1009" spans="1:17" ht="15" customHeight="1" x14ac:dyDescent="0.2">
      <c r="A1009" s="26" t="s">
        <v>173</v>
      </c>
      <c r="B1009" s="27" t="s">
        <v>148</v>
      </c>
      <c r="C1009" s="27" t="s">
        <v>149</v>
      </c>
      <c r="D1009" s="29">
        <v>256</v>
      </c>
      <c r="E1009" s="26" t="s">
        <v>563</v>
      </c>
      <c r="F1009" s="28" t="s">
        <v>545</v>
      </c>
      <c r="G1009" s="28" t="s">
        <v>531</v>
      </c>
      <c r="H1009" s="28" t="s">
        <v>564</v>
      </c>
      <c r="I1009" s="30"/>
      <c r="J1009" s="30"/>
      <c r="K1009" s="31">
        <v>2198.9699999999998</v>
      </c>
      <c r="L1009" s="31">
        <v>7000</v>
      </c>
      <c r="M1009" s="31">
        <v>7952</v>
      </c>
      <c r="N1009" s="32">
        <v>-0.68586142857142895</v>
      </c>
      <c r="O1009" s="32">
        <v>-0.72346956740442703</v>
      </c>
      <c r="P1009" s="30"/>
      <c r="Q1009" s="31">
        <v>8.5897265624999992</v>
      </c>
    </row>
    <row r="1010" spans="1:17" ht="15" customHeight="1" x14ac:dyDescent="0.2">
      <c r="A1010" s="17" t="s">
        <v>175</v>
      </c>
      <c r="B1010" s="18" t="s">
        <v>148</v>
      </c>
      <c r="C1010" s="18" t="s">
        <v>149</v>
      </c>
      <c r="D1010" s="20">
        <v>136</v>
      </c>
      <c r="E1010" s="17" t="s">
        <v>563</v>
      </c>
      <c r="F1010" s="19" t="s">
        <v>545</v>
      </c>
      <c r="G1010" s="19" t="s">
        <v>531</v>
      </c>
      <c r="H1010" s="19" t="s">
        <v>564</v>
      </c>
      <c r="I1010" s="21"/>
      <c r="J1010" s="21"/>
      <c r="K1010" s="22">
        <v>5.44</v>
      </c>
      <c r="L1010" s="22"/>
      <c r="M1010" s="22"/>
      <c r="N1010" s="23"/>
      <c r="O1010" s="23"/>
      <c r="P1010" s="21"/>
      <c r="Q1010" s="22">
        <v>0.04</v>
      </c>
    </row>
    <row r="1011" spans="1:17" ht="15" customHeight="1" x14ac:dyDescent="0.2">
      <c r="A1011" s="26" t="s">
        <v>177</v>
      </c>
      <c r="B1011" s="27" t="s">
        <v>148</v>
      </c>
      <c r="C1011" s="27" t="s">
        <v>149</v>
      </c>
      <c r="D1011" s="29">
        <v>18</v>
      </c>
      <c r="E1011" s="26" t="s">
        <v>563</v>
      </c>
      <c r="F1011" s="28" t="s">
        <v>545</v>
      </c>
      <c r="G1011" s="28" t="s">
        <v>531</v>
      </c>
      <c r="H1011" s="28" t="s">
        <v>564</v>
      </c>
      <c r="I1011" s="30"/>
      <c r="J1011" s="30"/>
      <c r="K1011" s="31">
        <v>2510.08</v>
      </c>
      <c r="L1011" s="31"/>
      <c r="M1011" s="31"/>
      <c r="N1011" s="32"/>
      <c r="O1011" s="32"/>
      <c r="P1011" s="30"/>
      <c r="Q1011" s="31">
        <v>139.448888888889</v>
      </c>
    </row>
    <row r="1012" spans="1:17" ht="15" customHeight="1" x14ac:dyDescent="0.2">
      <c r="A1012" s="17" t="s">
        <v>179</v>
      </c>
      <c r="B1012" s="18" t="s">
        <v>148</v>
      </c>
      <c r="C1012" s="18" t="s">
        <v>180</v>
      </c>
      <c r="D1012" s="20">
        <v>209</v>
      </c>
      <c r="E1012" s="17" t="s">
        <v>563</v>
      </c>
      <c r="F1012" s="19" t="s">
        <v>545</v>
      </c>
      <c r="G1012" s="19" t="s">
        <v>531</v>
      </c>
      <c r="H1012" s="19" t="s">
        <v>564</v>
      </c>
      <c r="I1012" s="21"/>
      <c r="J1012" s="21"/>
      <c r="K1012" s="22">
        <v>105558.69</v>
      </c>
      <c r="L1012" s="22">
        <v>22500</v>
      </c>
      <c r="M1012" s="22">
        <v>22500</v>
      </c>
      <c r="N1012" s="23">
        <v>3.6914973333333299</v>
      </c>
      <c r="O1012" s="23">
        <v>3.6914973333333299</v>
      </c>
      <c r="P1012" s="21"/>
      <c r="Q1012" s="22">
        <v>505.06550239234502</v>
      </c>
    </row>
    <row r="1013" spans="1:17" ht="15" customHeight="1" x14ac:dyDescent="0.2">
      <c r="A1013" s="26" t="s">
        <v>185</v>
      </c>
      <c r="B1013" s="27" t="s">
        <v>148</v>
      </c>
      <c r="C1013" s="27" t="s">
        <v>180</v>
      </c>
      <c r="D1013" s="29">
        <v>117</v>
      </c>
      <c r="E1013" s="26" t="s">
        <v>563</v>
      </c>
      <c r="F1013" s="28" t="s">
        <v>545</v>
      </c>
      <c r="G1013" s="28" t="s">
        <v>531</v>
      </c>
      <c r="H1013" s="28" t="s">
        <v>564</v>
      </c>
      <c r="I1013" s="30"/>
      <c r="J1013" s="30"/>
      <c r="K1013" s="31">
        <v>76386.17</v>
      </c>
      <c r="L1013" s="31">
        <v>29000</v>
      </c>
      <c r="M1013" s="31">
        <v>30622</v>
      </c>
      <c r="N1013" s="32">
        <v>1.6340058620689699</v>
      </c>
      <c r="O1013" s="32">
        <v>1.4944866435895801</v>
      </c>
      <c r="P1013" s="30"/>
      <c r="Q1013" s="31">
        <v>652.87324786324803</v>
      </c>
    </row>
    <row r="1014" spans="1:17" ht="15" customHeight="1" x14ac:dyDescent="0.2">
      <c r="A1014" s="17" t="s">
        <v>190</v>
      </c>
      <c r="B1014" s="18" t="s">
        <v>148</v>
      </c>
      <c r="C1014" s="18" t="s">
        <v>180</v>
      </c>
      <c r="D1014" s="20">
        <v>75</v>
      </c>
      <c r="E1014" s="17" t="s">
        <v>563</v>
      </c>
      <c r="F1014" s="19" t="s">
        <v>545</v>
      </c>
      <c r="G1014" s="19" t="s">
        <v>531</v>
      </c>
      <c r="H1014" s="19" t="s">
        <v>564</v>
      </c>
      <c r="I1014" s="21"/>
      <c r="J1014" s="21"/>
      <c r="K1014" s="22">
        <v>36585.89</v>
      </c>
      <c r="L1014" s="22">
        <v>82200</v>
      </c>
      <c r="M1014" s="22">
        <v>82926</v>
      </c>
      <c r="N1014" s="23">
        <v>-0.55491618004866206</v>
      </c>
      <c r="O1014" s="23">
        <v>-0.55881279695149899</v>
      </c>
      <c r="P1014" s="21"/>
      <c r="Q1014" s="22">
        <v>487.81186666666702</v>
      </c>
    </row>
    <row r="1015" spans="1:17" ht="15" customHeight="1" x14ac:dyDescent="0.2">
      <c r="A1015" s="26" t="s">
        <v>195</v>
      </c>
      <c r="B1015" s="27" t="s">
        <v>148</v>
      </c>
      <c r="C1015" s="27" t="s">
        <v>180</v>
      </c>
      <c r="D1015" s="29">
        <v>49</v>
      </c>
      <c r="E1015" s="26" t="s">
        <v>563</v>
      </c>
      <c r="F1015" s="28" t="s">
        <v>545</v>
      </c>
      <c r="G1015" s="28" t="s">
        <v>531</v>
      </c>
      <c r="H1015" s="28" t="s">
        <v>564</v>
      </c>
      <c r="I1015" s="30"/>
      <c r="J1015" s="30"/>
      <c r="K1015" s="31">
        <v>33752.74</v>
      </c>
      <c r="L1015" s="31">
        <v>53250</v>
      </c>
      <c r="M1015" s="31">
        <v>53250</v>
      </c>
      <c r="N1015" s="32">
        <v>-0.36614572769953102</v>
      </c>
      <c r="O1015" s="32">
        <v>-0.36614572769953102</v>
      </c>
      <c r="P1015" s="30"/>
      <c r="Q1015" s="31">
        <v>688.831428571429</v>
      </c>
    </row>
    <row r="1016" spans="1:17" ht="15" customHeight="1" x14ac:dyDescent="0.2">
      <c r="A1016" s="17" t="s">
        <v>201</v>
      </c>
      <c r="B1016" s="18" t="s">
        <v>148</v>
      </c>
      <c r="C1016" s="18" t="s">
        <v>180</v>
      </c>
      <c r="D1016" s="20">
        <v>170</v>
      </c>
      <c r="E1016" s="17" t="s">
        <v>563</v>
      </c>
      <c r="F1016" s="19" t="s">
        <v>545</v>
      </c>
      <c r="G1016" s="19" t="s">
        <v>531</v>
      </c>
      <c r="H1016" s="19" t="s">
        <v>564</v>
      </c>
      <c r="I1016" s="21"/>
      <c r="J1016" s="21"/>
      <c r="K1016" s="22">
        <v>99306.42</v>
      </c>
      <c r="L1016" s="22">
        <v>123300</v>
      </c>
      <c r="M1016" s="22">
        <v>123300</v>
      </c>
      <c r="N1016" s="23">
        <v>-0.194595133819951</v>
      </c>
      <c r="O1016" s="23">
        <v>-0.194595133819951</v>
      </c>
      <c r="P1016" s="21"/>
      <c r="Q1016" s="22">
        <v>584.15541176470595</v>
      </c>
    </row>
    <row r="1017" spans="1:17" ht="15" customHeight="1" x14ac:dyDescent="0.2">
      <c r="A1017" s="26" t="s">
        <v>205</v>
      </c>
      <c r="B1017" s="27" t="s">
        <v>148</v>
      </c>
      <c r="C1017" s="27" t="s">
        <v>180</v>
      </c>
      <c r="D1017" s="29">
        <v>296</v>
      </c>
      <c r="E1017" s="26" t="s">
        <v>563</v>
      </c>
      <c r="F1017" s="28" t="s">
        <v>545</v>
      </c>
      <c r="G1017" s="28" t="s">
        <v>531</v>
      </c>
      <c r="H1017" s="28" t="s">
        <v>564</v>
      </c>
      <c r="I1017" s="30"/>
      <c r="J1017" s="30"/>
      <c r="K1017" s="31">
        <v>68176.58</v>
      </c>
      <c r="L1017" s="31">
        <v>75350</v>
      </c>
      <c r="M1017" s="31">
        <v>84131</v>
      </c>
      <c r="N1017" s="32">
        <v>-9.5201327140013295E-2</v>
      </c>
      <c r="O1017" s="32">
        <v>-0.18963782672261101</v>
      </c>
      <c r="P1017" s="30"/>
      <c r="Q1017" s="31">
        <v>230.32628378378399</v>
      </c>
    </row>
    <row r="1018" spans="1:17" ht="15" customHeight="1" x14ac:dyDescent="0.2">
      <c r="A1018" s="17" t="s">
        <v>210</v>
      </c>
      <c r="B1018" s="18" t="s">
        <v>148</v>
      </c>
      <c r="C1018" s="18" t="s">
        <v>180</v>
      </c>
      <c r="D1018" s="20">
        <v>83</v>
      </c>
      <c r="E1018" s="17" t="s">
        <v>563</v>
      </c>
      <c r="F1018" s="19" t="s">
        <v>545</v>
      </c>
      <c r="G1018" s="19" t="s">
        <v>531</v>
      </c>
      <c r="H1018" s="19" t="s">
        <v>564</v>
      </c>
      <c r="I1018" s="21"/>
      <c r="J1018" s="21"/>
      <c r="K1018" s="22">
        <v>53061.22</v>
      </c>
      <c r="L1018" s="22">
        <v>68600</v>
      </c>
      <c r="M1018" s="22">
        <v>69326</v>
      </c>
      <c r="N1018" s="23">
        <v>-0.22651282798833799</v>
      </c>
      <c r="O1018" s="23">
        <v>-0.23461298791218299</v>
      </c>
      <c r="P1018" s="21"/>
      <c r="Q1018" s="22">
        <v>639.29180722891601</v>
      </c>
    </row>
    <row r="1019" spans="1:17" ht="15" customHeight="1" x14ac:dyDescent="0.2">
      <c r="A1019" s="26" t="s">
        <v>214</v>
      </c>
      <c r="B1019" s="27" t="s">
        <v>148</v>
      </c>
      <c r="C1019" s="27" t="s">
        <v>180</v>
      </c>
      <c r="D1019" s="29">
        <v>144</v>
      </c>
      <c r="E1019" s="26" t="s">
        <v>563</v>
      </c>
      <c r="F1019" s="28" t="s">
        <v>545</v>
      </c>
      <c r="G1019" s="28" t="s">
        <v>531</v>
      </c>
      <c r="H1019" s="28" t="s">
        <v>564</v>
      </c>
      <c r="I1019" s="30"/>
      <c r="J1019" s="30"/>
      <c r="K1019" s="31">
        <v>27223.200000000001</v>
      </c>
      <c r="L1019" s="31">
        <v>130300</v>
      </c>
      <c r="M1019" s="31">
        <v>50965</v>
      </c>
      <c r="N1019" s="32">
        <v>-0.79107290867229496</v>
      </c>
      <c r="O1019" s="32">
        <v>-0.46584518787403101</v>
      </c>
      <c r="P1019" s="30"/>
      <c r="Q1019" s="31">
        <v>189.05</v>
      </c>
    </row>
    <row r="1020" spans="1:17" ht="15" customHeight="1" x14ac:dyDescent="0.2">
      <c r="A1020" s="17" t="s">
        <v>219</v>
      </c>
      <c r="B1020" s="18" t="s">
        <v>148</v>
      </c>
      <c r="C1020" s="18" t="s">
        <v>180</v>
      </c>
      <c r="D1020" s="20">
        <v>398</v>
      </c>
      <c r="E1020" s="17" t="s">
        <v>563</v>
      </c>
      <c r="F1020" s="19" t="s">
        <v>545</v>
      </c>
      <c r="G1020" s="19" t="s">
        <v>531</v>
      </c>
      <c r="H1020" s="19" t="s">
        <v>564</v>
      </c>
      <c r="I1020" s="21"/>
      <c r="J1020" s="21"/>
      <c r="K1020" s="22">
        <v>38991.480000000003</v>
      </c>
      <c r="L1020" s="22">
        <v>102264</v>
      </c>
      <c r="M1020" s="22">
        <v>113823</v>
      </c>
      <c r="N1020" s="23">
        <v>-0.61871743722131001</v>
      </c>
      <c r="O1020" s="23">
        <v>-0.65743760048496303</v>
      </c>
      <c r="P1020" s="21"/>
      <c r="Q1020" s="22">
        <v>97.9685427135678</v>
      </c>
    </row>
    <row r="1021" spans="1:17" ht="15" customHeight="1" x14ac:dyDescent="0.2">
      <c r="A1021" s="26" t="s">
        <v>224</v>
      </c>
      <c r="B1021" s="27" t="s">
        <v>148</v>
      </c>
      <c r="C1021" s="27" t="s">
        <v>180</v>
      </c>
      <c r="D1021" s="29">
        <v>71</v>
      </c>
      <c r="E1021" s="26" t="s">
        <v>563</v>
      </c>
      <c r="F1021" s="28" t="s">
        <v>545</v>
      </c>
      <c r="G1021" s="28" t="s">
        <v>531</v>
      </c>
      <c r="H1021" s="28" t="s">
        <v>564</v>
      </c>
      <c r="I1021" s="30"/>
      <c r="J1021" s="30"/>
      <c r="K1021" s="31">
        <v>11291.75</v>
      </c>
      <c r="L1021" s="31">
        <v>32450</v>
      </c>
      <c r="M1021" s="31">
        <v>39250</v>
      </c>
      <c r="N1021" s="32">
        <v>-0.65202619414483798</v>
      </c>
      <c r="O1021" s="32">
        <v>-0.71231210191082805</v>
      </c>
      <c r="P1021" s="30"/>
      <c r="Q1021" s="31">
        <v>159.03873239436601</v>
      </c>
    </row>
    <row r="1022" spans="1:17" ht="15" customHeight="1" x14ac:dyDescent="0.2">
      <c r="A1022" s="17" t="s">
        <v>230</v>
      </c>
      <c r="B1022" s="18" t="s">
        <v>148</v>
      </c>
      <c r="C1022" s="18" t="s">
        <v>180</v>
      </c>
      <c r="D1022" s="20">
        <v>139</v>
      </c>
      <c r="E1022" s="17" t="s">
        <v>563</v>
      </c>
      <c r="F1022" s="19" t="s">
        <v>545</v>
      </c>
      <c r="G1022" s="19" t="s">
        <v>531</v>
      </c>
      <c r="H1022" s="19" t="s">
        <v>564</v>
      </c>
      <c r="I1022" s="21"/>
      <c r="J1022" s="21"/>
      <c r="K1022" s="22">
        <v>43786.76</v>
      </c>
      <c r="L1022" s="22">
        <v>125650</v>
      </c>
      <c r="M1022" s="22">
        <v>127123</v>
      </c>
      <c r="N1022" s="23">
        <v>-0.65151802626343003</v>
      </c>
      <c r="O1022" s="23">
        <v>-0.65555595761585195</v>
      </c>
      <c r="P1022" s="21"/>
      <c r="Q1022" s="22">
        <v>315.01266187050402</v>
      </c>
    </row>
    <row r="1023" spans="1:17" ht="15" customHeight="1" x14ac:dyDescent="0.2">
      <c r="A1023" s="26" t="s">
        <v>236</v>
      </c>
      <c r="B1023" s="27" t="s">
        <v>148</v>
      </c>
      <c r="C1023" s="27" t="s">
        <v>180</v>
      </c>
      <c r="D1023" s="29">
        <v>128</v>
      </c>
      <c r="E1023" s="26" t="s">
        <v>563</v>
      </c>
      <c r="F1023" s="28" t="s">
        <v>545</v>
      </c>
      <c r="G1023" s="28" t="s">
        <v>531</v>
      </c>
      <c r="H1023" s="28" t="s">
        <v>564</v>
      </c>
      <c r="I1023" s="30"/>
      <c r="J1023" s="30"/>
      <c r="K1023" s="31">
        <v>22432.91</v>
      </c>
      <c r="L1023" s="31">
        <v>92575</v>
      </c>
      <c r="M1023" s="31">
        <v>70135</v>
      </c>
      <c r="N1023" s="32">
        <v>-0.757678530920875</v>
      </c>
      <c r="O1023" s="32">
        <v>-0.68014671704569796</v>
      </c>
      <c r="P1023" s="30"/>
      <c r="Q1023" s="31">
        <v>175.257109375</v>
      </c>
    </row>
    <row r="1024" spans="1:17" ht="15" customHeight="1" x14ac:dyDescent="0.2">
      <c r="A1024" s="17" t="s">
        <v>239</v>
      </c>
      <c r="B1024" s="18" t="s">
        <v>148</v>
      </c>
      <c r="C1024" s="18" t="s">
        <v>180</v>
      </c>
      <c r="D1024" s="20">
        <v>92</v>
      </c>
      <c r="E1024" s="17" t="s">
        <v>563</v>
      </c>
      <c r="F1024" s="19" t="s">
        <v>545</v>
      </c>
      <c r="G1024" s="19" t="s">
        <v>531</v>
      </c>
      <c r="H1024" s="19" t="s">
        <v>564</v>
      </c>
      <c r="I1024" s="21"/>
      <c r="J1024" s="21"/>
      <c r="K1024" s="22">
        <v>7233.3</v>
      </c>
      <c r="L1024" s="22">
        <v>6000</v>
      </c>
      <c r="M1024" s="22">
        <v>6000</v>
      </c>
      <c r="N1024" s="23">
        <v>0.20555000000000001</v>
      </c>
      <c r="O1024" s="23">
        <v>0.20555000000000001</v>
      </c>
      <c r="P1024" s="21"/>
      <c r="Q1024" s="22">
        <v>78.622826086956493</v>
      </c>
    </row>
    <row r="1025" spans="1:17" ht="15" customHeight="1" x14ac:dyDescent="0.2">
      <c r="A1025" s="26" t="s">
        <v>249</v>
      </c>
      <c r="B1025" s="27" t="s">
        <v>148</v>
      </c>
      <c r="C1025" s="27" t="s">
        <v>180</v>
      </c>
      <c r="D1025" s="29">
        <v>122</v>
      </c>
      <c r="E1025" s="26" t="s">
        <v>563</v>
      </c>
      <c r="F1025" s="28" t="s">
        <v>545</v>
      </c>
      <c r="G1025" s="28" t="s">
        <v>531</v>
      </c>
      <c r="H1025" s="28" t="s">
        <v>564</v>
      </c>
      <c r="I1025" s="30"/>
      <c r="J1025" s="30"/>
      <c r="K1025" s="31">
        <v>24688.69</v>
      </c>
      <c r="L1025" s="31">
        <v>102185</v>
      </c>
      <c r="M1025" s="31">
        <v>32687</v>
      </c>
      <c r="N1025" s="32">
        <v>-0.75839222977932197</v>
      </c>
      <c r="O1025" s="32">
        <v>-0.24469391501208401</v>
      </c>
      <c r="P1025" s="30"/>
      <c r="Q1025" s="31">
        <v>202.36631147540999</v>
      </c>
    </row>
    <row r="1026" spans="1:17" ht="15" customHeight="1" x14ac:dyDescent="0.2">
      <c r="A1026" s="17" t="s">
        <v>254</v>
      </c>
      <c r="B1026" s="18" t="s">
        <v>148</v>
      </c>
      <c r="C1026" s="18" t="s">
        <v>180</v>
      </c>
      <c r="D1026" s="20">
        <v>80</v>
      </c>
      <c r="E1026" s="17" t="s">
        <v>563</v>
      </c>
      <c r="F1026" s="19" t="s">
        <v>545</v>
      </c>
      <c r="G1026" s="19" t="s">
        <v>531</v>
      </c>
      <c r="H1026" s="19" t="s">
        <v>564</v>
      </c>
      <c r="I1026" s="21"/>
      <c r="J1026" s="21"/>
      <c r="K1026" s="22">
        <v>13768.11</v>
      </c>
      <c r="L1026" s="22">
        <v>59460</v>
      </c>
      <c r="M1026" s="22">
        <v>59760</v>
      </c>
      <c r="N1026" s="23">
        <v>-0.76844752774974801</v>
      </c>
      <c r="O1026" s="23">
        <v>-0.76960993975903602</v>
      </c>
      <c r="P1026" s="21"/>
      <c r="Q1026" s="22">
        <v>172.10137499999999</v>
      </c>
    </row>
    <row r="1027" spans="1:17" ht="15" customHeight="1" x14ac:dyDescent="0.2">
      <c r="A1027" s="26" t="s">
        <v>263</v>
      </c>
      <c r="B1027" s="27" t="s">
        <v>148</v>
      </c>
      <c r="C1027" s="27" t="s">
        <v>180</v>
      </c>
      <c r="D1027" s="29">
        <v>55</v>
      </c>
      <c r="E1027" s="26" t="s">
        <v>563</v>
      </c>
      <c r="F1027" s="28" t="s">
        <v>545</v>
      </c>
      <c r="G1027" s="28" t="s">
        <v>531</v>
      </c>
      <c r="H1027" s="28" t="s">
        <v>564</v>
      </c>
      <c r="I1027" s="30"/>
      <c r="J1027" s="30"/>
      <c r="K1027" s="31">
        <v>15297.78</v>
      </c>
      <c r="L1027" s="31">
        <v>28770</v>
      </c>
      <c r="M1027" s="31">
        <v>28770</v>
      </c>
      <c r="N1027" s="32">
        <v>-0.46827320125130301</v>
      </c>
      <c r="O1027" s="32">
        <v>-0.46827320125130301</v>
      </c>
      <c r="P1027" s="30"/>
      <c r="Q1027" s="31">
        <v>278.14145454545502</v>
      </c>
    </row>
    <row r="1028" spans="1:17" ht="15" customHeight="1" x14ac:dyDescent="0.2">
      <c r="A1028" s="17" t="s">
        <v>266</v>
      </c>
      <c r="B1028" s="18" t="s">
        <v>148</v>
      </c>
      <c r="C1028" s="18" t="s">
        <v>267</v>
      </c>
      <c r="D1028" s="20">
        <v>108</v>
      </c>
      <c r="E1028" s="17" t="s">
        <v>563</v>
      </c>
      <c r="F1028" s="19" t="s">
        <v>545</v>
      </c>
      <c r="G1028" s="19" t="s">
        <v>531</v>
      </c>
      <c r="H1028" s="19" t="s">
        <v>564</v>
      </c>
      <c r="I1028" s="21"/>
      <c r="J1028" s="21"/>
      <c r="K1028" s="22">
        <v>19825.43</v>
      </c>
      <c r="L1028" s="22">
        <v>22500</v>
      </c>
      <c r="M1028" s="22">
        <v>22500</v>
      </c>
      <c r="N1028" s="23">
        <v>-0.118869777777778</v>
      </c>
      <c r="O1028" s="23">
        <v>-0.118869777777778</v>
      </c>
      <c r="P1028" s="21"/>
      <c r="Q1028" s="22">
        <v>183.568796296296</v>
      </c>
    </row>
    <row r="1029" spans="1:17" ht="15" customHeight="1" x14ac:dyDescent="0.2">
      <c r="A1029" s="26" t="s">
        <v>270</v>
      </c>
      <c r="B1029" s="27" t="s">
        <v>148</v>
      </c>
      <c r="C1029" s="27" t="s">
        <v>267</v>
      </c>
      <c r="D1029" s="29">
        <v>75</v>
      </c>
      <c r="E1029" s="26" t="s">
        <v>563</v>
      </c>
      <c r="F1029" s="28" t="s">
        <v>545</v>
      </c>
      <c r="G1029" s="28" t="s">
        <v>531</v>
      </c>
      <c r="H1029" s="28" t="s">
        <v>564</v>
      </c>
      <c r="I1029" s="30"/>
      <c r="J1029" s="30"/>
      <c r="K1029" s="31">
        <v>16059.71</v>
      </c>
      <c r="L1029" s="31">
        <v>38400</v>
      </c>
      <c r="M1029" s="31">
        <v>38653</v>
      </c>
      <c r="N1029" s="32">
        <v>-0.58177838541666704</v>
      </c>
      <c r="O1029" s="32">
        <v>-0.58451582024681104</v>
      </c>
      <c r="P1029" s="30"/>
      <c r="Q1029" s="31">
        <v>214.12946666666701</v>
      </c>
    </row>
    <row r="1030" spans="1:17" ht="15" customHeight="1" x14ac:dyDescent="0.2">
      <c r="A1030" s="17" t="s">
        <v>272</v>
      </c>
      <c r="B1030" s="18" t="s">
        <v>148</v>
      </c>
      <c r="C1030" s="18" t="s">
        <v>267</v>
      </c>
      <c r="D1030" s="20">
        <v>89</v>
      </c>
      <c r="E1030" s="17" t="s">
        <v>563</v>
      </c>
      <c r="F1030" s="19" t="s">
        <v>545</v>
      </c>
      <c r="G1030" s="19" t="s">
        <v>531</v>
      </c>
      <c r="H1030" s="19" t="s">
        <v>564</v>
      </c>
      <c r="I1030" s="21"/>
      <c r="J1030" s="21"/>
      <c r="K1030" s="22">
        <v>12806.38</v>
      </c>
      <c r="L1030" s="22">
        <v>30800</v>
      </c>
      <c r="M1030" s="22">
        <v>33306</v>
      </c>
      <c r="N1030" s="23">
        <v>-0.58420844155844198</v>
      </c>
      <c r="O1030" s="23">
        <v>-0.61549330450969797</v>
      </c>
      <c r="P1030" s="21"/>
      <c r="Q1030" s="22">
        <v>143.89191011235999</v>
      </c>
    </row>
    <row r="1031" spans="1:17" ht="15" customHeight="1" x14ac:dyDescent="0.2">
      <c r="A1031" s="26" t="s">
        <v>275</v>
      </c>
      <c r="B1031" s="27" t="s">
        <v>148</v>
      </c>
      <c r="C1031" s="27" t="s">
        <v>267</v>
      </c>
      <c r="D1031" s="29">
        <v>78</v>
      </c>
      <c r="E1031" s="26" t="s">
        <v>563</v>
      </c>
      <c r="F1031" s="28" t="s">
        <v>545</v>
      </c>
      <c r="G1031" s="28" t="s">
        <v>531</v>
      </c>
      <c r="H1031" s="28" t="s">
        <v>564</v>
      </c>
      <c r="I1031" s="30"/>
      <c r="J1031" s="30"/>
      <c r="K1031" s="31">
        <v>15511.19</v>
      </c>
      <c r="L1031" s="31">
        <v>12500</v>
      </c>
      <c r="M1031" s="31">
        <v>12500</v>
      </c>
      <c r="N1031" s="32">
        <v>0.2408952</v>
      </c>
      <c r="O1031" s="32">
        <v>0.2408952</v>
      </c>
      <c r="P1031" s="30"/>
      <c r="Q1031" s="31">
        <v>198.86141025641001</v>
      </c>
    </row>
    <row r="1032" spans="1:17" ht="15" customHeight="1" x14ac:dyDescent="0.2">
      <c r="A1032" s="17" t="s">
        <v>277</v>
      </c>
      <c r="B1032" s="18" t="s">
        <v>148</v>
      </c>
      <c r="C1032" s="18" t="s">
        <v>267</v>
      </c>
      <c r="D1032" s="20">
        <v>158</v>
      </c>
      <c r="E1032" s="17" t="s">
        <v>563</v>
      </c>
      <c r="F1032" s="19" t="s">
        <v>545</v>
      </c>
      <c r="G1032" s="19" t="s">
        <v>531</v>
      </c>
      <c r="H1032" s="19" t="s">
        <v>564</v>
      </c>
      <c r="I1032" s="21"/>
      <c r="J1032" s="21"/>
      <c r="K1032" s="22">
        <v>7101</v>
      </c>
      <c r="L1032" s="22">
        <v>7000</v>
      </c>
      <c r="M1032" s="22">
        <v>10000</v>
      </c>
      <c r="N1032" s="23">
        <v>1.44285714285714E-2</v>
      </c>
      <c r="O1032" s="23">
        <v>-0.28989999999999999</v>
      </c>
      <c r="P1032" s="21"/>
      <c r="Q1032" s="22">
        <v>44.943037974683499</v>
      </c>
    </row>
    <row r="1033" spans="1:17" ht="15" customHeight="1" x14ac:dyDescent="0.2">
      <c r="A1033" s="26" t="s">
        <v>280</v>
      </c>
      <c r="B1033" s="27" t="s">
        <v>148</v>
      </c>
      <c r="C1033" s="27" t="s">
        <v>267</v>
      </c>
      <c r="D1033" s="29">
        <v>110</v>
      </c>
      <c r="E1033" s="26" t="s">
        <v>563</v>
      </c>
      <c r="F1033" s="28" t="s">
        <v>545</v>
      </c>
      <c r="G1033" s="28" t="s">
        <v>531</v>
      </c>
      <c r="H1033" s="28" t="s">
        <v>564</v>
      </c>
      <c r="I1033" s="30"/>
      <c r="J1033" s="30"/>
      <c r="K1033" s="31">
        <v>24087.86</v>
      </c>
      <c r="L1033" s="31">
        <v>13750</v>
      </c>
      <c r="M1033" s="31">
        <v>15250</v>
      </c>
      <c r="N1033" s="32">
        <v>0.75184436363636398</v>
      </c>
      <c r="O1033" s="32">
        <v>0.57953180327868903</v>
      </c>
      <c r="P1033" s="30"/>
      <c r="Q1033" s="31">
        <v>218.98054545454499</v>
      </c>
    </row>
    <row r="1034" spans="1:17" ht="15" customHeight="1" x14ac:dyDescent="0.2">
      <c r="A1034" s="17" t="s">
        <v>282</v>
      </c>
      <c r="B1034" s="18" t="s">
        <v>148</v>
      </c>
      <c r="C1034" s="18" t="s">
        <v>267</v>
      </c>
      <c r="D1034" s="20">
        <v>70</v>
      </c>
      <c r="E1034" s="17" t="s">
        <v>563</v>
      </c>
      <c r="F1034" s="19" t="s">
        <v>545</v>
      </c>
      <c r="G1034" s="19" t="s">
        <v>531</v>
      </c>
      <c r="H1034" s="19" t="s">
        <v>564</v>
      </c>
      <c r="I1034" s="21"/>
      <c r="J1034" s="21"/>
      <c r="K1034" s="22"/>
      <c r="L1034" s="22"/>
      <c r="M1034" s="22"/>
      <c r="N1034" s="23"/>
      <c r="O1034" s="23"/>
      <c r="P1034" s="21"/>
      <c r="Q1034" s="22"/>
    </row>
    <row r="1035" spans="1:17" ht="15" customHeight="1" x14ac:dyDescent="0.2">
      <c r="A1035" s="26" t="s">
        <v>285</v>
      </c>
      <c r="B1035" s="27" t="s">
        <v>148</v>
      </c>
      <c r="C1035" s="27" t="s">
        <v>267</v>
      </c>
      <c r="D1035" s="29">
        <v>296</v>
      </c>
      <c r="E1035" s="26" t="s">
        <v>563</v>
      </c>
      <c r="F1035" s="28" t="s">
        <v>545</v>
      </c>
      <c r="G1035" s="28" t="s">
        <v>531</v>
      </c>
      <c r="H1035" s="28" t="s">
        <v>564</v>
      </c>
      <c r="I1035" s="30"/>
      <c r="J1035" s="30"/>
      <c r="K1035" s="31">
        <v>27383.35</v>
      </c>
      <c r="L1035" s="31">
        <v>33200</v>
      </c>
      <c r="M1035" s="31">
        <v>33500</v>
      </c>
      <c r="N1035" s="32">
        <v>-0.175200301204819</v>
      </c>
      <c r="O1035" s="32">
        <v>-0.18258656716417901</v>
      </c>
      <c r="P1035" s="30"/>
      <c r="Q1035" s="31">
        <v>92.511317567567602</v>
      </c>
    </row>
    <row r="1036" spans="1:17" ht="15" customHeight="1" x14ac:dyDescent="0.2">
      <c r="A1036" s="17" t="s">
        <v>286</v>
      </c>
      <c r="B1036" s="18" t="s">
        <v>148</v>
      </c>
      <c r="C1036" s="18" t="s">
        <v>267</v>
      </c>
      <c r="D1036" s="20">
        <v>50</v>
      </c>
      <c r="E1036" s="17" t="s">
        <v>563</v>
      </c>
      <c r="F1036" s="19" t="s">
        <v>545</v>
      </c>
      <c r="G1036" s="19" t="s">
        <v>531</v>
      </c>
      <c r="H1036" s="19" t="s">
        <v>564</v>
      </c>
      <c r="I1036" s="21"/>
      <c r="J1036" s="21"/>
      <c r="K1036" s="22">
        <v>10877.78</v>
      </c>
      <c r="L1036" s="22">
        <v>13500</v>
      </c>
      <c r="M1036" s="22">
        <v>13500</v>
      </c>
      <c r="N1036" s="23">
        <v>-0.194238518518519</v>
      </c>
      <c r="O1036" s="23">
        <v>-0.194238518518519</v>
      </c>
      <c r="P1036" s="21"/>
      <c r="Q1036" s="22">
        <v>217.5556</v>
      </c>
    </row>
    <row r="1037" spans="1:17" ht="15" customHeight="1" x14ac:dyDescent="0.2">
      <c r="A1037" s="26" t="s">
        <v>287</v>
      </c>
      <c r="B1037" s="27" t="s">
        <v>148</v>
      </c>
      <c r="C1037" s="27" t="s">
        <v>267</v>
      </c>
      <c r="D1037" s="29">
        <v>163</v>
      </c>
      <c r="E1037" s="26" t="s">
        <v>563</v>
      </c>
      <c r="F1037" s="28" t="s">
        <v>545</v>
      </c>
      <c r="G1037" s="28" t="s">
        <v>531</v>
      </c>
      <c r="H1037" s="28" t="s">
        <v>564</v>
      </c>
      <c r="I1037" s="30"/>
      <c r="J1037" s="30"/>
      <c r="K1037" s="31">
        <v>20399.37</v>
      </c>
      <c r="L1037" s="31">
        <v>20400</v>
      </c>
      <c r="M1037" s="31">
        <v>20400</v>
      </c>
      <c r="N1037" s="32">
        <v>-3.0882352941226402E-5</v>
      </c>
      <c r="O1037" s="32">
        <v>-3.0882352941226402E-5</v>
      </c>
      <c r="P1037" s="30"/>
      <c r="Q1037" s="31">
        <v>125.149509202454</v>
      </c>
    </row>
    <row r="1038" spans="1:17" ht="15" customHeight="1" x14ac:dyDescent="0.2">
      <c r="A1038" s="17" t="s">
        <v>289</v>
      </c>
      <c r="B1038" s="18" t="s">
        <v>148</v>
      </c>
      <c r="C1038" s="18" t="s">
        <v>267</v>
      </c>
      <c r="D1038" s="20">
        <v>107</v>
      </c>
      <c r="E1038" s="17" t="s">
        <v>563</v>
      </c>
      <c r="F1038" s="19" t="s">
        <v>545</v>
      </c>
      <c r="G1038" s="19" t="s">
        <v>531</v>
      </c>
      <c r="H1038" s="19" t="s">
        <v>564</v>
      </c>
      <c r="I1038" s="21"/>
      <c r="J1038" s="21"/>
      <c r="K1038" s="22">
        <v>15179.21</v>
      </c>
      <c r="L1038" s="22">
        <v>20000</v>
      </c>
      <c r="M1038" s="22">
        <v>22000</v>
      </c>
      <c r="N1038" s="23">
        <v>-0.24103949999999999</v>
      </c>
      <c r="O1038" s="23">
        <v>-0.310035909090909</v>
      </c>
      <c r="P1038" s="21"/>
      <c r="Q1038" s="22">
        <v>141.861775700935</v>
      </c>
    </row>
    <row r="1039" spans="1:17" ht="15" customHeight="1" x14ac:dyDescent="0.2">
      <c r="A1039" s="26" t="s">
        <v>292</v>
      </c>
      <c r="B1039" s="27" t="s">
        <v>148</v>
      </c>
      <c r="C1039" s="27" t="s">
        <v>267</v>
      </c>
      <c r="D1039" s="29">
        <v>136</v>
      </c>
      <c r="E1039" s="26" t="s">
        <v>563</v>
      </c>
      <c r="F1039" s="28" t="s">
        <v>545</v>
      </c>
      <c r="G1039" s="28" t="s">
        <v>531</v>
      </c>
      <c r="H1039" s="28" t="s">
        <v>564</v>
      </c>
      <c r="I1039" s="30"/>
      <c r="J1039" s="30"/>
      <c r="K1039" s="31">
        <v>20788.7</v>
      </c>
      <c r="L1039" s="31">
        <v>44000</v>
      </c>
      <c r="M1039" s="31">
        <v>44000</v>
      </c>
      <c r="N1039" s="32">
        <v>-0.527529545454545</v>
      </c>
      <c r="O1039" s="32">
        <v>-0.527529545454545</v>
      </c>
      <c r="P1039" s="30"/>
      <c r="Q1039" s="31">
        <v>152.85808823529399</v>
      </c>
    </row>
    <row r="1040" spans="1:17" ht="15" customHeight="1" x14ac:dyDescent="0.2">
      <c r="A1040" s="17" t="s">
        <v>295</v>
      </c>
      <c r="B1040" s="18" t="s">
        <v>148</v>
      </c>
      <c r="C1040" s="18" t="s">
        <v>267</v>
      </c>
      <c r="D1040" s="20">
        <v>68</v>
      </c>
      <c r="E1040" s="17" t="s">
        <v>563</v>
      </c>
      <c r="F1040" s="19" t="s">
        <v>545</v>
      </c>
      <c r="G1040" s="19" t="s">
        <v>531</v>
      </c>
      <c r="H1040" s="19" t="s">
        <v>564</v>
      </c>
      <c r="I1040" s="21"/>
      <c r="J1040" s="21"/>
      <c r="K1040" s="22">
        <v>22105.439999999999</v>
      </c>
      <c r="L1040" s="22">
        <v>12500</v>
      </c>
      <c r="M1040" s="22">
        <v>12500</v>
      </c>
      <c r="N1040" s="23">
        <v>0.76843519999999998</v>
      </c>
      <c r="O1040" s="23">
        <v>0.76843519999999998</v>
      </c>
      <c r="P1040" s="21"/>
      <c r="Q1040" s="22">
        <v>325.08</v>
      </c>
    </row>
    <row r="1041" spans="1:17" ht="15" customHeight="1" x14ac:dyDescent="0.2">
      <c r="A1041" s="26" t="s">
        <v>298</v>
      </c>
      <c r="B1041" s="27" t="s">
        <v>148</v>
      </c>
      <c r="C1041" s="27" t="s">
        <v>267</v>
      </c>
      <c r="D1041" s="29">
        <v>98</v>
      </c>
      <c r="E1041" s="26" t="s">
        <v>563</v>
      </c>
      <c r="F1041" s="28" t="s">
        <v>545</v>
      </c>
      <c r="G1041" s="28" t="s">
        <v>531</v>
      </c>
      <c r="H1041" s="28" t="s">
        <v>564</v>
      </c>
      <c r="I1041" s="30"/>
      <c r="J1041" s="30"/>
      <c r="K1041" s="31">
        <v>29539.9</v>
      </c>
      <c r="L1041" s="31">
        <v>16250</v>
      </c>
      <c r="M1041" s="31">
        <v>16250</v>
      </c>
      <c r="N1041" s="32">
        <v>0.81784000000000001</v>
      </c>
      <c r="O1041" s="32">
        <v>0.81784000000000001</v>
      </c>
      <c r="P1041" s="30"/>
      <c r="Q1041" s="31">
        <v>301.42755102040798</v>
      </c>
    </row>
    <row r="1042" spans="1:17" ht="15" customHeight="1" x14ac:dyDescent="0.2">
      <c r="A1042" s="17" t="s">
        <v>300</v>
      </c>
      <c r="B1042" s="18" t="s">
        <v>148</v>
      </c>
      <c r="C1042" s="18" t="s">
        <v>267</v>
      </c>
      <c r="D1042" s="20">
        <v>321</v>
      </c>
      <c r="E1042" s="17" t="s">
        <v>563</v>
      </c>
      <c r="F1042" s="19" t="s">
        <v>545</v>
      </c>
      <c r="G1042" s="19" t="s">
        <v>531</v>
      </c>
      <c r="H1042" s="19" t="s">
        <v>564</v>
      </c>
      <c r="I1042" s="21"/>
      <c r="J1042" s="21"/>
      <c r="K1042" s="22">
        <v>79516.100000000006</v>
      </c>
      <c r="L1042" s="22">
        <v>94000</v>
      </c>
      <c r="M1042" s="22">
        <v>94000</v>
      </c>
      <c r="N1042" s="23">
        <v>-0.154084042553191</v>
      </c>
      <c r="O1042" s="23">
        <v>-0.154084042553191</v>
      </c>
      <c r="P1042" s="21"/>
      <c r="Q1042" s="22">
        <v>247.71370716510901</v>
      </c>
    </row>
    <row r="1043" spans="1:17" ht="15" customHeight="1" x14ac:dyDescent="0.2">
      <c r="A1043" s="26" t="s">
        <v>302</v>
      </c>
      <c r="B1043" s="27" t="s">
        <v>148</v>
      </c>
      <c r="C1043" s="27" t="s">
        <v>267</v>
      </c>
      <c r="D1043" s="29">
        <v>111</v>
      </c>
      <c r="E1043" s="26" t="s">
        <v>563</v>
      </c>
      <c r="F1043" s="28" t="s">
        <v>545</v>
      </c>
      <c r="G1043" s="28" t="s">
        <v>531</v>
      </c>
      <c r="H1043" s="28" t="s">
        <v>564</v>
      </c>
      <c r="I1043" s="30"/>
      <c r="J1043" s="30"/>
      <c r="K1043" s="31">
        <v>7324.66</v>
      </c>
      <c r="L1043" s="31">
        <v>7000</v>
      </c>
      <c r="M1043" s="31">
        <v>7200</v>
      </c>
      <c r="N1043" s="32">
        <v>4.6379999999999998E-2</v>
      </c>
      <c r="O1043" s="32">
        <v>1.7313888888888899E-2</v>
      </c>
      <c r="P1043" s="30"/>
      <c r="Q1043" s="31">
        <v>65.987927927927899</v>
      </c>
    </row>
    <row r="1044" spans="1:17" ht="15" customHeight="1" x14ac:dyDescent="0.2">
      <c r="A1044" s="17" t="s">
        <v>304</v>
      </c>
      <c r="B1044" s="18" t="s">
        <v>148</v>
      </c>
      <c r="C1044" s="18" t="s">
        <v>267</v>
      </c>
      <c r="D1044" s="20">
        <v>77</v>
      </c>
      <c r="E1044" s="17" t="s">
        <v>563</v>
      </c>
      <c r="F1044" s="19" t="s">
        <v>545</v>
      </c>
      <c r="G1044" s="19" t="s">
        <v>531</v>
      </c>
      <c r="H1044" s="19" t="s">
        <v>564</v>
      </c>
      <c r="I1044" s="21"/>
      <c r="J1044" s="21"/>
      <c r="K1044" s="22">
        <v>17680.02</v>
      </c>
      <c r="L1044" s="22">
        <v>15000</v>
      </c>
      <c r="M1044" s="22">
        <v>15000</v>
      </c>
      <c r="N1044" s="23">
        <v>0.17866799999999999</v>
      </c>
      <c r="O1044" s="23">
        <v>0.17866799999999999</v>
      </c>
      <c r="P1044" s="21"/>
      <c r="Q1044" s="22">
        <v>229.610649350649</v>
      </c>
    </row>
    <row r="1045" spans="1:17" ht="15" customHeight="1" x14ac:dyDescent="0.2">
      <c r="A1045" s="26" t="s">
        <v>306</v>
      </c>
      <c r="B1045" s="27" t="s">
        <v>148</v>
      </c>
      <c r="C1045" s="27" t="s">
        <v>267</v>
      </c>
      <c r="D1045" s="29">
        <v>365</v>
      </c>
      <c r="E1045" s="26" t="s">
        <v>563</v>
      </c>
      <c r="F1045" s="28" t="s">
        <v>545</v>
      </c>
      <c r="G1045" s="28" t="s">
        <v>531</v>
      </c>
      <c r="H1045" s="28" t="s">
        <v>564</v>
      </c>
      <c r="I1045" s="30"/>
      <c r="J1045" s="30"/>
      <c r="K1045" s="31">
        <v>7790.2</v>
      </c>
      <c r="L1045" s="31">
        <v>21500</v>
      </c>
      <c r="M1045" s="31">
        <v>21500</v>
      </c>
      <c r="N1045" s="32">
        <v>-0.63766511627906997</v>
      </c>
      <c r="O1045" s="32">
        <v>-0.63766511627906997</v>
      </c>
      <c r="P1045" s="30"/>
      <c r="Q1045" s="31">
        <v>21.343013698630099</v>
      </c>
    </row>
    <row r="1046" spans="1:17" ht="15" customHeight="1" x14ac:dyDescent="0.2">
      <c r="A1046" s="17" t="s">
        <v>309</v>
      </c>
      <c r="B1046" s="18" t="s">
        <v>148</v>
      </c>
      <c r="C1046" s="18" t="s">
        <v>267</v>
      </c>
      <c r="D1046" s="20">
        <v>270</v>
      </c>
      <c r="E1046" s="17" t="s">
        <v>563</v>
      </c>
      <c r="F1046" s="19" t="s">
        <v>545</v>
      </c>
      <c r="G1046" s="19" t="s">
        <v>531</v>
      </c>
      <c r="H1046" s="19" t="s">
        <v>564</v>
      </c>
      <c r="I1046" s="21"/>
      <c r="J1046" s="21"/>
      <c r="K1046" s="22">
        <v>69474.91</v>
      </c>
      <c r="L1046" s="22">
        <v>40000</v>
      </c>
      <c r="M1046" s="22">
        <v>40000</v>
      </c>
      <c r="N1046" s="23">
        <v>0.73687274999999997</v>
      </c>
      <c r="O1046" s="23">
        <v>0.73687274999999997</v>
      </c>
      <c r="P1046" s="21"/>
      <c r="Q1046" s="22">
        <v>257.31448148148201</v>
      </c>
    </row>
    <row r="1047" spans="1:17" ht="15" customHeight="1" x14ac:dyDescent="0.2">
      <c r="A1047" s="35" t="s">
        <v>312</v>
      </c>
      <c r="B1047" s="36" t="s">
        <v>313</v>
      </c>
      <c r="C1047" s="36" t="s">
        <v>267</v>
      </c>
      <c r="D1047" s="38">
        <v>170</v>
      </c>
      <c r="E1047" s="35" t="s">
        <v>563</v>
      </c>
      <c r="F1047" s="37" t="s">
        <v>545</v>
      </c>
      <c r="G1047" s="37" t="s">
        <v>531</v>
      </c>
      <c r="H1047" s="37" t="s">
        <v>564</v>
      </c>
      <c r="I1047" s="39"/>
      <c r="J1047" s="39"/>
      <c r="K1047" s="40">
        <v>58031.73</v>
      </c>
      <c r="L1047" s="40">
        <v>71500</v>
      </c>
      <c r="M1047" s="40">
        <v>71500</v>
      </c>
      <c r="N1047" s="41">
        <v>-0.18836741258741299</v>
      </c>
      <c r="O1047" s="41">
        <v>-0.18836741258741299</v>
      </c>
      <c r="P1047" s="39"/>
      <c r="Q1047" s="40">
        <v>341.36311764705903</v>
      </c>
    </row>
    <row r="1048" spans="1:17" ht="15" customHeight="1" x14ac:dyDescent="0.2">
      <c r="A1048" s="35" t="s">
        <v>316</v>
      </c>
      <c r="B1048" s="36" t="s">
        <v>313</v>
      </c>
      <c r="C1048" s="36" t="s">
        <v>267</v>
      </c>
      <c r="D1048" s="38">
        <v>234</v>
      </c>
      <c r="E1048" s="35" t="s">
        <v>563</v>
      </c>
      <c r="F1048" s="37" t="s">
        <v>545</v>
      </c>
      <c r="G1048" s="37" t="s">
        <v>531</v>
      </c>
      <c r="H1048" s="37" t="s">
        <v>564</v>
      </c>
      <c r="I1048" s="39"/>
      <c r="J1048" s="39"/>
      <c r="K1048" s="40">
        <v>71241.58</v>
      </c>
      <c r="L1048" s="40">
        <v>102300</v>
      </c>
      <c r="M1048" s="40">
        <v>109400</v>
      </c>
      <c r="N1048" s="41">
        <v>-0.30360136852394898</v>
      </c>
      <c r="O1048" s="41">
        <v>-0.34879725776965298</v>
      </c>
      <c r="P1048" s="39"/>
      <c r="Q1048" s="40">
        <v>304.451196581197</v>
      </c>
    </row>
    <row r="1049" spans="1:17" ht="15" customHeight="1" x14ac:dyDescent="0.2">
      <c r="A1049" s="35" t="s">
        <v>319</v>
      </c>
      <c r="B1049" s="36" t="s">
        <v>313</v>
      </c>
      <c r="C1049" s="36" t="s">
        <v>267</v>
      </c>
      <c r="D1049" s="38">
        <v>24</v>
      </c>
      <c r="E1049" s="35" t="s">
        <v>563</v>
      </c>
      <c r="F1049" s="37" t="s">
        <v>545</v>
      </c>
      <c r="G1049" s="37" t="s">
        <v>531</v>
      </c>
      <c r="H1049" s="37" t="s">
        <v>564</v>
      </c>
      <c r="I1049" s="39"/>
      <c r="J1049" s="39"/>
      <c r="K1049" s="40">
        <v>28522.36</v>
      </c>
      <c r="L1049" s="40">
        <v>44400</v>
      </c>
      <c r="M1049" s="40">
        <v>44400</v>
      </c>
      <c r="N1049" s="41">
        <v>-0.35760450450450498</v>
      </c>
      <c r="O1049" s="41">
        <v>-0.35760450450450498</v>
      </c>
      <c r="P1049" s="39"/>
      <c r="Q1049" s="40">
        <v>1188.43166666667</v>
      </c>
    </row>
    <row r="1050" spans="1:17" ht="15" customHeight="1" x14ac:dyDescent="0.2">
      <c r="A1050" s="35" t="s">
        <v>327</v>
      </c>
      <c r="B1050" s="36" t="s">
        <v>313</v>
      </c>
      <c r="C1050" s="36" t="s">
        <v>267</v>
      </c>
      <c r="D1050" s="38">
        <v>244</v>
      </c>
      <c r="E1050" s="35" t="s">
        <v>563</v>
      </c>
      <c r="F1050" s="37" t="s">
        <v>545</v>
      </c>
      <c r="G1050" s="37" t="s">
        <v>531</v>
      </c>
      <c r="H1050" s="37" t="s">
        <v>564</v>
      </c>
      <c r="I1050" s="39"/>
      <c r="J1050" s="39"/>
      <c r="K1050" s="40">
        <v>82317.36</v>
      </c>
      <c r="L1050" s="40">
        <v>126000</v>
      </c>
      <c r="M1050" s="40">
        <v>125800</v>
      </c>
      <c r="N1050" s="41">
        <v>-0.34668761904761902</v>
      </c>
      <c r="O1050" s="41">
        <v>-0.345648966613673</v>
      </c>
      <c r="P1050" s="39"/>
      <c r="Q1050" s="40">
        <v>337.36622950819702</v>
      </c>
    </row>
    <row r="1051" spans="1:17" ht="15" customHeight="1" x14ac:dyDescent="0.2">
      <c r="A1051" s="26" t="s">
        <v>179</v>
      </c>
      <c r="B1051" s="27" t="s">
        <v>148</v>
      </c>
      <c r="C1051" s="27" t="s">
        <v>180</v>
      </c>
      <c r="D1051" s="29">
        <v>209</v>
      </c>
      <c r="E1051" s="26" t="s">
        <v>565</v>
      </c>
      <c r="F1051" s="28" t="s">
        <v>545</v>
      </c>
      <c r="G1051" s="28" t="s">
        <v>534</v>
      </c>
      <c r="H1051" s="28" t="s">
        <v>566</v>
      </c>
      <c r="I1051" s="30"/>
      <c r="J1051" s="30"/>
      <c r="K1051" s="31">
        <v>182.88</v>
      </c>
      <c r="L1051" s="31"/>
      <c r="M1051" s="31"/>
      <c r="N1051" s="32"/>
      <c r="O1051" s="32"/>
      <c r="P1051" s="30"/>
      <c r="Q1051" s="31">
        <v>0.87502392344497604</v>
      </c>
    </row>
    <row r="1052" spans="1:17" ht="15" customHeight="1" x14ac:dyDescent="0.2">
      <c r="A1052" s="17" t="s">
        <v>185</v>
      </c>
      <c r="B1052" s="18" t="s">
        <v>148</v>
      </c>
      <c r="C1052" s="18" t="s">
        <v>180</v>
      </c>
      <c r="D1052" s="20">
        <v>117</v>
      </c>
      <c r="E1052" s="17" t="s">
        <v>565</v>
      </c>
      <c r="F1052" s="19" t="s">
        <v>545</v>
      </c>
      <c r="G1052" s="19" t="s">
        <v>534</v>
      </c>
      <c r="H1052" s="19" t="s">
        <v>566</v>
      </c>
      <c r="I1052" s="21"/>
      <c r="J1052" s="21"/>
      <c r="K1052" s="22">
        <v>1704</v>
      </c>
      <c r="L1052" s="22"/>
      <c r="M1052" s="22">
        <v>45</v>
      </c>
      <c r="N1052" s="23"/>
      <c r="O1052" s="23">
        <v>36.866666666666703</v>
      </c>
      <c r="P1052" s="21"/>
      <c r="Q1052" s="22">
        <v>14.564102564102599</v>
      </c>
    </row>
    <row r="1053" spans="1:17" ht="15" customHeight="1" x14ac:dyDescent="0.2">
      <c r="A1053" s="26" t="s">
        <v>195</v>
      </c>
      <c r="B1053" s="27" t="s">
        <v>148</v>
      </c>
      <c r="C1053" s="27" t="s">
        <v>180</v>
      </c>
      <c r="D1053" s="29">
        <v>49</v>
      </c>
      <c r="E1053" s="26" t="s">
        <v>565</v>
      </c>
      <c r="F1053" s="28" t="s">
        <v>545</v>
      </c>
      <c r="G1053" s="28" t="s">
        <v>534</v>
      </c>
      <c r="H1053" s="28" t="s">
        <v>566</v>
      </c>
      <c r="I1053" s="30"/>
      <c r="J1053" s="30"/>
      <c r="K1053" s="31">
        <v>27.08</v>
      </c>
      <c r="L1053" s="31"/>
      <c r="M1053" s="31"/>
      <c r="N1053" s="32"/>
      <c r="O1053" s="32"/>
      <c r="P1053" s="30"/>
      <c r="Q1053" s="31">
        <v>0.55265306122448998</v>
      </c>
    </row>
    <row r="1054" spans="1:17" ht="15" customHeight="1" x14ac:dyDescent="0.2">
      <c r="A1054" s="17" t="s">
        <v>201</v>
      </c>
      <c r="B1054" s="18" t="s">
        <v>148</v>
      </c>
      <c r="C1054" s="18" t="s">
        <v>180</v>
      </c>
      <c r="D1054" s="20">
        <v>170</v>
      </c>
      <c r="E1054" s="17" t="s">
        <v>565</v>
      </c>
      <c r="F1054" s="19" t="s">
        <v>545</v>
      </c>
      <c r="G1054" s="19" t="s">
        <v>534</v>
      </c>
      <c r="H1054" s="19" t="s">
        <v>566</v>
      </c>
      <c r="I1054" s="21"/>
      <c r="J1054" s="21"/>
      <c r="K1054" s="22">
        <v>15.84</v>
      </c>
      <c r="L1054" s="22"/>
      <c r="M1054" s="22"/>
      <c r="N1054" s="23"/>
      <c r="O1054" s="23"/>
      <c r="P1054" s="21"/>
      <c r="Q1054" s="22">
        <v>9.3176470588235305E-2</v>
      </c>
    </row>
    <row r="1055" spans="1:17" ht="15" customHeight="1" x14ac:dyDescent="0.2">
      <c r="A1055" s="26" t="s">
        <v>205</v>
      </c>
      <c r="B1055" s="27" t="s">
        <v>148</v>
      </c>
      <c r="C1055" s="27" t="s">
        <v>180</v>
      </c>
      <c r="D1055" s="29">
        <v>296</v>
      </c>
      <c r="E1055" s="26" t="s">
        <v>565</v>
      </c>
      <c r="F1055" s="28" t="s">
        <v>545</v>
      </c>
      <c r="G1055" s="28" t="s">
        <v>534</v>
      </c>
      <c r="H1055" s="28" t="s">
        <v>566</v>
      </c>
      <c r="I1055" s="30"/>
      <c r="J1055" s="30"/>
      <c r="K1055" s="31">
        <v>38.65</v>
      </c>
      <c r="L1055" s="31"/>
      <c r="M1055" s="31"/>
      <c r="N1055" s="32"/>
      <c r="O1055" s="32"/>
      <c r="P1055" s="30"/>
      <c r="Q1055" s="31">
        <v>0.130574324324324</v>
      </c>
    </row>
    <row r="1056" spans="1:17" ht="15" customHeight="1" x14ac:dyDescent="0.2">
      <c r="A1056" s="17" t="s">
        <v>210</v>
      </c>
      <c r="B1056" s="18" t="s">
        <v>148</v>
      </c>
      <c r="C1056" s="18" t="s">
        <v>180</v>
      </c>
      <c r="D1056" s="20">
        <v>83</v>
      </c>
      <c r="E1056" s="17" t="s">
        <v>565</v>
      </c>
      <c r="F1056" s="19" t="s">
        <v>545</v>
      </c>
      <c r="G1056" s="19" t="s">
        <v>534</v>
      </c>
      <c r="H1056" s="19" t="s">
        <v>566</v>
      </c>
      <c r="I1056" s="21"/>
      <c r="J1056" s="21"/>
      <c r="K1056" s="22">
        <v>13.2</v>
      </c>
      <c r="L1056" s="22"/>
      <c r="M1056" s="22"/>
      <c r="N1056" s="23"/>
      <c r="O1056" s="23"/>
      <c r="P1056" s="21"/>
      <c r="Q1056" s="22">
        <v>0.159036144578313</v>
      </c>
    </row>
    <row r="1057" spans="1:17" ht="15" customHeight="1" x14ac:dyDescent="0.2">
      <c r="A1057" s="26" t="s">
        <v>214</v>
      </c>
      <c r="B1057" s="27" t="s">
        <v>148</v>
      </c>
      <c r="C1057" s="27" t="s">
        <v>180</v>
      </c>
      <c r="D1057" s="29">
        <v>144</v>
      </c>
      <c r="E1057" s="26" t="s">
        <v>565</v>
      </c>
      <c r="F1057" s="28" t="s">
        <v>545</v>
      </c>
      <c r="G1057" s="28" t="s">
        <v>534</v>
      </c>
      <c r="H1057" s="28" t="s">
        <v>566</v>
      </c>
      <c r="I1057" s="30"/>
      <c r="J1057" s="30"/>
      <c r="K1057" s="31">
        <v>21.41</v>
      </c>
      <c r="L1057" s="31"/>
      <c r="M1057" s="31"/>
      <c r="N1057" s="32"/>
      <c r="O1057" s="32"/>
      <c r="P1057" s="30"/>
      <c r="Q1057" s="31">
        <v>0.14868055555555601</v>
      </c>
    </row>
    <row r="1058" spans="1:17" ht="15" customHeight="1" x14ac:dyDescent="0.2">
      <c r="A1058" s="17" t="s">
        <v>219</v>
      </c>
      <c r="B1058" s="18" t="s">
        <v>148</v>
      </c>
      <c r="C1058" s="18" t="s">
        <v>180</v>
      </c>
      <c r="D1058" s="20">
        <v>398</v>
      </c>
      <c r="E1058" s="17" t="s">
        <v>565</v>
      </c>
      <c r="F1058" s="19" t="s">
        <v>545</v>
      </c>
      <c r="G1058" s="19" t="s">
        <v>534</v>
      </c>
      <c r="H1058" s="19" t="s">
        <v>566</v>
      </c>
      <c r="I1058" s="21"/>
      <c r="J1058" s="21"/>
      <c r="K1058" s="22">
        <v>6.64</v>
      </c>
      <c r="L1058" s="22"/>
      <c r="M1058" s="22"/>
      <c r="N1058" s="23"/>
      <c r="O1058" s="23"/>
      <c r="P1058" s="21"/>
      <c r="Q1058" s="22">
        <v>1.6683417085427098E-2</v>
      </c>
    </row>
    <row r="1059" spans="1:17" ht="15" customHeight="1" x14ac:dyDescent="0.2">
      <c r="A1059" s="26" t="s">
        <v>224</v>
      </c>
      <c r="B1059" s="27" t="s">
        <v>148</v>
      </c>
      <c r="C1059" s="27" t="s">
        <v>180</v>
      </c>
      <c r="D1059" s="29">
        <v>71</v>
      </c>
      <c r="E1059" s="26" t="s">
        <v>565</v>
      </c>
      <c r="F1059" s="28" t="s">
        <v>545</v>
      </c>
      <c r="G1059" s="28" t="s">
        <v>534</v>
      </c>
      <c r="H1059" s="28" t="s">
        <v>566</v>
      </c>
      <c r="I1059" s="30"/>
      <c r="J1059" s="30"/>
      <c r="K1059" s="31"/>
      <c r="L1059" s="31"/>
      <c r="M1059" s="31"/>
      <c r="N1059" s="32"/>
      <c r="O1059" s="32"/>
      <c r="P1059" s="30"/>
      <c r="Q1059" s="31"/>
    </row>
    <row r="1060" spans="1:17" ht="15" customHeight="1" x14ac:dyDescent="0.2">
      <c r="A1060" s="17" t="s">
        <v>230</v>
      </c>
      <c r="B1060" s="18" t="s">
        <v>148</v>
      </c>
      <c r="C1060" s="18" t="s">
        <v>180</v>
      </c>
      <c r="D1060" s="20">
        <v>139</v>
      </c>
      <c r="E1060" s="17" t="s">
        <v>565</v>
      </c>
      <c r="F1060" s="19" t="s">
        <v>545</v>
      </c>
      <c r="G1060" s="19" t="s">
        <v>534</v>
      </c>
      <c r="H1060" s="19" t="s">
        <v>566</v>
      </c>
      <c r="I1060" s="21"/>
      <c r="J1060" s="21"/>
      <c r="K1060" s="22">
        <v>3093.95</v>
      </c>
      <c r="L1060" s="22"/>
      <c r="M1060" s="22">
        <v>2294</v>
      </c>
      <c r="N1060" s="23"/>
      <c r="O1060" s="23">
        <v>0.34871403661726202</v>
      </c>
      <c r="P1060" s="21"/>
      <c r="Q1060" s="22">
        <v>22.258633093525201</v>
      </c>
    </row>
    <row r="1061" spans="1:17" ht="15" customHeight="1" x14ac:dyDescent="0.2">
      <c r="A1061" s="26" t="s">
        <v>236</v>
      </c>
      <c r="B1061" s="27" t="s">
        <v>148</v>
      </c>
      <c r="C1061" s="27" t="s">
        <v>180</v>
      </c>
      <c r="D1061" s="29">
        <v>128</v>
      </c>
      <c r="E1061" s="26" t="s">
        <v>565</v>
      </c>
      <c r="F1061" s="28" t="s">
        <v>545</v>
      </c>
      <c r="G1061" s="28" t="s">
        <v>534</v>
      </c>
      <c r="H1061" s="28" t="s">
        <v>566</v>
      </c>
      <c r="I1061" s="30"/>
      <c r="J1061" s="30"/>
      <c r="K1061" s="31">
        <v>2280.11</v>
      </c>
      <c r="L1061" s="31"/>
      <c r="M1061" s="31">
        <v>2868</v>
      </c>
      <c r="N1061" s="32"/>
      <c r="O1061" s="32">
        <v>-0.204982566248257</v>
      </c>
      <c r="P1061" s="30"/>
      <c r="Q1061" s="31">
        <v>17.813359375000001</v>
      </c>
    </row>
    <row r="1062" spans="1:17" ht="15" customHeight="1" x14ac:dyDescent="0.2">
      <c r="A1062" s="17" t="s">
        <v>239</v>
      </c>
      <c r="B1062" s="18" t="s">
        <v>148</v>
      </c>
      <c r="C1062" s="18" t="s">
        <v>180</v>
      </c>
      <c r="D1062" s="20">
        <v>92</v>
      </c>
      <c r="E1062" s="17" t="s">
        <v>565</v>
      </c>
      <c r="F1062" s="19" t="s">
        <v>545</v>
      </c>
      <c r="G1062" s="19" t="s">
        <v>534</v>
      </c>
      <c r="H1062" s="19" t="s">
        <v>566</v>
      </c>
      <c r="I1062" s="21"/>
      <c r="J1062" s="21"/>
      <c r="K1062" s="22">
        <v>121.8</v>
      </c>
      <c r="L1062" s="22"/>
      <c r="M1062" s="22"/>
      <c r="N1062" s="23"/>
      <c r="O1062" s="23"/>
      <c r="P1062" s="21"/>
      <c r="Q1062" s="22">
        <v>1.32391304347826</v>
      </c>
    </row>
    <row r="1063" spans="1:17" ht="15" customHeight="1" x14ac:dyDescent="0.2">
      <c r="A1063" s="26" t="s">
        <v>249</v>
      </c>
      <c r="B1063" s="27" t="s">
        <v>148</v>
      </c>
      <c r="C1063" s="27" t="s">
        <v>180</v>
      </c>
      <c r="D1063" s="29">
        <v>122</v>
      </c>
      <c r="E1063" s="26" t="s">
        <v>565</v>
      </c>
      <c r="F1063" s="28" t="s">
        <v>545</v>
      </c>
      <c r="G1063" s="28" t="s">
        <v>534</v>
      </c>
      <c r="H1063" s="28" t="s">
        <v>566</v>
      </c>
      <c r="I1063" s="30"/>
      <c r="J1063" s="30"/>
      <c r="K1063" s="31">
        <v>106.54</v>
      </c>
      <c r="L1063" s="31"/>
      <c r="M1063" s="31"/>
      <c r="N1063" s="32"/>
      <c r="O1063" s="32"/>
      <c r="P1063" s="30"/>
      <c r="Q1063" s="31">
        <v>0.87327868852459001</v>
      </c>
    </row>
    <row r="1064" spans="1:17" ht="15" customHeight="1" x14ac:dyDescent="0.2">
      <c r="A1064" s="17" t="s">
        <v>254</v>
      </c>
      <c r="B1064" s="18" t="s">
        <v>148</v>
      </c>
      <c r="C1064" s="18" t="s">
        <v>180</v>
      </c>
      <c r="D1064" s="20">
        <v>80</v>
      </c>
      <c r="E1064" s="17" t="s">
        <v>565</v>
      </c>
      <c r="F1064" s="19" t="s">
        <v>545</v>
      </c>
      <c r="G1064" s="19" t="s">
        <v>534</v>
      </c>
      <c r="H1064" s="19" t="s">
        <v>566</v>
      </c>
      <c r="I1064" s="21"/>
      <c r="J1064" s="21"/>
      <c r="K1064" s="22">
        <v>258.5</v>
      </c>
      <c r="L1064" s="22"/>
      <c r="M1064" s="22"/>
      <c r="N1064" s="23"/>
      <c r="O1064" s="23"/>
      <c r="P1064" s="21"/>
      <c r="Q1064" s="22">
        <v>3.2312500000000002</v>
      </c>
    </row>
    <row r="1065" spans="1:17" ht="15" customHeight="1" x14ac:dyDescent="0.2">
      <c r="A1065" s="26" t="s">
        <v>263</v>
      </c>
      <c r="B1065" s="27" t="s">
        <v>148</v>
      </c>
      <c r="C1065" s="27" t="s">
        <v>180</v>
      </c>
      <c r="D1065" s="29">
        <v>55</v>
      </c>
      <c r="E1065" s="26" t="s">
        <v>565</v>
      </c>
      <c r="F1065" s="28" t="s">
        <v>545</v>
      </c>
      <c r="G1065" s="28" t="s">
        <v>534</v>
      </c>
      <c r="H1065" s="28" t="s">
        <v>566</v>
      </c>
      <c r="I1065" s="30"/>
      <c r="J1065" s="30"/>
      <c r="K1065" s="31">
        <v>7.2</v>
      </c>
      <c r="L1065" s="31"/>
      <c r="M1065" s="31"/>
      <c r="N1065" s="32"/>
      <c r="O1065" s="32"/>
      <c r="P1065" s="30"/>
      <c r="Q1065" s="31">
        <v>0.130909090909091</v>
      </c>
    </row>
    <row r="1066" spans="1:17" ht="15" customHeight="1" x14ac:dyDescent="0.2">
      <c r="A1066" s="17" t="s">
        <v>266</v>
      </c>
      <c r="B1066" s="18" t="s">
        <v>148</v>
      </c>
      <c r="C1066" s="18" t="s">
        <v>267</v>
      </c>
      <c r="D1066" s="20">
        <v>108</v>
      </c>
      <c r="E1066" s="17" t="s">
        <v>565</v>
      </c>
      <c r="F1066" s="19" t="s">
        <v>545</v>
      </c>
      <c r="G1066" s="19" t="s">
        <v>534</v>
      </c>
      <c r="H1066" s="19" t="s">
        <v>566</v>
      </c>
      <c r="I1066" s="21"/>
      <c r="J1066" s="21"/>
      <c r="K1066" s="22"/>
      <c r="L1066" s="22"/>
      <c r="M1066" s="22"/>
      <c r="N1066" s="23"/>
      <c r="O1066" s="23"/>
      <c r="P1066" s="21"/>
      <c r="Q1066" s="22"/>
    </row>
    <row r="1067" spans="1:17" ht="15" customHeight="1" x14ac:dyDescent="0.2">
      <c r="A1067" s="26" t="s">
        <v>270</v>
      </c>
      <c r="B1067" s="27" t="s">
        <v>148</v>
      </c>
      <c r="C1067" s="27" t="s">
        <v>267</v>
      </c>
      <c r="D1067" s="29">
        <v>75</v>
      </c>
      <c r="E1067" s="26" t="s">
        <v>565</v>
      </c>
      <c r="F1067" s="28" t="s">
        <v>545</v>
      </c>
      <c r="G1067" s="28" t="s">
        <v>534</v>
      </c>
      <c r="H1067" s="28" t="s">
        <v>566</v>
      </c>
      <c r="I1067" s="30"/>
      <c r="J1067" s="30"/>
      <c r="K1067" s="31">
        <v>91.07</v>
      </c>
      <c r="L1067" s="31"/>
      <c r="M1067" s="31"/>
      <c r="N1067" s="32"/>
      <c r="O1067" s="32"/>
      <c r="P1067" s="30"/>
      <c r="Q1067" s="31">
        <v>1.2142666666666699</v>
      </c>
    </row>
    <row r="1068" spans="1:17" ht="15" customHeight="1" x14ac:dyDescent="0.2">
      <c r="A1068" s="17" t="s">
        <v>272</v>
      </c>
      <c r="B1068" s="18" t="s">
        <v>148</v>
      </c>
      <c r="C1068" s="18" t="s">
        <v>267</v>
      </c>
      <c r="D1068" s="20">
        <v>89</v>
      </c>
      <c r="E1068" s="17" t="s">
        <v>565</v>
      </c>
      <c r="F1068" s="19" t="s">
        <v>545</v>
      </c>
      <c r="G1068" s="19" t="s">
        <v>534</v>
      </c>
      <c r="H1068" s="19" t="s">
        <v>566</v>
      </c>
      <c r="I1068" s="21"/>
      <c r="J1068" s="21"/>
      <c r="K1068" s="22">
        <v>1275</v>
      </c>
      <c r="L1068" s="22"/>
      <c r="M1068" s="22"/>
      <c r="N1068" s="23"/>
      <c r="O1068" s="23"/>
      <c r="P1068" s="21"/>
      <c r="Q1068" s="22">
        <v>14.3258426966292</v>
      </c>
    </row>
    <row r="1069" spans="1:17" ht="15" customHeight="1" x14ac:dyDescent="0.2">
      <c r="A1069" s="26" t="s">
        <v>275</v>
      </c>
      <c r="B1069" s="27" t="s">
        <v>148</v>
      </c>
      <c r="C1069" s="27" t="s">
        <v>267</v>
      </c>
      <c r="D1069" s="29">
        <v>78</v>
      </c>
      <c r="E1069" s="26" t="s">
        <v>565</v>
      </c>
      <c r="F1069" s="28" t="s">
        <v>545</v>
      </c>
      <c r="G1069" s="28" t="s">
        <v>534</v>
      </c>
      <c r="H1069" s="28" t="s">
        <v>566</v>
      </c>
      <c r="I1069" s="30"/>
      <c r="J1069" s="30"/>
      <c r="K1069" s="31"/>
      <c r="L1069" s="31"/>
      <c r="M1069" s="31"/>
      <c r="N1069" s="32"/>
      <c r="O1069" s="32"/>
      <c r="P1069" s="30"/>
      <c r="Q1069" s="31"/>
    </row>
    <row r="1070" spans="1:17" ht="15" customHeight="1" x14ac:dyDescent="0.2">
      <c r="A1070" s="17" t="s">
        <v>277</v>
      </c>
      <c r="B1070" s="18" t="s">
        <v>148</v>
      </c>
      <c r="C1070" s="18" t="s">
        <v>267</v>
      </c>
      <c r="D1070" s="20">
        <v>158</v>
      </c>
      <c r="E1070" s="17" t="s">
        <v>565</v>
      </c>
      <c r="F1070" s="19" t="s">
        <v>545</v>
      </c>
      <c r="G1070" s="19" t="s">
        <v>534</v>
      </c>
      <c r="H1070" s="19" t="s">
        <v>566</v>
      </c>
      <c r="I1070" s="21"/>
      <c r="J1070" s="21"/>
      <c r="K1070" s="22"/>
      <c r="L1070" s="22"/>
      <c r="M1070" s="22"/>
      <c r="N1070" s="23"/>
      <c r="O1070" s="23"/>
      <c r="P1070" s="21"/>
      <c r="Q1070" s="22"/>
    </row>
    <row r="1071" spans="1:17" ht="15" customHeight="1" x14ac:dyDescent="0.2">
      <c r="A1071" s="26" t="s">
        <v>285</v>
      </c>
      <c r="B1071" s="27" t="s">
        <v>148</v>
      </c>
      <c r="C1071" s="27" t="s">
        <v>267</v>
      </c>
      <c r="D1071" s="29">
        <v>296</v>
      </c>
      <c r="E1071" s="26" t="s">
        <v>565</v>
      </c>
      <c r="F1071" s="28" t="s">
        <v>545</v>
      </c>
      <c r="G1071" s="28" t="s">
        <v>534</v>
      </c>
      <c r="H1071" s="28" t="s">
        <v>566</v>
      </c>
      <c r="I1071" s="30"/>
      <c r="J1071" s="30"/>
      <c r="K1071" s="31"/>
      <c r="L1071" s="31"/>
      <c r="M1071" s="31"/>
      <c r="N1071" s="32"/>
      <c r="O1071" s="32"/>
      <c r="P1071" s="30"/>
      <c r="Q1071" s="31"/>
    </row>
    <row r="1072" spans="1:17" ht="15" customHeight="1" x14ac:dyDescent="0.2">
      <c r="A1072" s="17" t="s">
        <v>286</v>
      </c>
      <c r="B1072" s="18" t="s">
        <v>148</v>
      </c>
      <c r="C1072" s="18" t="s">
        <v>267</v>
      </c>
      <c r="D1072" s="20">
        <v>50</v>
      </c>
      <c r="E1072" s="17" t="s">
        <v>565</v>
      </c>
      <c r="F1072" s="19" t="s">
        <v>545</v>
      </c>
      <c r="G1072" s="19" t="s">
        <v>534</v>
      </c>
      <c r="H1072" s="19" t="s">
        <v>566</v>
      </c>
      <c r="I1072" s="21"/>
      <c r="J1072" s="21"/>
      <c r="K1072" s="22">
        <v>2.16</v>
      </c>
      <c r="L1072" s="22"/>
      <c r="M1072" s="22"/>
      <c r="N1072" s="23"/>
      <c r="O1072" s="23"/>
      <c r="P1072" s="21"/>
      <c r="Q1072" s="22">
        <v>4.3200000000000002E-2</v>
      </c>
    </row>
    <row r="1073" spans="1:17" ht="15" customHeight="1" x14ac:dyDescent="0.2">
      <c r="A1073" s="26" t="s">
        <v>287</v>
      </c>
      <c r="B1073" s="27" t="s">
        <v>148</v>
      </c>
      <c r="C1073" s="27" t="s">
        <v>267</v>
      </c>
      <c r="D1073" s="29">
        <v>163</v>
      </c>
      <c r="E1073" s="26" t="s">
        <v>565</v>
      </c>
      <c r="F1073" s="28" t="s">
        <v>545</v>
      </c>
      <c r="G1073" s="28" t="s">
        <v>534</v>
      </c>
      <c r="H1073" s="28" t="s">
        <v>566</v>
      </c>
      <c r="I1073" s="30"/>
      <c r="J1073" s="30"/>
      <c r="K1073" s="31"/>
      <c r="L1073" s="31"/>
      <c r="M1073" s="31"/>
      <c r="N1073" s="32"/>
      <c r="O1073" s="32"/>
      <c r="P1073" s="30"/>
      <c r="Q1073" s="31"/>
    </row>
    <row r="1074" spans="1:17" ht="15" customHeight="1" x14ac:dyDescent="0.2">
      <c r="A1074" s="17" t="s">
        <v>292</v>
      </c>
      <c r="B1074" s="18" t="s">
        <v>148</v>
      </c>
      <c r="C1074" s="18" t="s">
        <v>267</v>
      </c>
      <c r="D1074" s="20">
        <v>136</v>
      </c>
      <c r="E1074" s="17" t="s">
        <v>565</v>
      </c>
      <c r="F1074" s="19" t="s">
        <v>545</v>
      </c>
      <c r="G1074" s="19" t="s">
        <v>534</v>
      </c>
      <c r="H1074" s="19" t="s">
        <v>566</v>
      </c>
      <c r="I1074" s="21"/>
      <c r="J1074" s="21"/>
      <c r="K1074" s="22"/>
      <c r="L1074" s="22"/>
      <c r="M1074" s="22"/>
      <c r="N1074" s="23"/>
      <c r="O1074" s="23"/>
      <c r="P1074" s="21"/>
      <c r="Q1074" s="22"/>
    </row>
    <row r="1075" spans="1:17" ht="15" customHeight="1" x14ac:dyDescent="0.2">
      <c r="A1075" s="26" t="s">
        <v>302</v>
      </c>
      <c r="B1075" s="27" t="s">
        <v>148</v>
      </c>
      <c r="C1075" s="27" t="s">
        <v>267</v>
      </c>
      <c r="D1075" s="29">
        <v>111</v>
      </c>
      <c r="E1075" s="26" t="s">
        <v>565</v>
      </c>
      <c r="F1075" s="28" t="s">
        <v>545</v>
      </c>
      <c r="G1075" s="28" t="s">
        <v>534</v>
      </c>
      <c r="H1075" s="28" t="s">
        <v>566</v>
      </c>
      <c r="I1075" s="30"/>
      <c r="J1075" s="30"/>
      <c r="K1075" s="31"/>
      <c r="L1075" s="31"/>
      <c r="M1075" s="31"/>
      <c r="N1075" s="32"/>
      <c r="O1075" s="32"/>
      <c r="P1075" s="30"/>
      <c r="Q1075" s="31"/>
    </row>
    <row r="1076" spans="1:17" ht="15" customHeight="1" x14ac:dyDescent="0.2">
      <c r="A1076" s="17" t="s">
        <v>159</v>
      </c>
      <c r="B1076" s="18" t="s">
        <v>148</v>
      </c>
      <c r="C1076" s="18" t="s">
        <v>149</v>
      </c>
      <c r="D1076" s="20">
        <v>117</v>
      </c>
      <c r="E1076" s="17" t="s">
        <v>567</v>
      </c>
      <c r="F1076" s="19" t="s">
        <v>545</v>
      </c>
      <c r="G1076" s="19" t="s">
        <v>568</v>
      </c>
      <c r="H1076" s="19" t="s">
        <v>569</v>
      </c>
      <c r="I1076" s="21"/>
      <c r="J1076" s="21"/>
      <c r="K1076" s="22"/>
      <c r="L1076" s="22"/>
      <c r="M1076" s="22"/>
      <c r="N1076" s="23"/>
      <c r="O1076" s="23"/>
      <c r="P1076" s="21"/>
      <c r="Q1076" s="22"/>
    </row>
    <row r="1077" spans="1:17" ht="15" customHeight="1" x14ac:dyDescent="0.2">
      <c r="A1077" s="26" t="s">
        <v>171</v>
      </c>
      <c r="B1077" s="27" t="s">
        <v>148</v>
      </c>
      <c r="C1077" s="27" t="s">
        <v>149</v>
      </c>
      <c r="D1077" s="29">
        <v>211</v>
      </c>
      <c r="E1077" s="26" t="s">
        <v>567</v>
      </c>
      <c r="F1077" s="28" t="s">
        <v>545</v>
      </c>
      <c r="G1077" s="28" t="s">
        <v>568</v>
      </c>
      <c r="H1077" s="28" t="s">
        <v>569</v>
      </c>
      <c r="I1077" s="30"/>
      <c r="J1077" s="30"/>
      <c r="K1077" s="31"/>
      <c r="L1077" s="31"/>
      <c r="M1077" s="31"/>
      <c r="N1077" s="32"/>
      <c r="O1077" s="32"/>
      <c r="P1077" s="30"/>
      <c r="Q1077" s="31"/>
    </row>
    <row r="1078" spans="1:17" ht="15" customHeight="1" x14ac:dyDescent="0.2">
      <c r="A1078" s="17" t="s">
        <v>175</v>
      </c>
      <c r="B1078" s="18" t="s">
        <v>148</v>
      </c>
      <c r="C1078" s="18" t="s">
        <v>149</v>
      </c>
      <c r="D1078" s="20">
        <v>136</v>
      </c>
      <c r="E1078" s="17" t="s">
        <v>567</v>
      </c>
      <c r="F1078" s="19" t="s">
        <v>545</v>
      </c>
      <c r="G1078" s="19" t="s">
        <v>568</v>
      </c>
      <c r="H1078" s="19" t="s">
        <v>569</v>
      </c>
      <c r="I1078" s="21"/>
      <c r="J1078" s="21"/>
      <c r="K1078" s="22">
        <v>133.04</v>
      </c>
      <c r="L1078" s="22"/>
      <c r="M1078" s="22"/>
      <c r="N1078" s="23"/>
      <c r="O1078" s="23"/>
      <c r="P1078" s="21"/>
      <c r="Q1078" s="22">
        <v>0.97823529411764698</v>
      </c>
    </row>
    <row r="1079" spans="1:17" ht="15" customHeight="1" x14ac:dyDescent="0.2">
      <c r="A1079" s="26" t="s">
        <v>179</v>
      </c>
      <c r="B1079" s="27" t="s">
        <v>148</v>
      </c>
      <c r="C1079" s="27" t="s">
        <v>180</v>
      </c>
      <c r="D1079" s="29">
        <v>209</v>
      </c>
      <c r="E1079" s="26" t="s">
        <v>567</v>
      </c>
      <c r="F1079" s="28" t="s">
        <v>545</v>
      </c>
      <c r="G1079" s="28" t="s">
        <v>568</v>
      </c>
      <c r="H1079" s="28" t="s">
        <v>569</v>
      </c>
      <c r="I1079" s="30"/>
      <c r="J1079" s="30"/>
      <c r="K1079" s="31">
        <v>654.39</v>
      </c>
      <c r="L1079" s="31"/>
      <c r="M1079" s="31"/>
      <c r="N1079" s="32"/>
      <c r="O1079" s="32"/>
      <c r="P1079" s="30"/>
      <c r="Q1079" s="31">
        <v>3.13105263157895</v>
      </c>
    </row>
    <row r="1080" spans="1:17" ht="15" customHeight="1" x14ac:dyDescent="0.2">
      <c r="A1080" s="17" t="s">
        <v>195</v>
      </c>
      <c r="B1080" s="18" t="s">
        <v>148</v>
      </c>
      <c r="C1080" s="18" t="s">
        <v>180</v>
      </c>
      <c r="D1080" s="20">
        <v>49</v>
      </c>
      <c r="E1080" s="17" t="s">
        <v>567</v>
      </c>
      <c r="F1080" s="19" t="s">
        <v>545</v>
      </c>
      <c r="G1080" s="19" t="s">
        <v>568</v>
      </c>
      <c r="H1080" s="19" t="s">
        <v>569</v>
      </c>
      <c r="I1080" s="21"/>
      <c r="J1080" s="21"/>
      <c r="K1080" s="22">
        <v>178.63</v>
      </c>
      <c r="L1080" s="22"/>
      <c r="M1080" s="22"/>
      <c r="N1080" s="23"/>
      <c r="O1080" s="23"/>
      <c r="P1080" s="21"/>
      <c r="Q1080" s="22">
        <v>3.6455102040816301</v>
      </c>
    </row>
    <row r="1081" spans="1:17" ht="15" customHeight="1" x14ac:dyDescent="0.2">
      <c r="A1081" s="26" t="s">
        <v>152</v>
      </c>
      <c r="B1081" s="27" t="s">
        <v>148</v>
      </c>
      <c r="C1081" s="27" t="s">
        <v>149</v>
      </c>
      <c r="D1081" s="29">
        <v>258</v>
      </c>
      <c r="E1081" s="26" t="s">
        <v>570</v>
      </c>
      <c r="F1081" s="28" t="s">
        <v>545</v>
      </c>
      <c r="G1081" s="28" t="s">
        <v>522</v>
      </c>
      <c r="H1081" s="28" t="s">
        <v>571</v>
      </c>
      <c r="I1081" s="30"/>
      <c r="J1081" s="30"/>
      <c r="K1081" s="31">
        <v>536.61</v>
      </c>
      <c r="L1081" s="31">
        <v>2600</v>
      </c>
      <c r="M1081" s="31">
        <v>2600</v>
      </c>
      <c r="N1081" s="32">
        <v>-0.79361153846153798</v>
      </c>
      <c r="O1081" s="32">
        <v>-0.79361153846153798</v>
      </c>
      <c r="P1081" s="30"/>
      <c r="Q1081" s="31">
        <v>2.0798837209302299</v>
      </c>
    </row>
    <row r="1082" spans="1:17" ht="15" customHeight="1" x14ac:dyDescent="0.2">
      <c r="A1082" s="17" t="s">
        <v>154</v>
      </c>
      <c r="B1082" s="18" t="s">
        <v>148</v>
      </c>
      <c r="C1082" s="18" t="s">
        <v>149</v>
      </c>
      <c r="D1082" s="20">
        <v>56</v>
      </c>
      <c r="E1082" s="17" t="s">
        <v>570</v>
      </c>
      <c r="F1082" s="19" t="s">
        <v>545</v>
      </c>
      <c r="G1082" s="19" t="s">
        <v>522</v>
      </c>
      <c r="H1082" s="19" t="s">
        <v>571</v>
      </c>
      <c r="I1082" s="21"/>
      <c r="J1082" s="21"/>
      <c r="K1082" s="22"/>
      <c r="L1082" s="22"/>
      <c r="M1082" s="22"/>
      <c r="N1082" s="23"/>
      <c r="O1082" s="23"/>
      <c r="P1082" s="21"/>
      <c r="Q1082" s="22"/>
    </row>
    <row r="1083" spans="1:17" ht="15" customHeight="1" x14ac:dyDescent="0.2">
      <c r="A1083" s="26" t="s">
        <v>157</v>
      </c>
      <c r="B1083" s="27" t="s">
        <v>148</v>
      </c>
      <c r="C1083" s="27" t="s">
        <v>149</v>
      </c>
      <c r="D1083" s="29">
        <v>149</v>
      </c>
      <c r="E1083" s="26" t="s">
        <v>570</v>
      </c>
      <c r="F1083" s="28" t="s">
        <v>545</v>
      </c>
      <c r="G1083" s="28" t="s">
        <v>522</v>
      </c>
      <c r="H1083" s="28" t="s">
        <v>571</v>
      </c>
      <c r="I1083" s="30"/>
      <c r="J1083" s="30"/>
      <c r="K1083" s="31">
        <v>647.45000000000005</v>
      </c>
      <c r="L1083" s="31"/>
      <c r="M1083" s="31"/>
      <c r="N1083" s="32"/>
      <c r="O1083" s="32"/>
      <c r="P1083" s="30"/>
      <c r="Q1083" s="31">
        <v>4.3453020134228204</v>
      </c>
    </row>
    <row r="1084" spans="1:17" ht="15" customHeight="1" x14ac:dyDescent="0.2">
      <c r="A1084" s="17" t="s">
        <v>159</v>
      </c>
      <c r="B1084" s="18" t="s">
        <v>148</v>
      </c>
      <c r="C1084" s="18" t="s">
        <v>149</v>
      </c>
      <c r="D1084" s="20">
        <v>117</v>
      </c>
      <c r="E1084" s="17" t="s">
        <v>570</v>
      </c>
      <c r="F1084" s="19" t="s">
        <v>545</v>
      </c>
      <c r="G1084" s="19" t="s">
        <v>522</v>
      </c>
      <c r="H1084" s="19" t="s">
        <v>571</v>
      </c>
      <c r="I1084" s="21"/>
      <c r="J1084" s="21"/>
      <c r="K1084" s="22">
        <v>884.62</v>
      </c>
      <c r="L1084" s="22"/>
      <c r="M1084" s="22"/>
      <c r="N1084" s="23"/>
      <c r="O1084" s="23"/>
      <c r="P1084" s="21"/>
      <c r="Q1084" s="22">
        <v>7.5608547008546996</v>
      </c>
    </row>
    <row r="1085" spans="1:17" ht="15" customHeight="1" x14ac:dyDescent="0.2">
      <c r="A1085" s="26" t="s">
        <v>161</v>
      </c>
      <c r="B1085" s="27" t="s">
        <v>148</v>
      </c>
      <c r="C1085" s="27" t="s">
        <v>149</v>
      </c>
      <c r="D1085" s="29">
        <v>162</v>
      </c>
      <c r="E1085" s="26" t="s">
        <v>570</v>
      </c>
      <c r="F1085" s="28" t="s">
        <v>545</v>
      </c>
      <c r="G1085" s="28" t="s">
        <v>522</v>
      </c>
      <c r="H1085" s="28" t="s">
        <v>571</v>
      </c>
      <c r="I1085" s="30"/>
      <c r="J1085" s="30"/>
      <c r="K1085" s="31">
        <v>2278.9899999999998</v>
      </c>
      <c r="L1085" s="31"/>
      <c r="M1085" s="31"/>
      <c r="N1085" s="32"/>
      <c r="O1085" s="32"/>
      <c r="P1085" s="30"/>
      <c r="Q1085" s="31">
        <v>14.067839506172801</v>
      </c>
    </row>
    <row r="1086" spans="1:17" ht="15" customHeight="1" x14ac:dyDescent="0.2">
      <c r="A1086" s="17" t="s">
        <v>169</v>
      </c>
      <c r="B1086" s="18" t="s">
        <v>148</v>
      </c>
      <c r="C1086" s="18" t="s">
        <v>149</v>
      </c>
      <c r="D1086" s="20">
        <v>211</v>
      </c>
      <c r="E1086" s="17" t="s">
        <v>570</v>
      </c>
      <c r="F1086" s="19" t="s">
        <v>545</v>
      </c>
      <c r="G1086" s="19" t="s">
        <v>522</v>
      </c>
      <c r="H1086" s="19" t="s">
        <v>571</v>
      </c>
      <c r="I1086" s="21"/>
      <c r="J1086" s="21"/>
      <c r="K1086" s="22">
        <v>653.01</v>
      </c>
      <c r="L1086" s="22"/>
      <c r="M1086" s="22"/>
      <c r="N1086" s="23"/>
      <c r="O1086" s="23"/>
      <c r="P1086" s="21"/>
      <c r="Q1086" s="22">
        <v>3.0948341232227499</v>
      </c>
    </row>
    <row r="1087" spans="1:17" ht="15" customHeight="1" x14ac:dyDescent="0.2">
      <c r="A1087" s="35" t="s">
        <v>312</v>
      </c>
      <c r="B1087" s="36" t="s">
        <v>313</v>
      </c>
      <c r="C1087" s="36" t="s">
        <v>267</v>
      </c>
      <c r="D1087" s="38">
        <v>170</v>
      </c>
      <c r="E1087" s="35" t="s">
        <v>633</v>
      </c>
      <c r="F1087" s="37" t="s">
        <v>545</v>
      </c>
      <c r="G1087" s="37" t="s">
        <v>573</v>
      </c>
      <c r="H1087" s="37" t="s">
        <v>634</v>
      </c>
      <c r="I1087" s="39"/>
      <c r="J1087" s="39"/>
      <c r="K1087" s="40">
        <v>1481.84</v>
      </c>
      <c r="L1087" s="40"/>
      <c r="M1087" s="40"/>
      <c r="N1087" s="41"/>
      <c r="O1087" s="41"/>
      <c r="P1087" s="39"/>
      <c r="Q1087" s="40">
        <v>8.7167058823529402</v>
      </c>
    </row>
    <row r="1088" spans="1:17" ht="15" customHeight="1" x14ac:dyDescent="0.2">
      <c r="A1088" s="17" t="s">
        <v>289</v>
      </c>
      <c r="B1088" s="18" t="s">
        <v>148</v>
      </c>
      <c r="C1088" s="18" t="s">
        <v>267</v>
      </c>
      <c r="D1088" s="20">
        <v>107</v>
      </c>
      <c r="E1088" s="17" t="s">
        <v>572</v>
      </c>
      <c r="F1088" s="19" t="s">
        <v>545</v>
      </c>
      <c r="G1088" s="19" t="s">
        <v>573</v>
      </c>
      <c r="H1088" s="19" t="s">
        <v>574</v>
      </c>
      <c r="I1088" s="21"/>
      <c r="J1088" s="21"/>
      <c r="K1088" s="22">
        <v>81.680000000000007</v>
      </c>
      <c r="L1088" s="22"/>
      <c r="M1088" s="22"/>
      <c r="N1088" s="23"/>
      <c r="O1088" s="23"/>
      <c r="P1088" s="21"/>
      <c r="Q1088" s="22">
        <v>0.76336448598130902</v>
      </c>
    </row>
    <row r="1089" spans="1:17" ht="15" customHeight="1" x14ac:dyDescent="0.2">
      <c r="A1089" s="35" t="s">
        <v>316</v>
      </c>
      <c r="B1089" s="36" t="s">
        <v>313</v>
      </c>
      <c r="C1089" s="36" t="s">
        <v>267</v>
      </c>
      <c r="D1089" s="38">
        <v>234</v>
      </c>
      <c r="E1089" s="35" t="s">
        <v>572</v>
      </c>
      <c r="F1089" s="37" t="s">
        <v>545</v>
      </c>
      <c r="G1089" s="37" t="s">
        <v>573</v>
      </c>
      <c r="H1089" s="37" t="s">
        <v>574</v>
      </c>
      <c r="I1089" s="39"/>
      <c r="J1089" s="39"/>
      <c r="K1089" s="40"/>
      <c r="L1089" s="40"/>
      <c r="M1089" s="40"/>
      <c r="N1089" s="41"/>
      <c r="O1089" s="41"/>
      <c r="P1089" s="39"/>
      <c r="Q1089" s="40"/>
    </row>
    <row r="1090" spans="1:17" ht="15" customHeight="1" x14ac:dyDescent="0.2">
      <c r="A1090" s="35" t="s">
        <v>334</v>
      </c>
      <c r="B1090" s="36" t="s">
        <v>313</v>
      </c>
      <c r="C1090" s="36" t="s">
        <v>330</v>
      </c>
      <c r="D1090" s="38">
        <v>20</v>
      </c>
      <c r="E1090" s="35" t="s">
        <v>572</v>
      </c>
      <c r="F1090" s="37" t="s">
        <v>545</v>
      </c>
      <c r="G1090" s="37" t="s">
        <v>573</v>
      </c>
      <c r="H1090" s="37" t="s">
        <v>574</v>
      </c>
      <c r="I1090" s="39"/>
      <c r="J1090" s="39"/>
      <c r="K1090" s="40">
        <v>87.83</v>
      </c>
      <c r="L1090" s="40">
        <v>100</v>
      </c>
      <c r="M1090" s="40">
        <v>100</v>
      </c>
      <c r="N1090" s="41">
        <v>-0.1217</v>
      </c>
      <c r="O1090" s="41">
        <v>-0.1217</v>
      </c>
      <c r="P1090" s="39"/>
      <c r="Q1090" s="40">
        <v>4.3914999999999997</v>
      </c>
    </row>
    <row r="1091" spans="1:17" ht="15" customHeight="1" x14ac:dyDescent="0.2">
      <c r="A1091" s="26" t="s">
        <v>147</v>
      </c>
      <c r="B1091" s="27" t="s">
        <v>148</v>
      </c>
      <c r="C1091" s="27" t="s">
        <v>149</v>
      </c>
      <c r="D1091" s="29">
        <v>234</v>
      </c>
      <c r="E1091" s="26" t="s">
        <v>575</v>
      </c>
      <c r="F1091" s="28" t="s">
        <v>576</v>
      </c>
      <c r="G1091" s="28" t="s">
        <v>576</v>
      </c>
      <c r="H1091" s="28" t="s">
        <v>577</v>
      </c>
      <c r="I1091" s="30"/>
      <c r="J1091" s="30"/>
      <c r="K1091" s="31">
        <v>5407</v>
      </c>
      <c r="L1091" s="31">
        <v>5500</v>
      </c>
      <c r="M1091" s="31">
        <v>5500</v>
      </c>
      <c r="N1091" s="32">
        <v>-1.6909090909090901E-2</v>
      </c>
      <c r="O1091" s="32">
        <v>-1.6909090909090901E-2</v>
      </c>
      <c r="P1091" s="30"/>
      <c r="Q1091" s="31">
        <v>23.106837606837601</v>
      </c>
    </row>
    <row r="1092" spans="1:17" ht="15" customHeight="1" x14ac:dyDescent="0.2">
      <c r="A1092" s="17" t="s">
        <v>152</v>
      </c>
      <c r="B1092" s="18" t="s">
        <v>148</v>
      </c>
      <c r="C1092" s="18" t="s">
        <v>149</v>
      </c>
      <c r="D1092" s="20">
        <v>258</v>
      </c>
      <c r="E1092" s="17" t="s">
        <v>575</v>
      </c>
      <c r="F1092" s="19" t="s">
        <v>576</v>
      </c>
      <c r="G1092" s="19" t="s">
        <v>576</v>
      </c>
      <c r="H1092" s="19" t="s">
        <v>577</v>
      </c>
      <c r="I1092" s="21"/>
      <c r="J1092" s="21"/>
      <c r="K1092" s="22">
        <v>16900.64</v>
      </c>
      <c r="L1092" s="22">
        <v>7870</v>
      </c>
      <c r="M1092" s="22">
        <v>9070</v>
      </c>
      <c r="N1092" s="23">
        <v>1.1474764930114401</v>
      </c>
      <c r="O1092" s="23">
        <v>0.86335611907387</v>
      </c>
      <c r="P1092" s="21"/>
      <c r="Q1092" s="22">
        <v>65.506356589147302</v>
      </c>
    </row>
    <row r="1093" spans="1:17" ht="15" customHeight="1" x14ac:dyDescent="0.2">
      <c r="A1093" s="26" t="s">
        <v>154</v>
      </c>
      <c r="B1093" s="27" t="s">
        <v>148</v>
      </c>
      <c r="C1093" s="27" t="s">
        <v>149</v>
      </c>
      <c r="D1093" s="29">
        <v>56</v>
      </c>
      <c r="E1093" s="26" t="s">
        <v>575</v>
      </c>
      <c r="F1093" s="28" t="s">
        <v>576</v>
      </c>
      <c r="G1093" s="28" t="s">
        <v>576</v>
      </c>
      <c r="H1093" s="28" t="s">
        <v>577</v>
      </c>
      <c r="I1093" s="30"/>
      <c r="J1093" s="30"/>
      <c r="K1093" s="31">
        <v>2379</v>
      </c>
      <c r="L1093" s="31">
        <v>4800</v>
      </c>
      <c r="M1093" s="31">
        <v>4885</v>
      </c>
      <c r="N1093" s="32">
        <v>-0.50437500000000002</v>
      </c>
      <c r="O1093" s="32">
        <v>-0.51299897645854697</v>
      </c>
      <c r="P1093" s="30"/>
      <c r="Q1093" s="31">
        <v>42.482142857142897</v>
      </c>
    </row>
    <row r="1094" spans="1:17" ht="15" customHeight="1" x14ac:dyDescent="0.2">
      <c r="A1094" s="17" t="s">
        <v>157</v>
      </c>
      <c r="B1094" s="18" t="s">
        <v>148</v>
      </c>
      <c r="C1094" s="18" t="s">
        <v>149</v>
      </c>
      <c r="D1094" s="20">
        <v>149</v>
      </c>
      <c r="E1094" s="17" t="s">
        <v>575</v>
      </c>
      <c r="F1094" s="19" t="s">
        <v>576</v>
      </c>
      <c r="G1094" s="19" t="s">
        <v>576</v>
      </c>
      <c r="H1094" s="19" t="s">
        <v>577</v>
      </c>
      <c r="I1094" s="21"/>
      <c r="J1094" s="21"/>
      <c r="K1094" s="22">
        <v>1212</v>
      </c>
      <c r="L1094" s="22">
        <v>1000</v>
      </c>
      <c r="M1094" s="22">
        <v>1000</v>
      </c>
      <c r="N1094" s="23">
        <v>0.21199999999999999</v>
      </c>
      <c r="O1094" s="23">
        <v>0.21199999999999999</v>
      </c>
      <c r="P1094" s="21"/>
      <c r="Q1094" s="22">
        <v>8.1342281879194598</v>
      </c>
    </row>
    <row r="1095" spans="1:17" ht="15" customHeight="1" x14ac:dyDescent="0.2">
      <c r="A1095" s="26" t="s">
        <v>159</v>
      </c>
      <c r="B1095" s="27" t="s">
        <v>148</v>
      </c>
      <c r="C1095" s="27" t="s">
        <v>149</v>
      </c>
      <c r="D1095" s="29">
        <v>117</v>
      </c>
      <c r="E1095" s="26" t="s">
        <v>575</v>
      </c>
      <c r="F1095" s="28" t="s">
        <v>576</v>
      </c>
      <c r="G1095" s="28" t="s">
        <v>576</v>
      </c>
      <c r="H1095" s="28" t="s">
        <v>577</v>
      </c>
      <c r="I1095" s="30"/>
      <c r="J1095" s="30"/>
      <c r="K1095" s="31">
        <v>6346.07</v>
      </c>
      <c r="L1095" s="31">
        <v>10000</v>
      </c>
      <c r="M1095" s="31">
        <v>13085</v>
      </c>
      <c r="N1095" s="32">
        <v>-0.36539300000000002</v>
      </c>
      <c r="O1095" s="32">
        <v>-0.51501184562476099</v>
      </c>
      <c r="P1095" s="30"/>
      <c r="Q1095" s="31">
        <v>54.2399145299145</v>
      </c>
    </row>
    <row r="1096" spans="1:17" ht="15" customHeight="1" x14ac:dyDescent="0.2">
      <c r="A1096" s="17" t="s">
        <v>161</v>
      </c>
      <c r="B1096" s="18" t="s">
        <v>148</v>
      </c>
      <c r="C1096" s="18" t="s">
        <v>149</v>
      </c>
      <c r="D1096" s="20">
        <v>162</v>
      </c>
      <c r="E1096" s="17" t="s">
        <v>575</v>
      </c>
      <c r="F1096" s="19" t="s">
        <v>576</v>
      </c>
      <c r="G1096" s="19" t="s">
        <v>576</v>
      </c>
      <c r="H1096" s="19" t="s">
        <v>577</v>
      </c>
      <c r="I1096" s="21"/>
      <c r="J1096" s="21"/>
      <c r="K1096" s="22">
        <v>186</v>
      </c>
      <c r="L1096" s="22">
        <v>1000</v>
      </c>
      <c r="M1096" s="22">
        <v>1000</v>
      </c>
      <c r="N1096" s="23">
        <v>-0.81399999999999995</v>
      </c>
      <c r="O1096" s="23">
        <v>-0.81399999999999995</v>
      </c>
      <c r="P1096" s="21"/>
      <c r="Q1096" s="22">
        <v>1.1481481481481499</v>
      </c>
    </row>
    <row r="1097" spans="1:17" ht="15" customHeight="1" x14ac:dyDescent="0.2">
      <c r="A1097" s="26" t="s">
        <v>165</v>
      </c>
      <c r="B1097" s="27" t="s">
        <v>148</v>
      </c>
      <c r="C1097" s="27" t="s">
        <v>149</v>
      </c>
      <c r="D1097" s="29">
        <v>197</v>
      </c>
      <c r="E1097" s="26" t="s">
        <v>575</v>
      </c>
      <c r="F1097" s="28" t="s">
        <v>576</v>
      </c>
      <c r="G1097" s="28" t="s">
        <v>576</v>
      </c>
      <c r="H1097" s="28" t="s">
        <v>577</v>
      </c>
      <c r="I1097" s="30"/>
      <c r="J1097" s="30"/>
      <c r="K1097" s="31">
        <v>36287</v>
      </c>
      <c r="L1097" s="31">
        <v>25125</v>
      </c>
      <c r="M1097" s="31">
        <v>27425</v>
      </c>
      <c r="N1097" s="32">
        <v>0.44425870646766202</v>
      </c>
      <c r="O1097" s="32">
        <v>0.32313582497721099</v>
      </c>
      <c r="P1097" s="30"/>
      <c r="Q1097" s="31">
        <v>184.197969543147</v>
      </c>
    </row>
    <row r="1098" spans="1:17" ht="15" customHeight="1" x14ac:dyDescent="0.2">
      <c r="A1098" s="17" t="s">
        <v>167</v>
      </c>
      <c r="B1098" s="18" t="s">
        <v>148</v>
      </c>
      <c r="C1098" s="18" t="s">
        <v>149</v>
      </c>
      <c r="D1098" s="20">
        <v>119</v>
      </c>
      <c r="E1098" s="17" t="s">
        <v>575</v>
      </c>
      <c r="F1098" s="19" t="s">
        <v>576</v>
      </c>
      <c r="G1098" s="19" t="s">
        <v>576</v>
      </c>
      <c r="H1098" s="19" t="s">
        <v>577</v>
      </c>
      <c r="I1098" s="21"/>
      <c r="J1098" s="21"/>
      <c r="K1098" s="22">
        <v>15635</v>
      </c>
      <c r="L1098" s="22">
        <v>15970</v>
      </c>
      <c r="M1098" s="22">
        <v>16970</v>
      </c>
      <c r="N1098" s="23">
        <v>-2.0976831559173501E-2</v>
      </c>
      <c r="O1098" s="23">
        <v>-7.8668238067177404E-2</v>
      </c>
      <c r="P1098" s="21"/>
      <c r="Q1098" s="22">
        <v>131.386554621849</v>
      </c>
    </row>
    <row r="1099" spans="1:17" ht="15" customHeight="1" x14ac:dyDescent="0.2">
      <c r="A1099" s="26" t="s">
        <v>169</v>
      </c>
      <c r="B1099" s="27" t="s">
        <v>148</v>
      </c>
      <c r="C1099" s="27" t="s">
        <v>149</v>
      </c>
      <c r="D1099" s="29">
        <v>211</v>
      </c>
      <c r="E1099" s="26" t="s">
        <v>575</v>
      </c>
      <c r="F1099" s="28" t="s">
        <v>576</v>
      </c>
      <c r="G1099" s="28" t="s">
        <v>576</v>
      </c>
      <c r="H1099" s="28" t="s">
        <v>577</v>
      </c>
      <c r="I1099" s="30"/>
      <c r="J1099" s="30"/>
      <c r="K1099" s="31">
        <v>691.7</v>
      </c>
      <c r="L1099" s="31">
        <v>3000</v>
      </c>
      <c r="M1099" s="31">
        <v>3000</v>
      </c>
      <c r="N1099" s="32">
        <v>-0.76943333333333297</v>
      </c>
      <c r="O1099" s="32">
        <v>-0.76943333333333297</v>
      </c>
      <c r="P1099" s="30"/>
      <c r="Q1099" s="31">
        <v>3.2781990521326998</v>
      </c>
    </row>
    <row r="1100" spans="1:17" ht="15" customHeight="1" x14ac:dyDescent="0.2">
      <c r="A1100" s="17" t="s">
        <v>171</v>
      </c>
      <c r="B1100" s="18" t="s">
        <v>148</v>
      </c>
      <c r="C1100" s="18" t="s">
        <v>149</v>
      </c>
      <c r="D1100" s="20">
        <v>211</v>
      </c>
      <c r="E1100" s="17" t="s">
        <v>575</v>
      </c>
      <c r="F1100" s="19" t="s">
        <v>576</v>
      </c>
      <c r="G1100" s="19" t="s">
        <v>576</v>
      </c>
      <c r="H1100" s="19" t="s">
        <v>577</v>
      </c>
      <c r="I1100" s="21"/>
      <c r="J1100" s="21"/>
      <c r="K1100" s="22">
        <v>31086.35</v>
      </c>
      <c r="L1100" s="22">
        <v>21600</v>
      </c>
      <c r="M1100" s="22">
        <v>45850</v>
      </c>
      <c r="N1100" s="23">
        <v>0.43918287037037002</v>
      </c>
      <c r="O1100" s="23">
        <v>-0.32199890948745902</v>
      </c>
      <c r="P1100" s="21"/>
      <c r="Q1100" s="22">
        <v>147.32867298578199</v>
      </c>
    </row>
    <row r="1101" spans="1:17" ht="15" customHeight="1" x14ac:dyDescent="0.2">
      <c r="A1101" s="26" t="s">
        <v>173</v>
      </c>
      <c r="B1101" s="27" t="s">
        <v>148</v>
      </c>
      <c r="C1101" s="27" t="s">
        <v>149</v>
      </c>
      <c r="D1101" s="29">
        <v>256</v>
      </c>
      <c r="E1101" s="26" t="s">
        <v>575</v>
      </c>
      <c r="F1101" s="28" t="s">
        <v>576</v>
      </c>
      <c r="G1101" s="28" t="s">
        <v>576</v>
      </c>
      <c r="H1101" s="28" t="s">
        <v>577</v>
      </c>
      <c r="I1101" s="30"/>
      <c r="J1101" s="30"/>
      <c r="K1101" s="31">
        <v>21589.360000000001</v>
      </c>
      <c r="L1101" s="31">
        <v>4000</v>
      </c>
      <c r="M1101" s="31">
        <v>5000</v>
      </c>
      <c r="N1101" s="32">
        <v>4.3973399999999998</v>
      </c>
      <c r="O1101" s="32">
        <v>3.3178719999999999</v>
      </c>
      <c r="P1101" s="30"/>
      <c r="Q1101" s="31">
        <v>84.333437500000002</v>
      </c>
    </row>
    <row r="1102" spans="1:17" ht="15" customHeight="1" x14ac:dyDescent="0.2">
      <c r="A1102" s="17" t="s">
        <v>175</v>
      </c>
      <c r="B1102" s="18" t="s">
        <v>148</v>
      </c>
      <c r="C1102" s="18" t="s">
        <v>149</v>
      </c>
      <c r="D1102" s="20">
        <v>136</v>
      </c>
      <c r="E1102" s="17" t="s">
        <v>575</v>
      </c>
      <c r="F1102" s="19" t="s">
        <v>576</v>
      </c>
      <c r="G1102" s="19" t="s">
        <v>576</v>
      </c>
      <c r="H1102" s="19" t="s">
        <v>577</v>
      </c>
      <c r="I1102" s="21"/>
      <c r="J1102" s="21"/>
      <c r="K1102" s="22">
        <v>4501</v>
      </c>
      <c r="L1102" s="22">
        <v>21050</v>
      </c>
      <c r="M1102" s="22">
        <v>21550</v>
      </c>
      <c r="N1102" s="23">
        <v>-0.78617577197149702</v>
      </c>
      <c r="O1102" s="23">
        <v>-0.79113689095127604</v>
      </c>
      <c r="P1102" s="21"/>
      <c r="Q1102" s="22">
        <v>33.095588235294102</v>
      </c>
    </row>
    <row r="1103" spans="1:17" ht="15" customHeight="1" x14ac:dyDescent="0.2">
      <c r="A1103" s="26" t="s">
        <v>177</v>
      </c>
      <c r="B1103" s="27" t="s">
        <v>148</v>
      </c>
      <c r="C1103" s="27" t="s">
        <v>149</v>
      </c>
      <c r="D1103" s="29">
        <v>18</v>
      </c>
      <c r="E1103" s="26" t="s">
        <v>575</v>
      </c>
      <c r="F1103" s="28" t="s">
        <v>576</v>
      </c>
      <c r="G1103" s="28" t="s">
        <v>576</v>
      </c>
      <c r="H1103" s="28" t="s">
        <v>577</v>
      </c>
      <c r="I1103" s="30"/>
      <c r="J1103" s="30"/>
      <c r="K1103" s="31">
        <v>950</v>
      </c>
      <c r="L1103" s="31">
        <v>3400</v>
      </c>
      <c r="M1103" s="31">
        <v>3400</v>
      </c>
      <c r="N1103" s="32">
        <v>-0.72058823529411797</v>
      </c>
      <c r="O1103" s="32">
        <v>-0.72058823529411797</v>
      </c>
      <c r="P1103" s="30"/>
      <c r="Q1103" s="31">
        <v>52.7777777777778</v>
      </c>
    </row>
    <row r="1104" spans="1:17" ht="15" customHeight="1" x14ac:dyDescent="0.2">
      <c r="A1104" s="17" t="s">
        <v>179</v>
      </c>
      <c r="B1104" s="18" t="s">
        <v>148</v>
      </c>
      <c r="C1104" s="18" t="s">
        <v>180</v>
      </c>
      <c r="D1104" s="20">
        <v>209</v>
      </c>
      <c r="E1104" s="17" t="s">
        <v>575</v>
      </c>
      <c r="F1104" s="19" t="s">
        <v>576</v>
      </c>
      <c r="G1104" s="19" t="s">
        <v>576</v>
      </c>
      <c r="H1104" s="19" t="s">
        <v>577</v>
      </c>
      <c r="I1104" s="21"/>
      <c r="J1104" s="21"/>
      <c r="K1104" s="22">
        <v>14130.5</v>
      </c>
      <c r="L1104" s="22">
        <v>500</v>
      </c>
      <c r="M1104" s="22">
        <v>11843</v>
      </c>
      <c r="N1104" s="23">
        <v>27.260999999999999</v>
      </c>
      <c r="O1104" s="23">
        <v>0.193152072954488</v>
      </c>
      <c r="P1104" s="21"/>
      <c r="Q1104" s="22">
        <v>67.610047846889998</v>
      </c>
    </row>
    <row r="1105" spans="1:17" ht="15" customHeight="1" x14ac:dyDescent="0.2">
      <c r="A1105" s="26" t="s">
        <v>185</v>
      </c>
      <c r="B1105" s="27" t="s">
        <v>148</v>
      </c>
      <c r="C1105" s="27" t="s">
        <v>180</v>
      </c>
      <c r="D1105" s="29">
        <v>117</v>
      </c>
      <c r="E1105" s="26" t="s">
        <v>575</v>
      </c>
      <c r="F1105" s="28" t="s">
        <v>576</v>
      </c>
      <c r="G1105" s="28" t="s">
        <v>576</v>
      </c>
      <c r="H1105" s="28" t="s">
        <v>577</v>
      </c>
      <c r="I1105" s="30"/>
      <c r="J1105" s="30"/>
      <c r="K1105" s="31">
        <v>1711</v>
      </c>
      <c r="L1105" s="31">
        <v>1000</v>
      </c>
      <c r="M1105" s="31">
        <v>1000</v>
      </c>
      <c r="N1105" s="32">
        <v>0.71099999999999997</v>
      </c>
      <c r="O1105" s="32">
        <v>0.71099999999999997</v>
      </c>
      <c r="P1105" s="30"/>
      <c r="Q1105" s="31">
        <v>14.6239316239316</v>
      </c>
    </row>
    <row r="1106" spans="1:17" ht="15" customHeight="1" x14ac:dyDescent="0.2">
      <c r="A1106" s="17" t="s">
        <v>190</v>
      </c>
      <c r="B1106" s="18" t="s">
        <v>148</v>
      </c>
      <c r="C1106" s="18" t="s">
        <v>180</v>
      </c>
      <c r="D1106" s="20">
        <v>75</v>
      </c>
      <c r="E1106" s="17" t="s">
        <v>575</v>
      </c>
      <c r="F1106" s="19" t="s">
        <v>576</v>
      </c>
      <c r="G1106" s="19" t="s">
        <v>576</v>
      </c>
      <c r="H1106" s="19" t="s">
        <v>577</v>
      </c>
      <c r="I1106" s="21"/>
      <c r="J1106" s="21"/>
      <c r="K1106" s="22">
        <v>4506.25</v>
      </c>
      <c r="L1106" s="22">
        <v>2000</v>
      </c>
      <c r="M1106" s="22">
        <v>2594.5</v>
      </c>
      <c r="N1106" s="23">
        <v>1.253125</v>
      </c>
      <c r="O1106" s="23">
        <v>0.73684717671998501</v>
      </c>
      <c r="P1106" s="21"/>
      <c r="Q1106" s="22">
        <v>60.0833333333333</v>
      </c>
    </row>
    <row r="1107" spans="1:17" ht="15" customHeight="1" x14ac:dyDescent="0.2">
      <c r="A1107" s="26" t="s">
        <v>195</v>
      </c>
      <c r="B1107" s="27" t="s">
        <v>148</v>
      </c>
      <c r="C1107" s="27" t="s">
        <v>180</v>
      </c>
      <c r="D1107" s="29">
        <v>49</v>
      </c>
      <c r="E1107" s="26" t="s">
        <v>575</v>
      </c>
      <c r="F1107" s="28" t="s">
        <v>576</v>
      </c>
      <c r="G1107" s="28" t="s">
        <v>576</v>
      </c>
      <c r="H1107" s="28" t="s">
        <v>577</v>
      </c>
      <c r="I1107" s="30"/>
      <c r="J1107" s="30"/>
      <c r="K1107" s="31">
        <v>186</v>
      </c>
      <c r="L1107" s="31">
        <v>500</v>
      </c>
      <c r="M1107" s="31">
        <v>500</v>
      </c>
      <c r="N1107" s="32">
        <v>-0.628</v>
      </c>
      <c r="O1107" s="32">
        <v>-0.628</v>
      </c>
      <c r="P1107" s="30"/>
      <c r="Q1107" s="31">
        <v>3.7959183673469399</v>
      </c>
    </row>
    <row r="1108" spans="1:17" ht="15" customHeight="1" x14ac:dyDescent="0.2">
      <c r="A1108" s="17" t="s">
        <v>201</v>
      </c>
      <c r="B1108" s="18" t="s">
        <v>148</v>
      </c>
      <c r="C1108" s="18" t="s">
        <v>180</v>
      </c>
      <c r="D1108" s="20">
        <v>170</v>
      </c>
      <c r="E1108" s="17" t="s">
        <v>575</v>
      </c>
      <c r="F1108" s="19" t="s">
        <v>576</v>
      </c>
      <c r="G1108" s="19" t="s">
        <v>576</v>
      </c>
      <c r="H1108" s="19" t="s">
        <v>577</v>
      </c>
      <c r="I1108" s="21"/>
      <c r="J1108" s="21"/>
      <c r="K1108" s="22">
        <v>27855.919999999998</v>
      </c>
      <c r="L1108" s="22">
        <v>2000</v>
      </c>
      <c r="M1108" s="22">
        <v>27261</v>
      </c>
      <c r="N1108" s="23">
        <v>12.927960000000001</v>
      </c>
      <c r="O1108" s="23">
        <v>2.1823117273760999E-2</v>
      </c>
      <c r="P1108" s="21"/>
      <c r="Q1108" s="22">
        <v>163.858352941177</v>
      </c>
    </row>
    <row r="1109" spans="1:17" ht="15" customHeight="1" x14ac:dyDescent="0.2">
      <c r="A1109" s="26" t="s">
        <v>205</v>
      </c>
      <c r="B1109" s="27" t="s">
        <v>148</v>
      </c>
      <c r="C1109" s="27" t="s">
        <v>180</v>
      </c>
      <c r="D1109" s="29">
        <v>296</v>
      </c>
      <c r="E1109" s="26" t="s">
        <v>575</v>
      </c>
      <c r="F1109" s="28" t="s">
        <v>576</v>
      </c>
      <c r="G1109" s="28" t="s">
        <v>576</v>
      </c>
      <c r="H1109" s="28" t="s">
        <v>577</v>
      </c>
      <c r="I1109" s="30"/>
      <c r="J1109" s="30"/>
      <c r="K1109" s="31">
        <v>4405</v>
      </c>
      <c r="L1109" s="31">
        <v>2500</v>
      </c>
      <c r="M1109" s="31">
        <v>2500</v>
      </c>
      <c r="N1109" s="32">
        <v>0.76200000000000001</v>
      </c>
      <c r="O1109" s="32">
        <v>0.76200000000000001</v>
      </c>
      <c r="P1109" s="30"/>
      <c r="Q1109" s="31">
        <v>14.881756756756801</v>
      </c>
    </row>
    <row r="1110" spans="1:17" ht="15" customHeight="1" x14ac:dyDescent="0.2">
      <c r="A1110" s="17" t="s">
        <v>210</v>
      </c>
      <c r="B1110" s="18" t="s">
        <v>148</v>
      </c>
      <c r="C1110" s="18" t="s">
        <v>180</v>
      </c>
      <c r="D1110" s="20">
        <v>83</v>
      </c>
      <c r="E1110" s="17" t="s">
        <v>575</v>
      </c>
      <c r="F1110" s="19" t="s">
        <v>576</v>
      </c>
      <c r="G1110" s="19" t="s">
        <v>576</v>
      </c>
      <c r="H1110" s="19" t="s">
        <v>577</v>
      </c>
      <c r="I1110" s="21"/>
      <c r="J1110" s="21"/>
      <c r="K1110" s="22">
        <v>1566</v>
      </c>
      <c r="L1110" s="22">
        <v>2500</v>
      </c>
      <c r="M1110" s="22">
        <v>2744.5</v>
      </c>
      <c r="N1110" s="23">
        <v>-0.37359999999999999</v>
      </c>
      <c r="O1110" s="23">
        <v>-0.42940426307159801</v>
      </c>
      <c r="P1110" s="21"/>
      <c r="Q1110" s="22">
        <v>18.867469879518101</v>
      </c>
    </row>
    <row r="1111" spans="1:17" ht="15" customHeight="1" x14ac:dyDescent="0.2">
      <c r="A1111" s="26" t="s">
        <v>214</v>
      </c>
      <c r="B1111" s="27" t="s">
        <v>148</v>
      </c>
      <c r="C1111" s="27" t="s">
        <v>180</v>
      </c>
      <c r="D1111" s="29">
        <v>144</v>
      </c>
      <c r="E1111" s="26" t="s">
        <v>575</v>
      </c>
      <c r="F1111" s="28" t="s">
        <v>576</v>
      </c>
      <c r="G1111" s="28" t="s">
        <v>576</v>
      </c>
      <c r="H1111" s="28" t="s">
        <v>577</v>
      </c>
      <c r="I1111" s="30"/>
      <c r="J1111" s="30"/>
      <c r="K1111" s="31">
        <v>21749</v>
      </c>
      <c r="L1111" s="31">
        <v>1500</v>
      </c>
      <c r="M1111" s="31">
        <v>23000</v>
      </c>
      <c r="N1111" s="32">
        <v>13.499333333333301</v>
      </c>
      <c r="O1111" s="32">
        <v>-5.4391304347826103E-2</v>
      </c>
      <c r="P1111" s="30"/>
      <c r="Q1111" s="31">
        <v>151.034722222222</v>
      </c>
    </row>
    <row r="1112" spans="1:17" ht="15" customHeight="1" x14ac:dyDescent="0.2">
      <c r="A1112" s="17" t="s">
        <v>219</v>
      </c>
      <c r="B1112" s="18" t="s">
        <v>148</v>
      </c>
      <c r="C1112" s="18" t="s">
        <v>180</v>
      </c>
      <c r="D1112" s="20">
        <v>398</v>
      </c>
      <c r="E1112" s="17" t="s">
        <v>575</v>
      </c>
      <c r="F1112" s="19" t="s">
        <v>576</v>
      </c>
      <c r="G1112" s="19" t="s">
        <v>576</v>
      </c>
      <c r="H1112" s="19" t="s">
        <v>577</v>
      </c>
      <c r="I1112" s="21"/>
      <c r="J1112" s="21"/>
      <c r="K1112" s="22">
        <v>65165</v>
      </c>
      <c r="L1112" s="22"/>
      <c r="M1112" s="22">
        <v>58006</v>
      </c>
      <c r="N1112" s="23"/>
      <c r="O1112" s="23">
        <v>0.12341826707582</v>
      </c>
      <c r="P1112" s="21"/>
      <c r="Q1112" s="22">
        <v>163.73115577889499</v>
      </c>
    </row>
    <row r="1113" spans="1:17" ht="15" customHeight="1" x14ac:dyDescent="0.2">
      <c r="A1113" s="26" t="s">
        <v>224</v>
      </c>
      <c r="B1113" s="27" t="s">
        <v>148</v>
      </c>
      <c r="C1113" s="27" t="s">
        <v>180</v>
      </c>
      <c r="D1113" s="29">
        <v>71</v>
      </c>
      <c r="E1113" s="26" t="s">
        <v>575</v>
      </c>
      <c r="F1113" s="28" t="s">
        <v>576</v>
      </c>
      <c r="G1113" s="28" t="s">
        <v>576</v>
      </c>
      <c r="H1113" s="28" t="s">
        <v>577</v>
      </c>
      <c r="I1113" s="30"/>
      <c r="J1113" s="30"/>
      <c r="K1113" s="31">
        <v>135</v>
      </c>
      <c r="L1113" s="31">
        <v>1000</v>
      </c>
      <c r="M1113" s="31">
        <v>1000</v>
      </c>
      <c r="N1113" s="32">
        <v>-0.86499999999999999</v>
      </c>
      <c r="O1113" s="32">
        <v>-0.86499999999999999</v>
      </c>
      <c r="P1113" s="30"/>
      <c r="Q1113" s="31">
        <v>1.9014084507042299</v>
      </c>
    </row>
    <row r="1114" spans="1:17" ht="15" customHeight="1" x14ac:dyDescent="0.2">
      <c r="A1114" s="17" t="s">
        <v>230</v>
      </c>
      <c r="B1114" s="18" t="s">
        <v>148</v>
      </c>
      <c r="C1114" s="18" t="s">
        <v>180</v>
      </c>
      <c r="D1114" s="20">
        <v>139</v>
      </c>
      <c r="E1114" s="17" t="s">
        <v>575</v>
      </c>
      <c r="F1114" s="19" t="s">
        <v>576</v>
      </c>
      <c r="G1114" s="19" t="s">
        <v>576</v>
      </c>
      <c r="H1114" s="19" t="s">
        <v>577</v>
      </c>
      <c r="I1114" s="21"/>
      <c r="J1114" s="21"/>
      <c r="K1114" s="22">
        <v>230</v>
      </c>
      <c r="L1114" s="22">
        <v>1000</v>
      </c>
      <c r="M1114" s="22">
        <v>1165</v>
      </c>
      <c r="N1114" s="23">
        <v>-0.77</v>
      </c>
      <c r="O1114" s="23">
        <v>-0.80257510729613701</v>
      </c>
      <c r="P1114" s="21"/>
      <c r="Q1114" s="22">
        <v>1.6546762589928099</v>
      </c>
    </row>
    <row r="1115" spans="1:17" ht="15" customHeight="1" x14ac:dyDescent="0.2">
      <c r="A1115" s="26" t="s">
        <v>236</v>
      </c>
      <c r="B1115" s="27" t="s">
        <v>148</v>
      </c>
      <c r="C1115" s="27" t="s">
        <v>180</v>
      </c>
      <c r="D1115" s="29">
        <v>128</v>
      </c>
      <c r="E1115" s="26" t="s">
        <v>575</v>
      </c>
      <c r="F1115" s="28" t="s">
        <v>576</v>
      </c>
      <c r="G1115" s="28" t="s">
        <v>576</v>
      </c>
      <c r="H1115" s="28" t="s">
        <v>577</v>
      </c>
      <c r="I1115" s="30"/>
      <c r="J1115" s="30"/>
      <c r="K1115" s="31">
        <v>3044.35</v>
      </c>
      <c r="L1115" s="31">
        <v>1000</v>
      </c>
      <c r="M1115" s="31">
        <v>3255</v>
      </c>
      <c r="N1115" s="32">
        <v>2.0443500000000001</v>
      </c>
      <c r="O1115" s="32">
        <v>-6.4715821812595997E-2</v>
      </c>
      <c r="P1115" s="30"/>
      <c r="Q1115" s="31">
        <v>23.783984374999999</v>
      </c>
    </row>
    <row r="1116" spans="1:17" ht="15" customHeight="1" x14ac:dyDescent="0.2">
      <c r="A1116" s="17" t="s">
        <v>239</v>
      </c>
      <c r="B1116" s="18" t="s">
        <v>148</v>
      </c>
      <c r="C1116" s="18" t="s">
        <v>180</v>
      </c>
      <c r="D1116" s="20">
        <v>92</v>
      </c>
      <c r="E1116" s="17" t="s">
        <v>575</v>
      </c>
      <c r="F1116" s="19" t="s">
        <v>576</v>
      </c>
      <c r="G1116" s="19" t="s">
        <v>576</v>
      </c>
      <c r="H1116" s="19" t="s">
        <v>577</v>
      </c>
      <c r="I1116" s="21"/>
      <c r="J1116" s="21"/>
      <c r="K1116" s="22">
        <v>1400</v>
      </c>
      <c r="L1116" s="22">
        <v>1000</v>
      </c>
      <c r="M1116" s="22">
        <v>2200</v>
      </c>
      <c r="N1116" s="23">
        <v>0.4</v>
      </c>
      <c r="O1116" s="23">
        <v>-0.36363636363636398</v>
      </c>
      <c r="P1116" s="21"/>
      <c r="Q1116" s="22">
        <v>15.2173913043478</v>
      </c>
    </row>
    <row r="1117" spans="1:17" ht="15" customHeight="1" x14ac:dyDescent="0.2">
      <c r="A1117" s="26" t="s">
        <v>249</v>
      </c>
      <c r="B1117" s="27" t="s">
        <v>148</v>
      </c>
      <c r="C1117" s="27" t="s">
        <v>180</v>
      </c>
      <c r="D1117" s="29">
        <v>122</v>
      </c>
      <c r="E1117" s="26" t="s">
        <v>575</v>
      </c>
      <c r="F1117" s="28" t="s">
        <v>576</v>
      </c>
      <c r="G1117" s="28" t="s">
        <v>576</v>
      </c>
      <c r="H1117" s="28" t="s">
        <v>577</v>
      </c>
      <c r="I1117" s="30"/>
      <c r="J1117" s="30"/>
      <c r="K1117" s="31">
        <v>4420.5</v>
      </c>
      <c r="L1117" s="31">
        <v>500</v>
      </c>
      <c r="M1117" s="31">
        <v>4225</v>
      </c>
      <c r="N1117" s="32">
        <v>7.8410000000000002</v>
      </c>
      <c r="O1117" s="32">
        <v>4.6272189349112397E-2</v>
      </c>
      <c r="P1117" s="30"/>
      <c r="Q1117" s="31">
        <v>36.233606557377101</v>
      </c>
    </row>
    <row r="1118" spans="1:17" ht="15" customHeight="1" x14ac:dyDescent="0.2">
      <c r="A1118" s="17" t="s">
        <v>254</v>
      </c>
      <c r="B1118" s="18" t="s">
        <v>148</v>
      </c>
      <c r="C1118" s="18" t="s">
        <v>180</v>
      </c>
      <c r="D1118" s="20">
        <v>80</v>
      </c>
      <c r="E1118" s="17" t="s">
        <v>575</v>
      </c>
      <c r="F1118" s="19" t="s">
        <v>576</v>
      </c>
      <c r="G1118" s="19" t="s">
        <v>576</v>
      </c>
      <c r="H1118" s="19" t="s">
        <v>577</v>
      </c>
      <c r="I1118" s="21"/>
      <c r="J1118" s="21"/>
      <c r="K1118" s="22">
        <v>2967</v>
      </c>
      <c r="L1118" s="22">
        <v>1000</v>
      </c>
      <c r="M1118" s="22">
        <v>1000</v>
      </c>
      <c r="N1118" s="23">
        <v>1.9670000000000001</v>
      </c>
      <c r="O1118" s="23">
        <v>1.9670000000000001</v>
      </c>
      <c r="P1118" s="21"/>
      <c r="Q1118" s="22">
        <v>37.087499999999999</v>
      </c>
    </row>
    <row r="1119" spans="1:17" ht="15" customHeight="1" x14ac:dyDescent="0.2">
      <c r="A1119" s="26" t="s">
        <v>263</v>
      </c>
      <c r="B1119" s="27" t="s">
        <v>148</v>
      </c>
      <c r="C1119" s="27" t="s">
        <v>180</v>
      </c>
      <c r="D1119" s="29">
        <v>55</v>
      </c>
      <c r="E1119" s="26" t="s">
        <v>575</v>
      </c>
      <c r="F1119" s="28" t="s">
        <v>576</v>
      </c>
      <c r="G1119" s="28" t="s">
        <v>576</v>
      </c>
      <c r="H1119" s="28" t="s">
        <v>577</v>
      </c>
      <c r="I1119" s="30"/>
      <c r="J1119" s="30"/>
      <c r="K1119" s="31">
        <v>2304</v>
      </c>
      <c r="L1119" s="31">
        <v>500</v>
      </c>
      <c r="M1119" s="31">
        <v>650</v>
      </c>
      <c r="N1119" s="32">
        <v>3.6080000000000001</v>
      </c>
      <c r="O1119" s="32">
        <v>2.5446153846153901</v>
      </c>
      <c r="P1119" s="30"/>
      <c r="Q1119" s="31">
        <v>41.890909090909098</v>
      </c>
    </row>
    <row r="1120" spans="1:17" ht="15" customHeight="1" x14ac:dyDescent="0.2">
      <c r="A1120" s="17" t="s">
        <v>266</v>
      </c>
      <c r="B1120" s="18" t="s">
        <v>148</v>
      </c>
      <c r="C1120" s="18" t="s">
        <v>267</v>
      </c>
      <c r="D1120" s="20">
        <v>108</v>
      </c>
      <c r="E1120" s="17" t="s">
        <v>575</v>
      </c>
      <c r="F1120" s="19" t="s">
        <v>576</v>
      </c>
      <c r="G1120" s="19" t="s">
        <v>576</v>
      </c>
      <c r="H1120" s="19" t="s">
        <v>577</v>
      </c>
      <c r="I1120" s="21"/>
      <c r="J1120" s="21"/>
      <c r="K1120" s="22">
        <v>33916.25</v>
      </c>
      <c r="L1120" s="22">
        <v>500</v>
      </c>
      <c r="M1120" s="22">
        <v>23850</v>
      </c>
      <c r="N1120" s="23">
        <v>66.832499999999996</v>
      </c>
      <c r="O1120" s="23">
        <v>0.42206498951782001</v>
      </c>
      <c r="P1120" s="21"/>
      <c r="Q1120" s="22">
        <v>314.03935185185202</v>
      </c>
    </row>
    <row r="1121" spans="1:17" ht="15" customHeight="1" x14ac:dyDescent="0.2">
      <c r="A1121" s="26" t="s">
        <v>270</v>
      </c>
      <c r="B1121" s="27" t="s">
        <v>148</v>
      </c>
      <c r="C1121" s="27" t="s">
        <v>267</v>
      </c>
      <c r="D1121" s="29">
        <v>75</v>
      </c>
      <c r="E1121" s="26" t="s">
        <v>575</v>
      </c>
      <c r="F1121" s="28" t="s">
        <v>576</v>
      </c>
      <c r="G1121" s="28" t="s">
        <v>576</v>
      </c>
      <c r="H1121" s="28" t="s">
        <v>577</v>
      </c>
      <c r="I1121" s="30"/>
      <c r="J1121" s="30"/>
      <c r="K1121" s="31">
        <v>215</v>
      </c>
      <c r="L1121" s="31">
        <v>1000</v>
      </c>
      <c r="M1121" s="31">
        <v>1000</v>
      </c>
      <c r="N1121" s="32">
        <v>-0.78500000000000003</v>
      </c>
      <c r="O1121" s="32">
        <v>-0.78500000000000003</v>
      </c>
      <c r="P1121" s="30"/>
      <c r="Q1121" s="31">
        <v>2.8666666666666698</v>
      </c>
    </row>
    <row r="1122" spans="1:17" ht="15" customHeight="1" x14ac:dyDescent="0.2">
      <c r="A1122" s="17" t="s">
        <v>272</v>
      </c>
      <c r="B1122" s="18" t="s">
        <v>148</v>
      </c>
      <c r="C1122" s="18" t="s">
        <v>267</v>
      </c>
      <c r="D1122" s="20">
        <v>89</v>
      </c>
      <c r="E1122" s="17" t="s">
        <v>575</v>
      </c>
      <c r="F1122" s="19" t="s">
        <v>576</v>
      </c>
      <c r="G1122" s="19" t="s">
        <v>576</v>
      </c>
      <c r="H1122" s="19" t="s">
        <v>577</v>
      </c>
      <c r="I1122" s="21"/>
      <c r="J1122" s="21"/>
      <c r="K1122" s="22">
        <v>4122.5</v>
      </c>
      <c r="L1122" s="22">
        <v>1000</v>
      </c>
      <c r="M1122" s="22">
        <v>1000</v>
      </c>
      <c r="N1122" s="23">
        <v>3.1225000000000001</v>
      </c>
      <c r="O1122" s="23">
        <v>3.1225000000000001</v>
      </c>
      <c r="P1122" s="21"/>
      <c r="Q1122" s="22">
        <v>46.320224719101098</v>
      </c>
    </row>
    <row r="1123" spans="1:17" ht="15" customHeight="1" x14ac:dyDescent="0.2">
      <c r="A1123" s="26" t="s">
        <v>275</v>
      </c>
      <c r="B1123" s="27" t="s">
        <v>148</v>
      </c>
      <c r="C1123" s="27" t="s">
        <v>267</v>
      </c>
      <c r="D1123" s="29">
        <v>78</v>
      </c>
      <c r="E1123" s="26" t="s">
        <v>575</v>
      </c>
      <c r="F1123" s="28" t="s">
        <v>576</v>
      </c>
      <c r="G1123" s="28" t="s">
        <v>576</v>
      </c>
      <c r="H1123" s="28" t="s">
        <v>577</v>
      </c>
      <c r="I1123" s="30"/>
      <c r="J1123" s="30"/>
      <c r="K1123" s="31">
        <v>3900</v>
      </c>
      <c r="L1123" s="31">
        <v>1000</v>
      </c>
      <c r="M1123" s="31">
        <v>1000</v>
      </c>
      <c r="N1123" s="32">
        <v>2.9</v>
      </c>
      <c r="O1123" s="32">
        <v>2.9</v>
      </c>
      <c r="P1123" s="30"/>
      <c r="Q1123" s="31">
        <v>50</v>
      </c>
    </row>
    <row r="1124" spans="1:17" ht="15" customHeight="1" x14ac:dyDescent="0.2">
      <c r="A1124" s="17" t="s">
        <v>277</v>
      </c>
      <c r="B1124" s="18" t="s">
        <v>148</v>
      </c>
      <c r="C1124" s="18" t="s">
        <v>267</v>
      </c>
      <c r="D1124" s="20">
        <v>158</v>
      </c>
      <c r="E1124" s="17" t="s">
        <v>575</v>
      </c>
      <c r="F1124" s="19" t="s">
        <v>576</v>
      </c>
      <c r="G1124" s="19" t="s">
        <v>576</v>
      </c>
      <c r="H1124" s="19" t="s">
        <v>577</v>
      </c>
      <c r="I1124" s="21"/>
      <c r="J1124" s="21"/>
      <c r="K1124" s="22">
        <v>3412</v>
      </c>
      <c r="L1124" s="22">
        <v>500</v>
      </c>
      <c r="M1124" s="22">
        <v>500</v>
      </c>
      <c r="N1124" s="23">
        <v>5.8239999999999998</v>
      </c>
      <c r="O1124" s="23">
        <v>5.8239999999999998</v>
      </c>
      <c r="P1124" s="21"/>
      <c r="Q1124" s="22">
        <v>21.5949367088608</v>
      </c>
    </row>
    <row r="1125" spans="1:17" ht="15" customHeight="1" x14ac:dyDescent="0.2">
      <c r="A1125" s="26" t="s">
        <v>280</v>
      </c>
      <c r="B1125" s="27" t="s">
        <v>148</v>
      </c>
      <c r="C1125" s="27" t="s">
        <v>267</v>
      </c>
      <c r="D1125" s="29">
        <v>110</v>
      </c>
      <c r="E1125" s="26" t="s">
        <v>575</v>
      </c>
      <c r="F1125" s="28" t="s">
        <v>576</v>
      </c>
      <c r="G1125" s="28" t="s">
        <v>576</v>
      </c>
      <c r="H1125" s="28" t="s">
        <v>577</v>
      </c>
      <c r="I1125" s="30"/>
      <c r="J1125" s="30"/>
      <c r="K1125" s="31">
        <v>10409.700000000001</v>
      </c>
      <c r="L1125" s="31">
        <v>2500</v>
      </c>
      <c r="M1125" s="31">
        <v>2500</v>
      </c>
      <c r="N1125" s="32">
        <v>3.1638799999999998</v>
      </c>
      <c r="O1125" s="32">
        <v>3.1638799999999998</v>
      </c>
      <c r="P1125" s="30"/>
      <c r="Q1125" s="31">
        <v>94.633636363636398</v>
      </c>
    </row>
    <row r="1126" spans="1:17" ht="15" customHeight="1" x14ac:dyDescent="0.2">
      <c r="A1126" s="17" t="s">
        <v>282</v>
      </c>
      <c r="B1126" s="18" t="s">
        <v>148</v>
      </c>
      <c r="C1126" s="18" t="s">
        <v>267</v>
      </c>
      <c r="D1126" s="20">
        <v>70</v>
      </c>
      <c r="E1126" s="17" t="s">
        <v>575</v>
      </c>
      <c r="F1126" s="19" t="s">
        <v>576</v>
      </c>
      <c r="G1126" s="19" t="s">
        <v>576</v>
      </c>
      <c r="H1126" s="19" t="s">
        <v>577</v>
      </c>
      <c r="I1126" s="21"/>
      <c r="J1126" s="21"/>
      <c r="K1126" s="22">
        <v>155</v>
      </c>
      <c r="L1126" s="22">
        <v>500</v>
      </c>
      <c r="M1126" s="22">
        <v>500</v>
      </c>
      <c r="N1126" s="23">
        <v>-0.69</v>
      </c>
      <c r="O1126" s="23">
        <v>-0.69</v>
      </c>
      <c r="P1126" s="21"/>
      <c r="Q1126" s="22">
        <v>2.21428571428571</v>
      </c>
    </row>
    <row r="1127" spans="1:17" ht="15" customHeight="1" x14ac:dyDescent="0.2">
      <c r="A1127" s="26" t="s">
        <v>284</v>
      </c>
      <c r="B1127" s="27" t="s">
        <v>148</v>
      </c>
      <c r="C1127" s="27" t="s">
        <v>267</v>
      </c>
      <c r="D1127" s="29">
        <v>72</v>
      </c>
      <c r="E1127" s="26" t="s">
        <v>575</v>
      </c>
      <c r="F1127" s="28" t="s">
        <v>576</v>
      </c>
      <c r="G1127" s="28" t="s">
        <v>576</v>
      </c>
      <c r="H1127" s="28" t="s">
        <v>577</v>
      </c>
      <c r="I1127" s="30"/>
      <c r="J1127" s="30"/>
      <c r="K1127" s="31">
        <v>115</v>
      </c>
      <c r="L1127" s="31">
        <v>500</v>
      </c>
      <c r="M1127" s="31">
        <v>500</v>
      </c>
      <c r="N1127" s="32">
        <v>-0.77</v>
      </c>
      <c r="O1127" s="32">
        <v>-0.77</v>
      </c>
      <c r="P1127" s="30"/>
      <c r="Q1127" s="31">
        <v>1.5972222222222201</v>
      </c>
    </row>
    <row r="1128" spans="1:17" ht="15" customHeight="1" x14ac:dyDescent="0.2">
      <c r="A1128" s="17" t="s">
        <v>285</v>
      </c>
      <c r="B1128" s="18" t="s">
        <v>148</v>
      </c>
      <c r="C1128" s="18" t="s">
        <v>267</v>
      </c>
      <c r="D1128" s="20">
        <v>296</v>
      </c>
      <c r="E1128" s="17" t="s">
        <v>575</v>
      </c>
      <c r="F1128" s="19" t="s">
        <v>576</v>
      </c>
      <c r="G1128" s="19" t="s">
        <v>576</v>
      </c>
      <c r="H1128" s="19" t="s">
        <v>577</v>
      </c>
      <c r="I1128" s="21"/>
      <c r="J1128" s="21"/>
      <c r="K1128" s="22">
        <v>22111.5</v>
      </c>
      <c r="L1128" s="22">
        <v>5000</v>
      </c>
      <c r="M1128" s="22">
        <v>6200</v>
      </c>
      <c r="N1128" s="23">
        <v>3.4222999999999999</v>
      </c>
      <c r="O1128" s="23">
        <v>2.56637096774194</v>
      </c>
      <c r="P1128" s="21"/>
      <c r="Q1128" s="22">
        <v>74.701013513513502</v>
      </c>
    </row>
    <row r="1129" spans="1:17" ht="15" customHeight="1" x14ac:dyDescent="0.2">
      <c r="A1129" s="26" t="s">
        <v>286</v>
      </c>
      <c r="B1129" s="27" t="s">
        <v>148</v>
      </c>
      <c r="C1129" s="27" t="s">
        <v>267</v>
      </c>
      <c r="D1129" s="29">
        <v>50</v>
      </c>
      <c r="E1129" s="26" t="s">
        <v>575</v>
      </c>
      <c r="F1129" s="28" t="s">
        <v>576</v>
      </c>
      <c r="G1129" s="28" t="s">
        <v>576</v>
      </c>
      <c r="H1129" s="28" t="s">
        <v>577</v>
      </c>
      <c r="I1129" s="30"/>
      <c r="J1129" s="30"/>
      <c r="K1129" s="31">
        <v>6585</v>
      </c>
      <c r="L1129" s="31">
        <v>1000</v>
      </c>
      <c r="M1129" s="31">
        <v>1050</v>
      </c>
      <c r="N1129" s="32">
        <v>5.585</v>
      </c>
      <c r="O1129" s="32">
        <v>5.2714285714285696</v>
      </c>
      <c r="P1129" s="30"/>
      <c r="Q1129" s="31">
        <v>131.69999999999999</v>
      </c>
    </row>
    <row r="1130" spans="1:17" ht="15" customHeight="1" x14ac:dyDescent="0.2">
      <c r="A1130" s="17" t="s">
        <v>287</v>
      </c>
      <c r="B1130" s="18" t="s">
        <v>148</v>
      </c>
      <c r="C1130" s="18" t="s">
        <v>267</v>
      </c>
      <c r="D1130" s="20">
        <v>163</v>
      </c>
      <c r="E1130" s="17" t="s">
        <v>575</v>
      </c>
      <c r="F1130" s="19" t="s">
        <v>576</v>
      </c>
      <c r="G1130" s="19" t="s">
        <v>576</v>
      </c>
      <c r="H1130" s="19" t="s">
        <v>577</v>
      </c>
      <c r="I1130" s="21"/>
      <c r="J1130" s="21"/>
      <c r="K1130" s="22">
        <v>33715</v>
      </c>
      <c r="L1130" s="22">
        <v>2500</v>
      </c>
      <c r="M1130" s="22">
        <v>31650</v>
      </c>
      <c r="N1130" s="23">
        <v>12.486000000000001</v>
      </c>
      <c r="O1130" s="23">
        <v>6.5244865718799394E-2</v>
      </c>
      <c r="P1130" s="21"/>
      <c r="Q1130" s="22">
        <v>206.84049079754601</v>
      </c>
    </row>
    <row r="1131" spans="1:17" ht="15" customHeight="1" x14ac:dyDescent="0.2">
      <c r="A1131" s="26" t="s">
        <v>289</v>
      </c>
      <c r="B1131" s="27" t="s">
        <v>148</v>
      </c>
      <c r="C1131" s="27" t="s">
        <v>267</v>
      </c>
      <c r="D1131" s="29">
        <v>107</v>
      </c>
      <c r="E1131" s="26" t="s">
        <v>575</v>
      </c>
      <c r="F1131" s="28" t="s">
        <v>576</v>
      </c>
      <c r="G1131" s="28" t="s">
        <v>576</v>
      </c>
      <c r="H1131" s="28" t="s">
        <v>577</v>
      </c>
      <c r="I1131" s="30"/>
      <c r="J1131" s="30"/>
      <c r="K1131" s="31">
        <v>13352</v>
      </c>
      <c r="L1131" s="31">
        <v>25500</v>
      </c>
      <c r="M1131" s="31">
        <v>25500</v>
      </c>
      <c r="N1131" s="32">
        <v>-0.476392156862745</v>
      </c>
      <c r="O1131" s="32">
        <v>-0.476392156862745</v>
      </c>
      <c r="P1131" s="30"/>
      <c r="Q1131" s="31">
        <v>124.78504672897201</v>
      </c>
    </row>
    <row r="1132" spans="1:17" ht="15" customHeight="1" x14ac:dyDescent="0.2">
      <c r="A1132" s="17" t="s">
        <v>292</v>
      </c>
      <c r="B1132" s="18" t="s">
        <v>148</v>
      </c>
      <c r="C1132" s="18" t="s">
        <v>267</v>
      </c>
      <c r="D1132" s="20">
        <v>136</v>
      </c>
      <c r="E1132" s="17" t="s">
        <v>575</v>
      </c>
      <c r="F1132" s="19" t="s">
        <v>576</v>
      </c>
      <c r="G1132" s="19" t="s">
        <v>576</v>
      </c>
      <c r="H1132" s="19" t="s">
        <v>577</v>
      </c>
      <c r="I1132" s="21"/>
      <c r="J1132" s="21"/>
      <c r="K1132" s="22">
        <v>9771.2000000000007</v>
      </c>
      <c r="L1132" s="22">
        <v>1000</v>
      </c>
      <c r="M1132" s="22">
        <v>4360</v>
      </c>
      <c r="N1132" s="23">
        <v>8.7712000000000003</v>
      </c>
      <c r="O1132" s="23">
        <v>1.24110091743119</v>
      </c>
      <c r="P1132" s="21"/>
      <c r="Q1132" s="22">
        <v>71.847058823529395</v>
      </c>
    </row>
    <row r="1133" spans="1:17" ht="15" customHeight="1" x14ac:dyDescent="0.2">
      <c r="A1133" s="26" t="s">
        <v>295</v>
      </c>
      <c r="B1133" s="27" t="s">
        <v>148</v>
      </c>
      <c r="C1133" s="27" t="s">
        <v>267</v>
      </c>
      <c r="D1133" s="29">
        <v>68</v>
      </c>
      <c r="E1133" s="26" t="s">
        <v>575</v>
      </c>
      <c r="F1133" s="28" t="s">
        <v>576</v>
      </c>
      <c r="G1133" s="28" t="s">
        <v>576</v>
      </c>
      <c r="H1133" s="28" t="s">
        <v>577</v>
      </c>
      <c r="I1133" s="30"/>
      <c r="J1133" s="30"/>
      <c r="K1133" s="31">
        <v>6041.25</v>
      </c>
      <c r="L1133" s="31">
        <v>1000</v>
      </c>
      <c r="M1133" s="31">
        <v>1000</v>
      </c>
      <c r="N1133" s="32">
        <v>5.0412499999999998</v>
      </c>
      <c r="O1133" s="32">
        <v>5.0412499999999998</v>
      </c>
      <c r="P1133" s="30"/>
      <c r="Q1133" s="31">
        <v>88.841911764705898</v>
      </c>
    </row>
    <row r="1134" spans="1:17" ht="15" customHeight="1" x14ac:dyDescent="0.2">
      <c r="A1134" s="17" t="s">
        <v>298</v>
      </c>
      <c r="B1134" s="18" t="s">
        <v>148</v>
      </c>
      <c r="C1134" s="18" t="s">
        <v>267</v>
      </c>
      <c r="D1134" s="20">
        <v>98</v>
      </c>
      <c r="E1134" s="17" t="s">
        <v>575</v>
      </c>
      <c r="F1134" s="19" t="s">
        <v>576</v>
      </c>
      <c r="G1134" s="19" t="s">
        <v>576</v>
      </c>
      <c r="H1134" s="19" t="s">
        <v>577</v>
      </c>
      <c r="I1134" s="21"/>
      <c r="J1134" s="21"/>
      <c r="K1134" s="22">
        <v>9865</v>
      </c>
      <c r="L1134" s="22">
        <v>1000</v>
      </c>
      <c r="M1134" s="22">
        <v>1000</v>
      </c>
      <c r="N1134" s="23">
        <v>8.8650000000000002</v>
      </c>
      <c r="O1134" s="23">
        <v>8.8650000000000002</v>
      </c>
      <c r="P1134" s="21"/>
      <c r="Q1134" s="22">
        <v>100.66326530612299</v>
      </c>
    </row>
    <row r="1135" spans="1:17" ht="15" customHeight="1" x14ac:dyDescent="0.2">
      <c r="A1135" s="26" t="s">
        <v>300</v>
      </c>
      <c r="B1135" s="27" t="s">
        <v>148</v>
      </c>
      <c r="C1135" s="27" t="s">
        <v>267</v>
      </c>
      <c r="D1135" s="29">
        <v>321</v>
      </c>
      <c r="E1135" s="26" t="s">
        <v>575</v>
      </c>
      <c r="F1135" s="28" t="s">
        <v>576</v>
      </c>
      <c r="G1135" s="28" t="s">
        <v>576</v>
      </c>
      <c r="H1135" s="28" t="s">
        <v>577</v>
      </c>
      <c r="I1135" s="30"/>
      <c r="J1135" s="30"/>
      <c r="K1135" s="31">
        <v>25977.47</v>
      </c>
      <c r="L1135" s="31">
        <v>55000</v>
      </c>
      <c r="M1135" s="31">
        <v>59850</v>
      </c>
      <c r="N1135" s="32">
        <v>-0.527682363636364</v>
      </c>
      <c r="O1135" s="32">
        <v>-0.56595705931495399</v>
      </c>
      <c r="P1135" s="30"/>
      <c r="Q1135" s="31">
        <v>80.926697819314597</v>
      </c>
    </row>
    <row r="1136" spans="1:17" ht="15" customHeight="1" x14ac:dyDescent="0.2">
      <c r="A1136" s="17" t="s">
        <v>302</v>
      </c>
      <c r="B1136" s="18" t="s">
        <v>148</v>
      </c>
      <c r="C1136" s="18" t="s">
        <v>267</v>
      </c>
      <c r="D1136" s="20">
        <v>111</v>
      </c>
      <c r="E1136" s="17" t="s">
        <v>575</v>
      </c>
      <c r="F1136" s="19" t="s">
        <v>576</v>
      </c>
      <c r="G1136" s="19" t="s">
        <v>576</v>
      </c>
      <c r="H1136" s="19" t="s">
        <v>577</v>
      </c>
      <c r="I1136" s="21"/>
      <c r="J1136" s="21"/>
      <c r="K1136" s="22">
        <v>4653.75</v>
      </c>
      <c r="L1136" s="22">
        <v>1000</v>
      </c>
      <c r="M1136" s="22">
        <v>1000</v>
      </c>
      <c r="N1136" s="23">
        <v>3.6537500000000001</v>
      </c>
      <c r="O1136" s="23">
        <v>3.6537500000000001</v>
      </c>
      <c r="P1136" s="21"/>
      <c r="Q1136" s="22">
        <v>41.925675675675699</v>
      </c>
    </row>
    <row r="1137" spans="1:17" ht="15" customHeight="1" x14ac:dyDescent="0.2">
      <c r="A1137" s="26" t="s">
        <v>304</v>
      </c>
      <c r="B1137" s="27" t="s">
        <v>148</v>
      </c>
      <c r="C1137" s="27" t="s">
        <v>267</v>
      </c>
      <c r="D1137" s="29">
        <v>77</v>
      </c>
      <c r="E1137" s="26" t="s">
        <v>575</v>
      </c>
      <c r="F1137" s="28" t="s">
        <v>576</v>
      </c>
      <c r="G1137" s="28" t="s">
        <v>576</v>
      </c>
      <c r="H1137" s="28" t="s">
        <v>577</v>
      </c>
      <c r="I1137" s="30"/>
      <c r="J1137" s="30"/>
      <c r="K1137" s="31">
        <v>5000</v>
      </c>
      <c r="L1137" s="31">
        <v>1000</v>
      </c>
      <c r="M1137" s="31">
        <v>1000</v>
      </c>
      <c r="N1137" s="32">
        <v>4</v>
      </c>
      <c r="O1137" s="32">
        <v>4</v>
      </c>
      <c r="P1137" s="30"/>
      <c r="Q1137" s="31">
        <v>64.935064935064901</v>
      </c>
    </row>
    <row r="1138" spans="1:17" ht="15" customHeight="1" x14ac:dyDescent="0.2">
      <c r="A1138" s="17" t="s">
        <v>306</v>
      </c>
      <c r="B1138" s="18" t="s">
        <v>148</v>
      </c>
      <c r="C1138" s="18" t="s">
        <v>267</v>
      </c>
      <c r="D1138" s="20">
        <v>365</v>
      </c>
      <c r="E1138" s="17" t="s">
        <v>575</v>
      </c>
      <c r="F1138" s="19" t="s">
        <v>576</v>
      </c>
      <c r="G1138" s="19" t="s">
        <v>576</v>
      </c>
      <c r="H1138" s="19" t="s">
        <v>577</v>
      </c>
      <c r="I1138" s="21"/>
      <c r="J1138" s="21"/>
      <c r="K1138" s="22">
        <v>5916</v>
      </c>
      <c r="L1138" s="22">
        <v>3000</v>
      </c>
      <c r="M1138" s="22">
        <v>3000</v>
      </c>
      <c r="N1138" s="23">
        <v>0.97199999999999998</v>
      </c>
      <c r="O1138" s="23">
        <v>0.97199999999999998</v>
      </c>
      <c r="P1138" s="21"/>
      <c r="Q1138" s="22">
        <v>16.208219178082199</v>
      </c>
    </row>
    <row r="1139" spans="1:17" ht="15" customHeight="1" x14ac:dyDescent="0.2">
      <c r="A1139" s="26" t="s">
        <v>309</v>
      </c>
      <c r="B1139" s="27" t="s">
        <v>148</v>
      </c>
      <c r="C1139" s="27" t="s">
        <v>267</v>
      </c>
      <c r="D1139" s="29">
        <v>270</v>
      </c>
      <c r="E1139" s="26" t="s">
        <v>575</v>
      </c>
      <c r="F1139" s="28" t="s">
        <v>576</v>
      </c>
      <c r="G1139" s="28" t="s">
        <v>576</v>
      </c>
      <c r="H1139" s="28" t="s">
        <v>577</v>
      </c>
      <c r="I1139" s="30"/>
      <c r="J1139" s="30"/>
      <c r="K1139" s="31">
        <v>25781.65</v>
      </c>
      <c r="L1139" s="31">
        <v>2000</v>
      </c>
      <c r="M1139" s="31">
        <v>8300</v>
      </c>
      <c r="N1139" s="32">
        <v>11.890825</v>
      </c>
      <c r="O1139" s="32">
        <v>2.10622289156627</v>
      </c>
      <c r="P1139" s="30"/>
      <c r="Q1139" s="31">
        <v>95.487592592592605</v>
      </c>
    </row>
    <row r="1140" spans="1:17" ht="15" customHeight="1" x14ac:dyDescent="0.2">
      <c r="A1140" s="35" t="s">
        <v>312</v>
      </c>
      <c r="B1140" s="36" t="s">
        <v>313</v>
      </c>
      <c r="C1140" s="36" t="s">
        <v>267</v>
      </c>
      <c r="D1140" s="38">
        <v>170</v>
      </c>
      <c r="E1140" s="35" t="s">
        <v>575</v>
      </c>
      <c r="F1140" s="37" t="s">
        <v>576</v>
      </c>
      <c r="G1140" s="37" t="s">
        <v>576</v>
      </c>
      <c r="H1140" s="37" t="s">
        <v>577</v>
      </c>
      <c r="I1140" s="39"/>
      <c r="J1140" s="39"/>
      <c r="K1140" s="40">
        <v>16200</v>
      </c>
      <c r="L1140" s="40">
        <v>25130</v>
      </c>
      <c r="M1140" s="40">
        <v>25130</v>
      </c>
      <c r="N1140" s="41">
        <v>-0.35535216872264203</v>
      </c>
      <c r="O1140" s="41">
        <v>-0.35535216872264203</v>
      </c>
      <c r="P1140" s="39"/>
      <c r="Q1140" s="40">
        <v>95.294117647058798</v>
      </c>
    </row>
    <row r="1141" spans="1:17" ht="15" customHeight="1" x14ac:dyDescent="0.2">
      <c r="A1141" s="35" t="s">
        <v>316</v>
      </c>
      <c r="B1141" s="36" t="s">
        <v>313</v>
      </c>
      <c r="C1141" s="36" t="s">
        <v>267</v>
      </c>
      <c r="D1141" s="38">
        <v>234</v>
      </c>
      <c r="E1141" s="35" t="s">
        <v>575</v>
      </c>
      <c r="F1141" s="37" t="s">
        <v>576</v>
      </c>
      <c r="G1141" s="37" t="s">
        <v>576</v>
      </c>
      <c r="H1141" s="37" t="s">
        <v>577</v>
      </c>
      <c r="I1141" s="39"/>
      <c r="J1141" s="39"/>
      <c r="K1141" s="40">
        <v>17950</v>
      </c>
      <c r="L1141" s="40">
        <v>30983</v>
      </c>
      <c r="M1141" s="40">
        <v>35083</v>
      </c>
      <c r="N1141" s="41">
        <v>-0.42065003388955202</v>
      </c>
      <c r="O1141" s="41">
        <v>-0.48835618390673602</v>
      </c>
      <c r="P1141" s="39"/>
      <c r="Q1141" s="40">
        <v>76.709401709401703</v>
      </c>
    </row>
    <row r="1142" spans="1:17" ht="15" customHeight="1" x14ac:dyDescent="0.2">
      <c r="A1142" s="35" t="s">
        <v>327</v>
      </c>
      <c r="B1142" s="36" t="s">
        <v>313</v>
      </c>
      <c r="C1142" s="36" t="s">
        <v>267</v>
      </c>
      <c r="D1142" s="38">
        <v>244</v>
      </c>
      <c r="E1142" s="35" t="s">
        <v>575</v>
      </c>
      <c r="F1142" s="37" t="s">
        <v>576</v>
      </c>
      <c r="G1142" s="37" t="s">
        <v>576</v>
      </c>
      <c r="H1142" s="37" t="s">
        <v>577</v>
      </c>
      <c r="I1142" s="39"/>
      <c r="J1142" s="39"/>
      <c r="K1142" s="40">
        <v>2272.1</v>
      </c>
      <c r="L1142" s="40">
        <v>29625</v>
      </c>
      <c r="M1142" s="40">
        <v>34125</v>
      </c>
      <c r="N1142" s="41">
        <v>-0.92330464135021095</v>
      </c>
      <c r="O1142" s="41">
        <v>-0.93341831501831496</v>
      </c>
      <c r="P1142" s="39"/>
      <c r="Q1142" s="40">
        <v>9.3118852459016406</v>
      </c>
    </row>
    <row r="1143" spans="1:17" ht="15" customHeight="1" x14ac:dyDescent="0.2">
      <c r="A1143" s="35" t="s">
        <v>329</v>
      </c>
      <c r="B1143" s="36" t="s">
        <v>313</v>
      </c>
      <c r="C1143" s="36" t="s">
        <v>330</v>
      </c>
      <c r="D1143" s="38">
        <v>186</v>
      </c>
      <c r="E1143" s="35" t="s">
        <v>575</v>
      </c>
      <c r="F1143" s="37" t="s">
        <v>576</v>
      </c>
      <c r="G1143" s="37" t="s">
        <v>576</v>
      </c>
      <c r="H1143" s="37" t="s">
        <v>577</v>
      </c>
      <c r="I1143" s="39"/>
      <c r="J1143" s="39"/>
      <c r="K1143" s="40">
        <v>622.12</v>
      </c>
      <c r="L1143" s="40">
        <v>25345</v>
      </c>
      <c r="M1143" s="40">
        <v>25645</v>
      </c>
      <c r="N1143" s="41">
        <v>-0.97545393568751204</v>
      </c>
      <c r="O1143" s="41">
        <v>-0.97574108013257999</v>
      </c>
      <c r="P1143" s="39"/>
      <c r="Q1143" s="40">
        <v>3.3447311827956998</v>
      </c>
    </row>
    <row r="1144" spans="1:17" ht="15" customHeight="1" x14ac:dyDescent="0.2">
      <c r="A1144" s="35" t="s">
        <v>334</v>
      </c>
      <c r="B1144" s="36" t="s">
        <v>313</v>
      </c>
      <c r="C1144" s="36" t="s">
        <v>330</v>
      </c>
      <c r="D1144" s="38">
        <v>20</v>
      </c>
      <c r="E1144" s="35" t="s">
        <v>575</v>
      </c>
      <c r="F1144" s="37" t="s">
        <v>576</v>
      </c>
      <c r="G1144" s="37" t="s">
        <v>576</v>
      </c>
      <c r="H1144" s="37" t="s">
        <v>577</v>
      </c>
      <c r="I1144" s="39"/>
      <c r="J1144" s="39"/>
      <c r="K1144" s="40">
        <v>60</v>
      </c>
      <c r="L1144" s="40">
        <v>12700</v>
      </c>
      <c r="M1144" s="40">
        <v>12700</v>
      </c>
      <c r="N1144" s="41">
        <v>-0.99527559055118098</v>
      </c>
      <c r="O1144" s="41">
        <v>-0.99527559055118098</v>
      </c>
      <c r="P1144" s="39"/>
      <c r="Q1144" s="40">
        <v>3</v>
      </c>
    </row>
    <row r="1145" spans="1:17" ht="15" customHeight="1" x14ac:dyDescent="0.2">
      <c r="A1145" s="26" t="s">
        <v>147</v>
      </c>
      <c r="B1145" s="27" t="s">
        <v>148</v>
      </c>
      <c r="C1145" s="27" t="s">
        <v>149</v>
      </c>
      <c r="D1145" s="29">
        <v>234</v>
      </c>
      <c r="E1145" s="26" t="s">
        <v>578</v>
      </c>
      <c r="F1145" s="28" t="s">
        <v>576</v>
      </c>
      <c r="G1145" s="28" t="s">
        <v>576</v>
      </c>
      <c r="H1145" s="28" t="s">
        <v>579</v>
      </c>
      <c r="I1145" s="30"/>
      <c r="J1145" s="30"/>
      <c r="K1145" s="31">
        <v>1835.26</v>
      </c>
      <c r="L1145" s="31">
        <v>5500</v>
      </c>
      <c r="M1145" s="31">
        <v>5500</v>
      </c>
      <c r="N1145" s="32">
        <v>-0.66631636363636404</v>
      </c>
      <c r="O1145" s="32">
        <v>-0.66631636363636404</v>
      </c>
      <c r="P1145" s="30"/>
      <c r="Q1145" s="31">
        <v>7.8429914529914502</v>
      </c>
    </row>
    <row r="1146" spans="1:17" ht="15" customHeight="1" x14ac:dyDescent="0.2">
      <c r="A1146" s="17" t="s">
        <v>152</v>
      </c>
      <c r="B1146" s="18" t="s">
        <v>148</v>
      </c>
      <c r="C1146" s="18" t="s">
        <v>149</v>
      </c>
      <c r="D1146" s="20">
        <v>258</v>
      </c>
      <c r="E1146" s="17" t="s">
        <v>578</v>
      </c>
      <c r="F1146" s="19" t="s">
        <v>576</v>
      </c>
      <c r="G1146" s="19" t="s">
        <v>576</v>
      </c>
      <c r="H1146" s="19" t="s">
        <v>579</v>
      </c>
      <c r="I1146" s="21"/>
      <c r="J1146" s="21"/>
      <c r="K1146" s="22">
        <v>57119.45</v>
      </c>
      <c r="L1146" s="22">
        <v>35000</v>
      </c>
      <c r="M1146" s="22">
        <v>35500</v>
      </c>
      <c r="N1146" s="23">
        <v>0.631984285714286</v>
      </c>
      <c r="O1146" s="23">
        <v>0.60899859154929603</v>
      </c>
      <c r="P1146" s="21"/>
      <c r="Q1146" s="22">
        <v>221.393217054264</v>
      </c>
    </row>
    <row r="1147" spans="1:17" ht="15" customHeight="1" x14ac:dyDescent="0.2">
      <c r="A1147" s="26" t="s">
        <v>154</v>
      </c>
      <c r="B1147" s="27" t="s">
        <v>148</v>
      </c>
      <c r="C1147" s="27" t="s">
        <v>149</v>
      </c>
      <c r="D1147" s="29">
        <v>56</v>
      </c>
      <c r="E1147" s="26" t="s">
        <v>578</v>
      </c>
      <c r="F1147" s="28" t="s">
        <v>576</v>
      </c>
      <c r="G1147" s="28" t="s">
        <v>576</v>
      </c>
      <c r="H1147" s="28" t="s">
        <v>579</v>
      </c>
      <c r="I1147" s="30"/>
      <c r="J1147" s="30"/>
      <c r="K1147" s="31">
        <v>4990.08</v>
      </c>
      <c r="L1147" s="31">
        <v>6000</v>
      </c>
      <c r="M1147" s="31">
        <v>6000</v>
      </c>
      <c r="N1147" s="32">
        <v>-0.16832</v>
      </c>
      <c r="O1147" s="32">
        <v>-0.16832</v>
      </c>
      <c r="P1147" s="30"/>
      <c r="Q1147" s="31">
        <v>89.108571428571395</v>
      </c>
    </row>
    <row r="1148" spans="1:17" ht="15" customHeight="1" x14ac:dyDescent="0.2">
      <c r="A1148" s="17" t="s">
        <v>157</v>
      </c>
      <c r="B1148" s="18" t="s">
        <v>148</v>
      </c>
      <c r="C1148" s="18" t="s">
        <v>149</v>
      </c>
      <c r="D1148" s="20">
        <v>149</v>
      </c>
      <c r="E1148" s="17" t="s">
        <v>578</v>
      </c>
      <c r="F1148" s="19" t="s">
        <v>576</v>
      </c>
      <c r="G1148" s="19" t="s">
        <v>576</v>
      </c>
      <c r="H1148" s="19" t="s">
        <v>579</v>
      </c>
      <c r="I1148" s="21"/>
      <c r="J1148" s="21"/>
      <c r="K1148" s="22">
        <v>2404.21</v>
      </c>
      <c r="L1148" s="22">
        <v>4000</v>
      </c>
      <c r="M1148" s="22">
        <v>4000</v>
      </c>
      <c r="N1148" s="23">
        <v>-0.39894750000000001</v>
      </c>
      <c r="O1148" s="23">
        <v>-0.39894750000000001</v>
      </c>
      <c r="P1148" s="21"/>
      <c r="Q1148" s="22">
        <v>16.135637583892599</v>
      </c>
    </row>
    <row r="1149" spans="1:17" ht="15" customHeight="1" x14ac:dyDescent="0.2">
      <c r="A1149" s="26" t="s">
        <v>159</v>
      </c>
      <c r="B1149" s="27" t="s">
        <v>148</v>
      </c>
      <c r="C1149" s="27" t="s">
        <v>149</v>
      </c>
      <c r="D1149" s="29">
        <v>117</v>
      </c>
      <c r="E1149" s="26" t="s">
        <v>578</v>
      </c>
      <c r="F1149" s="28" t="s">
        <v>576</v>
      </c>
      <c r="G1149" s="28" t="s">
        <v>576</v>
      </c>
      <c r="H1149" s="28" t="s">
        <v>579</v>
      </c>
      <c r="I1149" s="30"/>
      <c r="J1149" s="30"/>
      <c r="K1149" s="31">
        <v>12573.03</v>
      </c>
      <c r="L1149" s="31">
        <v>25000</v>
      </c>
      <c r="M1149" s="31">
        <v>25000</v>
      </c>
      <c r="N1149" s="32">
        <v>-0.49707879999999999</v>
      </c>
      <c r="O1149" s="32">
        <v>-0.49707879999999999</v>
      </c>
      <c r="P1149" s="30"/>
      <c r="Q1149" s="31">
        <v>107.46179487179499</v>
      </c>
    </row>
    <row r="1150" spans="1:17" ht="15" customHeight="1" x14ac:dyDescent="0.2">
      <c r="A1150" s="17" t="s">
        <v>161</v>
      </c>
      <c r="B1150" s="18" t="s">
        <v>148</v>
      </c>
      <c r="C1150" s="18" t="s">
        <v>149</v>
      </c>
      <c r="D1150" s="20">
        <v>162</v>
      </c>
      <c r="E1150" s="17" t="s">
        <v>578</v>
      </c>
      <c r="F1150" s="19" t="s">
        <v>576</v>
      </c>
      <c r="G1150" s="19" t="s">
        <v>576</v>
      </c>
      <c r="H1150" s="19" t="s">
        <v>579</v>
      </c>
      <c r="I1150" s="21"/>
      <c r="J1150" s="21"/>
      <c r="K1150" s="22">
        <v>15682.03</v>
      </c>
      <c r="L1150" s="22">
        <v>22000</v>
      </c>
      <c r="M1150" s="22">
        <v>22000</v>
      </c>
      <c r="N1150" s="23">
        <v>-0.28718045454545499</v>
      </c>
      <c r="O1150" s="23">
        <v>-0.28718045454545499</v>
      </c>
      <c r="P1150" s="21"/>
      <c r="Q1150" s="22">
        <v>96.802654320987699</v>
      </c>
    </row>
    <row r="1151" spans="1:17" ht="15" customHeight="1" x14ac:dyDescent="0.2">
      <c r="A1151" s="26" t="s">
        <v>165</v>
      </c>
      <c r="B1151" s="27" t="s">
        <v>148</v>
      </c>
      <c r="C1151" s="27" t="s">
        <v>149</v>
      </c>
      <c r="D1151" s="29">
        <v>197</v>
      </c>
      <c r="E1151" s="26" t="s">
        <v>578</v>
      </c>
      <c r="F1151" s="28" t="s">
        <v>576</v>
      </c>
      <c r="G1151" s="28" t="s">
        <v>576</v>
      </c>
      <c r="H1151" s="28" t="s">
        <v>579</v>
      </c>
      <c r="I1151" s="30"/>
      <c r="J1151" s="30"/>
      <c r="K1151" s="31">
        <v>7038.38</v>
      </c>
      <c r="L1151" s="31">
        <v>2000</v>
      </c>
      <c r="M1151" s="31">
        <v>2000</v>
      </c>
      <c r="N1151" s="32">
        <v>2.51919</v>
      </c>
      <c r="O1151" s="32">
        <v>2.51919</v>
      </c>
      <c r="P1151" s="30"/>
      <c r="Q1151" s="31">
        <v>35.727817258883299</v>
      </c>
    </row>
    <row r="1152" spans="1:17" ht="15" customHeight="1" x14ac:dyDescent="0.2">
      <c r="A1152" s="17" t="s">
        <v>167</v>
      </c>
      <c r="B1152" s="18" t="s">
        <v>148</v>
      </c>
      <c r="C1152" s="18" t="s">
        <v>149</v>
      </c>
      <c r="D1152" s="20">
        <v>119</v>
      </c>
      <c r="E1152" s="17" t="s">
        <v>578</v>
      </c>
      <c r="F1152" s="19" t="s">
        <v>576</v>
      </c>
      <c r="G1152" s="19" t="s">
        <v>576</v>
      </c>
      <c r="H1152" s="19" t="s">
        <v>579</v>
      </c>
      <c r="I1152" s="21"/>
      <c r="J1152" s="21"/>
      <c r="K1152" s="22">
        <v>17974.5</v>
      </c>
      <c r="L1152" s="22">
        <v>22000</v>
      </c>
      <c r="M1152" s="22">
        <v>22500</v>
      </c>
      <c r="N1152" s="23">
        <v>-0.18297727272727299</v>
      </c>
      <c r="O1152" s="23">
        <v>-0.201133333333333</v>
      </c>
      <c r="P1152" s="21"/>
      <c r="Q1152" s="22">
        <v>151.04621848739501</v>
      </c>
    </row>
    <row r="1153" spans="1:17" ht="15" customHeight="1" x14ac:dyDescent="0.2">
      <c r="A1153" s="26" t="s">
        <v>169</v>
      </c>
      <c r="B1153" s="27" t="s">
        <v>148</v>
      </c>
      <c r="C1153" s="27" t="s">
        <v>149</v>
      </c>
      <c r="D1153" s="29">
        <v>211</v>
      </c>
      <c r="E1153" s="26" t="s">
        <v>578</v>
      </c>
      <c r="F1153" s="28" t="s">
        <v>576</v>
      </c>
      <c r="G1153" s="28" t="s">
        <v>576</v>
      </c>
      <c r="H1153" s="28" t="s">
        <v>579</v>
      </c>
      <c r="I1153" s="30"/>
      <c r="J1153" s="30"/>
      <c r="K1153" s="31">
        <v>2252.62</v>
      </c>
      <c r="L1153" s="31">
        <v>3000</v>
      </c>
      <c r="M1153" s="31">
        <v>3000</v>
      </c>
      <c r="N1153" s="32">
        <v>-0.249126666666667</v>
      </c>
      <c r="O1153" s="32">
        <v>-0.249126666666667</v>
      </c>
      <c r="P1153" s="30"/>
      <c r="Q1153" s="31">
        <v>10.675924170616099</v>
      </c>
    </row>
    <row r="1154" spans="1:17" ht="15" customHeight="1" x14ac:dyDescent="0.2">
      <c r="A1154" s="17" t="s">
        <v>171</v>
      </c>
      <c r="B1154" s="18" t="s">
        <v>148</v>
      </c>
      <c r="C1154" s="18" t="s">
        <v>149</v>
      </c>
      <c r="D1154" s="20">
        <v>211</v>
      </c>
      <c r="E1154" s="17" t="s">
        <v>578</v>
      </c>
      <c r="F1154" s="19" t="s">
        <v>576</v>
      </c>
      <c r="G1154" s="19" t="s">
        <v>576</v>
      </c>
      <c r="H1154" s="19" t="s">
        <v>579</v>
      </c>
      <c r="I1154" s="21"/>
      <c r="J1154" s="21"/>
      <c r="K1154" s="22">
        <v>10226</v>
      </c>
      <c r="L1154" s="22">
        <v>5000</v>
      </c>
      <c r="M1154" s="22">
        <v>5000</v>
      </c>
      <c r="N1154" s="23">
        <v>1.0451999999999999</v>
      </c>
      <c r="O1154" s="23">
        <v>1.0451999999999999</v>
      </c>
      <c r="P1154" s="21"/>
      <c r="Q1154" s="22">
        <v>48.464454976303301</v>
      </c>
    </row>
    <row r="1155" spans="1:17" ht="15" customHeight="1" x14ac:dyDescent="0.2">
      <c r="A1155" s="26" t="s">
        <v>175</v>
      </c>
      <c r="B1155" s="27" t="s">
        <v>148</v>
      </c>
      <c r="C1155" s="27" t="s">
        <v>149</v>
      </c>
      <c r="D1155" s="29">
        <v>136</v>
      </c>
      <c r="E1155" s="26" t="s">
        <v>578</v>
      </c>
      <c r="F1155" s="28" t="s">
        <v>576</v>
      </c>
      <c r="G1155" s="28" t="s">
        <v>576</v>
      </c>
      <c r="H1155" s="28" t="s">
        <v>579</v>
      </c>
      <c r="I1155" s="30"/>
      <c r="J1155" s="30"/>
      <c r="K1155" s="31">
        <v>53259.5</v>
      </c>
      <c r="L1155" s="31">
        <v>38000</v>
      </c>
      <c r="M1155" s="31">
        <v>39000</v>
      </c>
      <c r="N1155" s="32">
        <v>0.40156578947368399</v>
      </c>
      <c r="O1155" s="32">
        <v>0.36562820512820499</v>
      </c>
      <c r="P1155" s="30"/>
      <c r="Q1155" s="31">
        <v>391.61397058823502</v>
      </c>
    </row>
    <row r="1156" spans="1:17" ht="15" customHeight="1" x14ac:dyDescent="0.2">
      <c r="A1156" s="17" t="s">
        <v>177</v>
      </c>
      <c r="B1156" s="18" t="s">
        <v>148</v>
      </c>
      <c r="C1156" s="18" t="s">
        <v>149</v>
      </c>
      <c r="D1156" s="20">
        <v>18</v>
      </c>
      <c r="E1156" s="17" t="s">
        <v>578</v>
      </c>
      <c r="F1156" s="19" t="s">
        <v>576</v>
      </c>
      <c r="G1156" s="19" t="s">
        <v>576</v>
      </c>
      <c r="H1156" s="19" t="s">
        <v>579</v>
      </c>
      <c r="I1156" s="21"/>
      <c r="J1156" s="21"/>
      <c r="K1156" s="22">
        <v>4756.5</v>
      </c>
      <c r="L1156" s="22">
        <v>7000</v>
      </c>
      <c r="M1156" s="22">
        <v>7000</v>
      </c>
      <c r="N1156" s="23">
        <v>-0.32050000000000001</v>
      </c>
      <c r="O1156" s="23">
        <v>-0.32050000000000001</v>
      </c>
      <c r="P1156" s="21"/>
      <c r="Q1156" s="22">
        <v>264.25</v>
      </c>
    </row>
    <row r="1157" spans="1:17" ht="15" customHeight="1" x14ac:dyDescent="0.2">
      <c r="A1157" s="26" t="s">
        <v>179</v>
      </c>
      <c r="B1157" s="27" t="s">
        <v>148</v>
      </c>
      <c r="C1157" s="27" t="s">
        <v>180</v>
      </c>
      <c r="D1157" s="29">
        <v>209</v>
      </c>
      <c r="E1157" s="26" t="s">
        <v>578</v>
      </c>
      <c r="F1157" s="28" t="s">
        <v>576</v>
      </c>
      <c r="G1157" s="28" t="s">
        <v>576</v>
      </c>
      <c r="H1157" s="28" t="s">
        <v>579</v>
      </c>
      <c r="I1157" s="30"/>
      <c r="J1157" s="30"/>
      <c r="K1157" s="31">
        <v>28143.85</v>
      </c>
      <c r="L1157" s="31">
        <v>50000</v>
      </c>
      <c r="M1157" s="31">
        <v>50770</v>
      </c>
      <c r="N1157" s="32">
        <v>-0.43712299999999998</v>
      </c>
      <c r="O1157" s="32">
        <v>-0.44565983848729601</v>
      </c>
      <c r="P1157" s="30"/>
      <c r="Q1157" s="31">
        <v>134.65956937799001</v>
      </c>
    </row>
    <row r="1158" spans="1:17" ht="15" customHeight="1" x14ac:dyDescent="0.2">
      <c r="A1158" s="17" t="s">
        <v>185</v>
      </c>
      <c r="B1158" s="18" t="s">
        <v>148</v>
      </c>
      <c r="C1158" s="18" t="s">
        <v>180</v>
      </c>
      <c r="D1158" s="20">
        <v>117</v>
      </c>
      <c r="E1158" s="17" t="s">
        <v>578</v>
      </c>
      <c r="F1158" s="19" t="s">
        <v>576</v>
      </c>
      <c r="G1158" s="19" t="s">
        <v>576</v>
      </c>
      <c r="H1158" s="19" t="s">
        <v>579</v>
      </c>
      <c r="I1158" s="21"/>
      <c r="J1158" s="21"/>
      <c r="K1158" s="22">
        <v>1218.23</v>
      </c>
      <c r="L1158" s="22">
        <v>20000</v>
      </c>
      <c r="M1158" s="22">
        <v>20000</v>
      </c>
      <c r="N1158" s="23">
        <v>-0.93908849999999999</v>
      </c>
      <c r="O1158" s="23">
        <v>-0.93908849999999999</v>
      </c>
      <c r="P1158" s="21"/>
      <c r="Q1158" s="22">
        <v>10.4122222222222</v>
      </c>
    </row>
    <row r="1159" spans="1:17" ht="15" customHeight="1" x14ac:dyDescent="0.2">
      <c r="A1159" s="26" t="s">
        <v>190</v>
      </c>
      <c r="B1159" s="27" t="s">
        <v>148</v>
      </c>
      <c r="C1159" s="27" t="s">
        <v>180</v>
      </c>
      <c r="D1159" s="29">
        <v>75</v>
      </c>
      <c r="E1159" s="26" t="s">
        <v>578</v>
      </c>
      <c r="F1159" s="28" t="s">
        <v>576</v>
      </c>
      <c r="G1159" s="28" t="s">
        <v>576</v>
      </c>
      <c r="H1159" s="28" t="s">
        <v>579</v>
      </c>
      <c r="I1159" s="30"/>
      <c r="J1159" s="30"/>
      <c r="K1159" s="31">
        <v>27969.5</v>
      </c>
      <c r="L1159" s="31">
        <v>30000</v>
      </c>
      <c r="M1159" s="31">
        <v>30000</v>
      </c>
      <c r="N1159" s="32">
        <v>-6.7683333333333304E-2</v>
      </c>
      <c r="O1159" s="32">
        <v>-6.7683333333333304E-2</v>
      </c>
      <c r="P1159" s="30"/>
      <c r="Q1159" s="31">
        <v>372.92666666666702</v>
      </c>
    </row>
    <row r="1160" spans="1:17" ht="15" customHeight="1" x14ac:dyDescent="0.2">
      <c r="A1160" s="17" t="s">
        <v>195</v>
      </c>
      <c r="B1160" s="18" t="s">
        <v>148</v>
      </c>
      <c r="C1160" s="18" t="s">
        <v>180</v>
      </c>
      <c r="D1160" s="20">
        <v>49</v>
      </c>
      <c r="E1160" s="17" t="s">
        <v>578</v>
      </c>
      <c r="F1160" s="19" t="s">
        <v>576</v>
      </c>
      <c r="G1160" s="19" t="s">
        <v>576</v>
      </c>
      <c r="H1160" s="19" t="s">
        <v>579</v>
      </c>
      <c r="I1160" s="21"/>
      <c r="J1160" s="21"/>
      <c r="K1160" s="22">
        <v>17344</v>
      </c>
      <c r="L1160" s="22">
        <v>35000</v>
      </c>
      <c r="M1160" s="22">
        <v>35000</v>
      </c>
      <c r="N1160" s="23">
        <v>-0.50445714285714305</v>
      </c>
      <c r="O1160" s="23">
        <v>-0.50445714285714305</v>
      </c>
      <c r="P1160" s="21"/>
      <c r="Q1160" s="22">
        <v>353.959183673469</v>
      </c>
    </row>
    <row r="1161" spans="1:17" ht="15" customHeight="1" x14ac:dyDescent="0.2">
      <c r="A1161" s="26" t="s">
        <v>201</v>
      </c>
      <c r="B1161" s="27" t="s">
        <v>148</v>
      </c>
      <c r="C1161" s="27" t="s">
        <v>180</v>
      </c>
      <c r="D1161" s="29">
        <v>170</v>
      </c>
      <c r="E1161" s="26" t="s">
        <v>578</v>
      </c>
      <c r="F1161" s="28" t="s">
        <v>576</v>
      </c>
      <c r="G1161" s="28" t="s">
        <v>576</v>
      </c>
      <c r="H1161" s="28" t="s">
        <v>579</v>
      </c>
      <c r="I1161" s="30"/>
      <c r="J1161" s="30"/>
      <c r="K1161" s="31">
        <v>39853.5</v>
      </c>
      <c r="L1161" s="31">
        <v>30000</v>
      </c>
      <c r="M1161" s="31">
        <v>35343</v>
      </c>
      <c r="N1161" s="32">
        <v>0.32845000000000002</v>
      </c>
      <c r="O1161" s="32">
        <v>0.12762074526780401</v>
      </c>
      <c r="P1161" s="30"/>
      <c r="Q1161" s="31">
        <v>234.43235294117699</v>
      </c>
    </row>
    <row r="1162" spans="1:17" ht="15" customHeight="1" x14ac:dyDescent="0.2">
      <c r="A1162" s="17" t="s">
        <v>205</v>
      </c>
      <c r="B1162" s="18" t="s">
        <v>148</v>
      </c>
      <c r="C1162" s="18" t="s">
        <v>180</v>
      </c>
      <c r="D1162" s="20">
        <v>296</v>
      </c>
      <c r="E1162" s="17" t="s">
        <v>578</v>
      </c>
      <c r="F1162" s="19" t="s">
        <v>576</v>
      </c>
      <c r="G1162" s="19" t="s">
        <v>576</v>
      </c>
      <c r="H1162" s="19" t="s">
        <v>579</v>
      </c>
      <c r="I1162" s="21"/>
      <c r="J1162" s="21"/>
      <c r="K1162" s="22">
        <v>20232.560000000001</v>
      </c>
      <c r="L1162" s="22">
        <v>25000</v>
      </c>
      <c r="M1162" s="22">
        <v>25000</v>
      </c>
      <c r="N1162" s="23">
        <v>-0.19069759999999999</v>
      </c>
      <c r="O1162" s="23">
        <v>-0.19069759999999999</v>
      </c>
      <c r="P1162" s="21"/>
      <c r="Q1162" s="22">
        <v>68.353243243243199</v>
      </c>
    </row>
    <row r="1163" spans="1:17" ht="15" customHeight="1" x14ac:dyDescent="0.2">
      <c r="A1163" s="26" t="s">
        <v>210</v>
      </c>
      <c r="B1163" s="27" t="s">
        <v>148</v>
      </c>
      <c r="C1163" s="27" t="s">
        <v>180</v>
      </c>
      <c r="D1163" s="29">
        <v>83</v>
      </c>
      <c r="E1163" s="26" t="s">
        <v>578</v>
      </c>
      <c r="F1163" s="28" t="s">
        <v>576</v>
      </c>
      <c r="G1163" s="28" t="s">
        <v>576</v>
      </c>
      <c r="H1163" s="28" t="s">
        <v>579</v>
      </c>
      <c r="I1163" s="30"/>
      <c r="J1163" s="30"/>
      <c r="K1163" s="31">
        <v>20121</v>
      </c>
      <c r="L1163" s="31">
        <v>22000</v>
      </c>
      <c r="M1163" s="31">
        <v>22000</v>
      </c>
      <c r="N1163" s="32">
        <v>-8.5409090909090907E-2</v>
      </c>
      <c r="O1163" s="32">
        <v>-8.5409090909090907E-2</v>
      </c>
      <c r="P1163" s="30"/>
      <c r="Q1163" s="31">
        <v>242.421686746988</v>
      </c>
    </row>
    <row r="1164" spans="1:17" ht="15" customHeight="1" x14ac:dyDescent="0.2">
      <c r="A1164" s="17" t="s">
        <v>214</v>
      </c>
      <c r="B1164" s="18" t="s">
        <v>148</v>
      </c>
      <c r="C1164" s="18" t="s">
        <v>180</v>
      </c>
      <c r="D1164" s="20">
        <v>144</v>
      </c>
      <c r="E1164" s="17" t="s">
        <v>578</v>
      </c>
      <c r="F1164" s="19" t="s">
        <v>576</v>
      </c>
      <c r="G1164" s="19" t="s">
        <v>576</v>
      </c>
      <c r="H1164" s="19" t="s">
        <v>579</v>
      </c>
      <c r="I1164" s="21"/>
      <c r="J1164" s="21"/>
      <c r="K1164" s="22">
        <v>22272.25</v>
      </c>
      <c r="L1164" s="22">
        <v>25000</v>
      </c>
      <c r="M1164" s="22">
        <v>25100</v>
      </c>
      <c r="N1164" s="23">
        <v>-0.10911</v>
      </c>
      <c r="O1164" s="23">
        <v>-0.112659362549801</v>
      </c>
      <c r="P1164" s="21"/>
      <c r="Q1164" s="22">
        <v>154.668402777778</v>
      </c>
    </row>
    <row r="1165" spans="1:17" ht="15" customHeight="1" x14ac:dyDescent="0.2">
      <c r="A1165" s="26" t="s">
        <v>219</v>
      </c>
      <c r="B1165" s="27" t="s">
        <v>148</v>
      </c>
      <c r="C1165" s="27" t="s">
        <v>180</v>
      </c>
      <c r="D1165" s="29">
        <v>398</v>
      </c>
      <c r="E1165" s="26" t="s">
        <v>578</v>
      </c>
      <c r="F1165" s="28" t="s">
        <v>576</v>
      </c>
      <c r="G1165" s="28" t="s">
        <v>576</v>
      </c>
      <c r="H1165" s="28" t="s">
        <v>579</v>
      </c>
      <c r="I1165" s="30"/>
      <c r="J1165" s="30"/>
      <c r="K1165" s="31">
        <v>3927.4</v>
      </c>
      <c r="L1165" s="31">
        <v>56720</v>
      </c>
      <c r="M1165" s="31">
        <v>56720</v>
      </c>
      <c r="N1165" s="32">
        <v>-0.93075811001410402</v>
      </c>
      <c r="O1165" s="32">
        <v>-0.93075811001410402</v>
      </c>
      <c r="P1165" s="30"/>
      <c r="Q1165" s="31">
        <v>9.8678391959799008</v>
      </c>
    </row>
    <row r="1166" spans="1:17" ht="15" customHeight="1" x14ac:dyDescent="0.2">
      <c r="A1166" s="17" t="s">
        <v>224</v>
      </c>
      <c r="B1166" s="18" t="s">
        <v>148</v>
      </c>
      <c r="C1166" s="18" t="s">
        <v>180</v>
      </c>
      <c r="D1166" s="20">
        <v>71</v>
      </c>
      <c r="E1166" s="17" t="s">
        <v>578</v>
      </c>
      <c r="F1166" s="19" t="s">
        <v>576</v>
      </c>
      <c r="G1166" s="19" t="s">
        <v>576</v>
      </c>
      <c r="H1166" s="19" t="s">
        <v>579</v>
      </c>
      <c r="I1166" s="21"/>
      <c r="J1166" s="21"/>
      <c r="K1166" s="22">
        <v>17538.5</v>
      </c>
      <c r="L1166" s="22">
        <v>21000</v>
      </c>
      <c r="M1166" s="22">
        <v>21000</v>
      </c>
      <c r="N1166" s="23">
        <v>-0.164833333333333</v>
      </c>
      <c r="O1166" s="23">
        <v>-0.164833333333333</v>
      </c>
      <c r="P1166" s="21"/>
      <c r="Q1166" s="22">
        <v>247.02112676056299</v>
      </c>
    </row>
    <row r="1167" spans="1:17" ht="15" customHeight="1" x14ac:dyDescent="0.2">
      <c r="A1167" s="26" t="s">
        <v>230</v>
      </c>
      <c r="B1167" s="27" t="s">
        <v>148</v>
      </c>
      <c r="C1167" s="27" t="s">
        <v>180</v>
      </c>
      <c r="D1167" s="29">
        <v>139</v>
      </c>
      <c r="E1167" s="26" t="s">
        <v>578</v>
      </c>
      <c r="F1167" s="28" t="s">
        <v>576</v>
      </c>
      <c r="G1167" s="28" t="s">
        <v>576</v>
      </c>
      <c r="H1167" s="28" t="s">
        <v>579</v>
      </c>
      <c r="I1167" s="30"/>
      <c r="J1167" s="30"/>
      <c r="K1167" s="31">
        <v>60958.25</v>
      </c>
      <c r="L1167" s="31">
        <v>55000</v>
      </c>
      <c r="M1167" s="31">
        <v>57485</v>
      </c>
      <c r="N1167" s="32">
        <v>0.108331818181818</v>
      </c>
      <c r="O1167" s="32">
        <v>6.04201095938071E-2</v>
      </c>
      <c r="P1167" s="30"/>
      <c r="Q1167" s="31">
        <v>438.54856115107901</v>
      </c>
    </row>
    <row r="1168" spans="1:17" ht="15" customHeight="1" x14ac:dyDescent="0.2">
      <c r="A1168" s="17" t="s">
        <v>236</v>
      </c>
      <c r="B1168" s="18" t="s">
        <v>148</v>
      </c>
      <c r="C1168" s="18" t="s">
        <v>180</v>
      </c>
      <c r="D1168" s="20">
        <v>128</v>
      </c>
      <c r="E1168" s="17" t="s">
        <v>578</v>
      </c>
      <c r="F1168" s="19" t="s">
        <v>576</v>
      </c>
      <c r="G1168" s="19" t="s">
        <v>576</v>
      </c>
      <c r="H1168" s="19" t="s">
        <v>579</v>
      </c>
      <c r="I1168" s="21"/>
      <c r="J1168" s="21"/>
      <c r="K1168" s="22">
        <v>33606.25</v>
      </c>
      <c r="L1168" s="22">
        <v>55000</v>
      </c>
      <c r="M1168" s="22">
        <v>57200</v>
      </c>
      <c r="N1168" s="23">
        <v>-0.388977272727273</v>
      </c>
      <c r="O1168" s="23">
        <v>-0.41247814685314699</v>
      </c>
      <c r="P1168" s="21"/>
      <c r="Q1168" s="22">
        <v>262.548828125</v>
      </c>
    </row>
    <row r="1169" spans="1:17" ht="15" customHeight="1" x14ac:dyDescent="0.2">
      <c r="A1169" s="26" t="s">
        <v>249</v>
      </c>
      <c r="B1169" s="27" t="s">
        <v>148</v>
      </c>
      <c r="C1169" s="27" t="s">
        <v>180</v>
      </c>
      <c r="D1169" s="29">
        <v>122</v>
      </c>
      <c r="E1169" s="26" t="s">
        <v>578</v>
      </c>
      <c r="F1169" s="28" t="s">
        <v>576</v>
      </c>
      <c r="G1169" s="28" t="s">
        <v>576</v>
      </c>
      <c r="H1169" s="28" t="s">
        <v>579</v>
      </c>
      <c r="I1169" s="30"/>
      <c r="J1169" s="30"/>
      <c r="K1169" s="31">
        <v>44369.11</v>
      </c>
      <c r="L1169" s="31">
        <v>36000</v>
      </c>
      <c r="M1169" s="31">
        <v>39220</v>
      </c>
      <c r="N1169" s="32">
        <v>0.23247527777777799</v>
      </c>
      <c r="O1169" s="32">
        <v>0.13128786333503301</v>
      </c>
      <c r="P1169" s="30"/>
      <c r="Q1169" s="31">
        <v>363.68122950819702</v>
      </c>
    </row>
    <row r="1170" spans="1:17" ht="15" customHeight="1" x14ac:dyDescent="0.2">
      <c r="A1170" s="17" t="s">
        <v>254</v>
      </c>
      <c r="B1170" s="18" t="s">
        <v>148</v>
      </c>
      <c r="C1170" s="18" t="s">
        <v>180</v>
      </c>
      <c r="D1170" s="20">
        <v>80</v>
      </c>
      <c r="E1170" s="17" t="s">
        <v>578</v>
      </c>
      <c r="F1170" s="19" t="s">
        <v>576</v>
      </c>
      <c r="G1170" s="19" t="s">
        <v>576</v>
      </c>
      <c r="H1170" s="19" t="s">
        <v>579</v>
      </c>
      <c r="I1170" s="21"/>
      <c r="J1170" s="21"/>
      <c r="K1170" s="22">
        <v>36872.75</v>
      </c>
      <c r="L1170" s="22">
        <v>40000</v>
      </c>
      <c r="M1170" s="22">
        <v>40000</v>
      </c>
      <c r="N1170" s="23">
        <v>-7.8181249999999994E-2</v>
      </c>
      <c r="O1170" s="23">
        <v>-7.8181249999999994E-2</v>
      </c>
      <c r="P1170" s="21"/>
      <c r="Q1170" s="22">
        <v>460.90937500000001</v>
      </c>
    </row>
    <row r="1171" spans="1:17" ht="15" customHeight="1" x14ac:dyDescent="0.2">
      <c r="A1171" s="26" t="s">
        <v>259</v>
      </c>
      <c r="B1171" s="27" t="s">
        <v>148</v>
      </c>
      <c r="C1171" s="27" t="s">
        <v>180</v>
      </c>
      <c r="D1171" s="29"/>
      <c r="E1171" s="26" t="s">
        <v>578</v>
      </c>
      <c r="F1171" s="28" t="s">
        <v>576</v>
      </c>
      <c r="G1171" s="28" t="s">
        <v>576</v>
      </c>
      <c r="H1171" s="28" t="s">
        <v>579</v>
      </c>
      <c r="I1171" s="30"/>
      <c r="J1171" s="30"/>
      <c r="K1171" s="31">
        <v>3337.5</v>
      </c>
      <c r="L1171" s="31">
        <v>5000</v>
      </c>
      <c r="M1171" s="31">
        <v>5000</v>
      </c>
      <c r="N1171" s="32">
        <v>-0.33250000000000002</v>
      </c>
      <c r="O1171" s="32">
        <v>-0.33250000000000002</v>
      </c>
      <c r="P1171" s="30"/>
      <c r="Q1171" s="31"/>
    </row>
    <row r="1172" spans="1:17" ht="15" customHeight="1" x14ac:dyDescent="0.2">
      <c r="A1172" s="17" t="s">
        <v>263</v>
      </c>
      <c r="B1172" s="18" t="s">
        <v>148</v>
      </c>
      <c r="C1172" s="18" t="s">
        <v>180</v>
      </c>
      <c r="D1172" s="20">
        <v>55</v>
      </c>
      <c r="E1172" s="17" t="s">
        <v>578</v>
      </c>
      <c r="F1172" s="19" t="s">
        <v>576</v>
      </c>
      <c r="G1172" s="19" t="s">
        <v>576</v>
      </c>
      <c r="H1172" s="19" t="s">
        <v>579</v>
      </c>
      <c r="I1172" s="21"/>
      <c r="J1172" s="21"/>
      <c r="K1172" s="22">
        <v>15976</v>
      </c>
      <c r="L1172" s="22">
        <v>16000</v>
      </c>
      <c r="M1172" s="22">
        <v>16000</v>
      </c>
      <c r="N1172" s="23">
        <v>-1.5E-3</v>
      </c>
      <c r="O1172" s="23">
        <v>-1.5E-3</v>
      </c>
      <c r="P1172" s="21"/>
      <c r="Q1172" s="22">
        <v>290.47272727272701</v>
      </c>
    </row>
    <row r="1173" spans="1:17" ht="15" customHeight="1" x14ac:dyDescent="0.2">
      <c r="A1173" s="26" t="s">
        <v>266</v>
      </c>
      <c r="B1173" s="27" t="s">
        <v>148</v>
      </c>
      <c r="C1173" s="27" t="s">
        <v>267</v>
      </c>
      <c r="D1173" s="29">
        <v>108</v>
      </c>
      <c r="E1173" s="26" t="s">
        <v>578</v>
      </c>
      <c r="F1173" s="28" t="s">
        <v>576</v>
      </c>
      <c r="G1173" s="28" t="s">
        <v>576</v>
      </c>
      <c r="H1173" s="28" t="s">
        <v>579</v>
      </c>
      <c r="I1173" s="30"/>
      <c r="J1173" s="30"/>
      <c r="K1173" s="31">
        <v>57943.23</v>
      </c>
      <c r="L1173" s="31">
        <v>50000</v>
      </c>
      <c r="M1173" s="31">
        <v>50000</v>
      </c>
      <c r="N1173" s="32">
        <v>0.15886459999999999</v>
      </c>
      <c r="O1173" s="32">
        <v>0.15886459999999999</v>
      </c>
      <c r="P1173" s="30"/>
      <c r="Q1173" s="31">
        <v>536.51138888888897</v>
      </c>
    </row>
    <row r="1174" spans="1:17" ht="15" customHeight="1" x14ac:dyDescent="0.2">
      <c r="A1174" s="17" t="s">
        <v>270</v>
      </c>
      <c r="B1174" s="18" t="s">
        <v>148</v>
      </c>
      <c r="C1174" s="18" t="s">
        <v>267</v>
      </c>
      <c r="D1174" s="20">
        <v>75</v>
      </c>
      <c r="E1174" s="17" t="s">
        <v>578</v>
      </c>
      <c r="F1174" s="19" t="s">
        <v>576</v>
      </c>
      <c r="G1174" s="19" t="s">
        <v>576</v>
      </c>
      <c r="H1174" s="19" t="s">
        <v>579</v>
      </c>
      <c r="I1174" s="21"/>
      <c r="J1174" s="21"/>
      <c r="K1174" s="22">
        <v>32640.89</v>
      </c>
      <c r="L1174" s="22">
        <v>27000</v>
      </c>
      <c r="M1174" s="22">
        <v>27000</v>
      </c>
      <c r="N1174" s="23">
        <v>0.208921851851852</v>
      </c>
      <c r="O1174" s="23">
        <v>0.208921851851852</v>
      </c>
      <c r="P1174" s="21"/>
      <c r="Q1174" s="22">
        <v>435.21186666666699</v>
      </c>
    </row>
    <row r="1175" spans="1:17" ht="15" customHeight="1" x14ac:dyDescent="0.2">
      <c r="A1175" s="26" t="s">
        <v>272</v>
      </c>
      <c r="B1175" s="27" t="s">
        <v>148</v>
      </c>
      <c r="C1175" s="27" t="s">
        <v>267</v>
      </c>
      <c r="D1175" s="29">
        <v>89</v>
      </c>
      <c r="E1175" s="26" t="s">
        <v>578</v>
      </c>
      <c r="F1175" s="28" t="s">
        <v>576</v>
      </c>
      <c r="G1175" s="28" t="s">
        <v>576</v>
      </c>
      <c r="H1175" s="28" t="s">
        <v>579</v>
      </c>
      <c r="I1175" s="30"/>
      <c r="J1175" s="30"/>
      <c r="K1175" s="31">
        <v>29259.75</v>
      </c>
      <c r="L1175" s="31">
        <v>55000</v>
      </c>
      <c r="M1175" s="31">
        <v>55500</v>
      </c>
      <c r="N1175" s="32">
        <v>-0.46800454545454601</v>
      </c>
      <c r="O1175" s="32">
        <v>-0.47279729729729703</v>
      </c>
      <c r="P1175" s="30"/>
      <c r="Q1175" s="31">
        <v>328.76123595505601</v>
      </c>
    </row>
    <row r="1176" spans="1:17" ht="15" customHeight="1" x14ac:dyDescent="0.2">
      <c r="A1176" s="17" t="s">
        <v>275</v>
      </c>
      <c r="B1176" s="18" t="s">
        <v>148</v>
      </c>
      <c r="C1176" s="18" t="s">
        <v>267</v>
      </c>
      <c r="D1176" s="20">
        <v>78</v>
      </c>
      <c r="E1176" s="17" t="s">
        <v>578</v>
      </c>
      <c r="F1176" s="19" t="s">
        <v>576</v>
      </c>
      <c r="G1176" s="19" t="s">
        <v>576</v>
      </c>
      <c r="H1176" s="19" t="s">
        <v>579</v>
      </c>
      <c r="I1176" s="21"/>
      <c r="J1176" s="21"/>
      <c r="K1176" s="22">
        <v>25725.439999999999</v>
      </c>
      <c r="L1176" s="22">
        <v>21000</v>
      </c>
      <c r="M1176" s="22">
        <v>21000</v>
      </c>
      <c r="N1176" s="23">
        <v>0.22502095238095199</v>
      </c>
      <c r="O1176" s="23">
        <v>0.22502095238095199</v>
      </c>
      <c r="P1176" s="21"/>
      <c r="Q1176" s="22">
        <v>329.81333333333299</v>
      </c>
    </row>
    <row r="1177" spans="1:17" ht="15" customHeight="1" x14ac:dyDescent="0.2">
      <c r="A1177" s="26" t="s">
        <v>277</v>
      </c>
      <c r="B1177" s="27" t="s">
        <v>148</v>
      </c>
      <c r="C1177" s="27" t="s">
        <v>267</v>
      </c>
      <c r="D1177" s="29">
        <v>158</v>
      </c>
      <c r="E1177" s="26" t="s">
        <v>578</v>
      </c>
      <c r="F1177" s="28" t="s">
        <v>576</v>
      </c>
      <c r="G1177" s="28" t="s">
        <v>576</v>
      </c>
      <c r="H1177" s="28" t="s">
        <v>579</v>
      </c>
      <c r="I1177" s="30"/>
      <c r="J1177" s="30"/>
      <c r="K1177" s="31">
        <v>16078.25</v>
      </c>
      <c r="L1177" s="31">
        <v>25000</v>
      </c>
      <c r="M1177" s="31">
        <v>25000</v>
      </c>
      <c r="N1177" s="32">
        <v>-0.35687000000000002</v>
      </c>
      <c r="O1177" s="32">
        <v>-0.35687000000000002</v>
      </c>
      <c r="P1177" s="30"/>
      <c r="Q1177" s="31">
        <v>101.761075949367</v>
      </c>
    </row>
    <row r="1178" spans="1:17" ht="15" customHeight="1" x14ac:dyDescent="0.2">
      <c r="A1178" s="17" t="s">
        <v>280</v>
      </c>
      <c r="B1178" s="18" t="s">
        <v>148</v>
      </c>
      <c r="C1178" s="18" t="s">
        <v>267</v>
      </c>
      <c r="D1178" s="20">
        <v>110</v>
      </c>
      <c r="E1178" s="17" t="s">
        <v>578</v>
      </c>
      <c r="F1178" s="19" t="s">
        <v>576</v>
      </c>
      <c r="G1178" s="19" t="s">
        <v>576</v>
      </c>
      <c r="H1178" s="19" t="s">
        <v>579</v>
      </c>
      <c r="I1178" s="21"/>
      <c r="J1178" s="21"/>
      <c r="K1178" s="22">
        <v>34504.78</v>
      </c>
      <c r="L1178" s="22">
        <v>42000</v>
      </c>
      <c r="M1178" s="22">
        <v>42000</v>
      </c>
      <c r="N1178" s="23">
        <v>-0.178457619047619</v>
      </c>
      <c r="O1178" s="23">
        <v>-0.178457619047619</v>
      </c>
      <c r="P1178" s="21"/>
      <c r="Q1178" s="22">
        <v>313.67981818181801</v>
      </c>
    </row>
    <row r="1179" spans="1:17" ht="15" customHeight="1" x14ac:dyDescent="0.2">
      <c r="A1179" s="26" t="s">
        <v>282</v>
      </c>
      <c r="B1179" s="27" t="s">
        <v>148</v>
      </c>
      <c r="C1179" s="27" t="s">
        <v>267</v>
      </c>
      <c r="D1179" s="29">
        <v>70</v>
      </c>
      <c r="E1179" s="26" t="s">
        <v>578</v>
      </c>
      <c r="F1179" s="28" t="s">
        <v>576</v>
      </c>
      <c r="G1179" s="28" t="s">
        <v>576</v>
      </c>
      <c r="H1179" s="28" t="s">
        <v>579</v>
      </c>
      <c r="I1179" s="30"/>
      <c r="J1179" s="30"/>
      <c r="K1179" s="31">
        <v>772.5</v>
      </c>
      <c r="L1179" s="31">
        <v>1000</v>
      </c>
      <c r="M1179" s="31">
        <v>1000</v>
      </c>
      <c r="N1179" s="32">
        <v>-0.22750000000000001</v>
      </c>
      <c r="O1179" s="32">
        <v>-0.22750000000000001</v>
      </c>
      <c r="P1179" s="30"/>
      <c r="Q1179" s="31">
        <v>11.035714285714301</v>
      </c>
    </row>
    <row r="1180" spans="1:17" ht="15" customHeight="1" x14ac:dyDescent="0.2">
      <c r="A1180" s="17" t="s">
        <v>284</v>
      </c>
      <c r="B1180" s="18" t="s">
        <v>148</v>
      </c>
      <c r="C1180" s="18" t="s">
        <v>267</v>
      </c>
      <c r="D1180" s="20">
        <v>72</v>
      </c>
      <c r="E1180" s="17" t="s">
        <v>578</v>
      </c>
      <c r="F1180" s="19" t="s">
        <v>576</v>
      </c>
      <c r="G1180" s="19" t="s">
        <v>576</v>
      </c>
      <c r="H1180" s="19" t="s">
        <v>579</v>
      </c>
      <c r="I1180" s="21"/>
      <c r="J1180" s="21"/>
      <c r="K1180" s="22">
        <v>772.5</v>
      </c>
      <c r="L1180" s="22">
        <v>1000</v>
      </c>
      <c r="M1180" s="22">
        <v>1000</v>
      </c>
      <c r="N1180" s="23">
        <v>-0.22750000000000001</v>
      </c>
      <c r="O1180" s="23">
        <v>-0.22750000000000001</v>
      </c>
      <c r="P1180" s="21"/>
      <c r="Q1180" s="22">
        <v>10.7291666666667</v>
      </c>
    </row>
    <row r="1181" spans="1:17" ht="15" customHeight="1" x14ac:dyDescent="0.2">
      <c r="A1181" s="26" t="s">
        <v>285</v>
      </c>
      <c r="B1181" s="27" t="s">
        <v>148</v>
      </c>
      <c r="C1181" s="27" t="s">
        <v>267</v>
      </c>
      <c r="D1181" s="29">
        <v>296</v>
      </c>
      <c r="E1181" s="26" t="s">
        <v>578</v>
      </c>
      <c r="F1181" s="28" t="s">
        <v>576</v>
      </c>
      <c r="G1181" s="28" t="s">
        <v>576</v>
      </c>
      <c r="H1181" s="28" t="s">
        <v>579</v>
      </c>
      <c r="I1181" s="30"/>
      <c r="J1181" s="30"/>
      <c r="K1181" s="31">
        <v>103</v>
      </c>
      <c r="L1181" s="31">
        <v>4000</v>
      </c>
      <c r="M1181" s="31">
        <v>5000</v>
      </c>
      <c r="N1181" s="32">
        <v>-0.97424999999999995</v>
      </c>
      <c r="O1181" s="32">
        <v>-0.97940000000000005</v>
      </c>
      <c r="P1181" s="30"/>
      <c r="Q1181" s="31">
        <v>0.34797297297297303</v>
      </c>
    </row>
    <row r="1182" spans="1:17" ht="15" customHeight="1" x14ac:dyDescent="0.2">
      <c r="A1182" s="17" t="s">
        <v>286</v>
      </c>
      <c r="B1182" s="18" t="s">
        <v>148</v>
      </c>
      <c r="C1182" s="18" t="s">
        <v>267</v>
      </c>
      <c r="D1182" s="20">
        <v>50</v>
      </c>
      <c r="E1182" s="17" t="s">
        <v>578</v>
      </c>
      <c r="F1182" s="19" t="s">
        <v>576</v>
      </c>
      <c r="G1182" s="19" t="s">
        <v>576</v>
      </c>
      <c r="H1182" s="19" t="s">
        <v>579</v>
      </c>
      <c r="I1182" s="21"/>
      <c r="J1182" s="21"/>
      <c r="K1182" s="22">
        <v>17150.88</v>
      </c>
      <c r="L1182" s="22">
        <v>30000</v>
      </c>
      <c r="M1182" s="22">
        <v>30000</v>
      </c>
      <c r="N1182" s="23">
        <v>-0.42830400000000002</v>
      </c>
      <c r="O1182" s="23">
        <v>-0.42830400000000002</v>
      </c>
      <c r="P1182" s="21"/>
      <c r="Q1182" s="22">
        <v>343.01760000000002</v>
      </c>
    </row>
    <row r="1183" spans="1:17" ht="15" customHeight="1" x14ac:dyDescent="0.2">
      <c r="A1183" s="26" t="s">
        <v>287</v>
      </c>
      <c r="B1183" s="27" t="s">
        <v>148</v>
      </c>
      <c r="C1183" s="27" t="s">
        <v>267</v>
      </c>
      <c r="D1183" s="29">
        <v>163</v>
      </c>
      <c r="E1183" s="26" t="s">
        <v>578</v>
      </c>
      <c r="F1183" s="28" t="s">
        <v>576</v>
      </c>
      <c r="G1183" s="28" t="s">
        <v>576</v>
      </c>
      <c r="H1183" s="28" t="s">
        <v>579</v>
      </c>
      <c r="I1183" s="30"/>
      <c r="J1183" s="30"/>
      <c r="K1183" s="31">
        <v>22226.25</v>
      </c>
      <c r="L1183" s="31">
        <v>45000</v>
      </c>
      <c r="M1183" s="31">
        <v>48022</v>
      </c>
      <c r="N1183" s="32">
        <v>-0.506083333333333</v>
      </c>
      <c r="O1183" s="32">
        <v>-0.53716525759027101</v>
      </c>
      <c r="P1183" s="30"/>
      <c r="Q1183" s="31">
        <v>136.35736196318999</v>
      </c>
    </row>
    <row r="1184" spans="1:17" ht="15" customHeight="1" x14ac:dyDescent="0.2">
      <c r="A1184" s="17" t="s">
        <v>289</v>
      </c>
      <c r="B1184" s="18" t="s">
        <v>148</v>
      </c>
      <c r="C1184" s="18" t="s">
        <v>267</v>
      </c>
      <c r="D1184" s="20">
        <v>107</v>
      </c>
      <c r="E1184" s="17" t="s">
        <v>578</v>
      </c>
      <c r="F1184" s="19" t="s">
        <v>576</v>
      </c>
      <c r="G1184" s="19" t="s">
        <v>576</v>
      </c>
      <c r="H1184" s="19" t="s">
        <v>579</v>
      </c>
      <c r="I1184" s="21"/>
      <c r="J1184" s="21"/>
      <c r="K1184" s="22">
        <v>35026.44</v>
      </c>
      <c r="L1184" s="22">
        <v>50000</v>
      </c>
      <c r="M1184" s="22">
        <v>51250</v>
      </c>
      <c r="N1184" s="23">
        <v>-0.29947119999999999</v>
      </c>
      <c r="O1184" s="23">
        <v>-0.31655726829268299</v>
      </c>
      <c r="P1184" s="21"/>
      <c r="Q1184" s="22">
        <v>327.34990654205598</v>
      </c>
    </row>
    <row r="1185" spans="1:17" ht="15" customHeight="1" x14ac:dyDescent="0.2">
      <c r="A1185" s="26" t="s">
        <v>292</v>
      </c>
      <c r="B1185" s="27" t="s">
        <v>148</v>
      </c>
      <c r="C1185" s="27" t="s">
        <v>267</v>
      </c>
      <c r="D1185" s="29">
        <v>136</v>
      </c>
      <c r="E1185" s="26" t="s">
        <v>578</v>
      </c>
      <c r="F1185" s="28" t="s">
        <v>576</v>
      </c>
      <c r="G1185" s="28" t="s">
        <v>576</v>
      </c>
      <c r="H1185" s="28" t="s">
        <v>579</v>
      </c>
      <c r="I1185" s="30"/>
      <c r="J1185" s="30"/>
      <c r="K1185" s="31">
        <v>40070.75</v>
      </c>
      <c r="L1185" s="31">
        <v>70000</v>
      </c>
      <c r="M1185" s="31">
        <v>70000</v>
      </c>
      <c r="N1185" s="32">
        <v>-0.42756071428571402</v>
      </c>
      <c r="O1185" s="32">
        <v>-0.42756071428571402</v>
      </c>
      <c r="P1185" s="30"/>
      <c r="Q1185" s="31">
        <v>294.63786764705901</v>
      </c>
    </row>
    <row r="1186" spans="1:17" ht="15" customHeight="1" x14ac:dyDescent="0.2">
      <c r="A1186" s="17" t="s">
        <v>295</v>
      </c>
      <c r="B1186" s="18" t="s">
        <v>148</v>
      </c>
      <c r="C1186" s="18" t="s">
        <v>267</v>
      </c>
      <c r="D1186" s="20">
        <v>68</v>
      </c>
      <c r="E1186" s="17" t="s">
        <v>578</v>
      </c>
      <c r="F1186" s="19" t="s">
        <v>576</v>
      </c>
      <c r="G1186" s="19" t="s">
        <v>576</v>
      </c>
      <c r="H1186" s="19" t="s">
        <v>579</v>
      </c>
      <c r="I1186" s="21"/>
      <c r="J1186" s="21"/>
      <c r="K1186" s="22">
        <v>17733.13</v>
      </c>
      <c r="L1186" s="22">
        <v>18500</v>
      </c>
      <c r="M1186" s="22">
        <v>18900</v>
      </c>
      <c r="N1186" s="23">
        <v>-4.14524324324324E-2</v>
      </c>
      <c r="O1186" s="23">
        <v>-6.1739153439153399E-2</v>
      </c>
      <c r="P1186" s="21"/>
      <c r="Q1186" s="22">
        <v>260.78132352941202</v>
      </c>
    </row>
    <row r="1187" spans="1:17" ht="15" customHeight="1" x14ac:dyDescent="0.2">
      <c r="A1187" s="26" t="s">
        <v>298</v>
      </c>
      <c r="B1187" s="27" t="s">
        <v>148</v>
      </c>
      <c r="C1187" s="27" t="s">
        <v>267</v>
      </c>
      <c r="D1187" s="29">
        <v>98</v>
      </c>
      <c r="E1187" s="26" t="s">
        <v>578</v>
      </c>
      <c r="F1187" s="28" t="s">
        <v>576</v>
      </c>
      <c r="G1187" s="28" t="s">
        <v>576</v>
      </c>
      <c r="H1187" s="28" t="s">
        <v>579</v>
      </c>
      <c r="I1187" s="30"/>
      <c r="J1187" s="30"/>
      <c r="K1187" s="31">
        <v>43959.25</v>
      </c>
      <c r="L1187" s="31">
        <v>32000</v>
      </c>
      <c r="M1187" s="31">
        <v>53044</v>
      </c>
      <c r="N1187" s="32">
        <v>0.37372656250000003</v>
      </c>
      <c r="O1187" s="32">
        <v>-0.17126819244400901</v>
      </c>
      <c r="P1187" s="30"/>
      <c r="Q1187" s="31">
        <v>448.56377551020398</v>
      </c>
    </row>
    <row r="1188" spans="1:17" ht="15" customHeight="1" x14ac:dyDescent="0.2">
      <c r="A1188" s="17" t="s">
        <v>300</v>
      </c>
      <c r="B1188" s="18" t="s">
        <v>148</v>
      </c>
      <c r="C1188" s="18" t="s">
        <v>267</v>
      </c>
      <c r="D1188" s="20">
        <v>321</v>
      </c>
      <c r="E1188" s="17" t="s">
        <v>578</v>
      </c>
      <c r="F1188" s="19" t="s">
        <v>576</v>
      </c>
      <c r="G1188" s="19" t="s">
        <v>576</v>
      </c>
      <c r="H1188" s="19" t="s">
        <v>579</v>
      </c>
      <c r="I1188" s="21"/>
      <c r="J1188" s="21"/>
      <c r="K1188" s="22">
        <v>93899.29</v>
      </c>
      <c r="L1188" s="22">
        <v>120000</v>
      </c>
      <c r="M1188" s="22">
        <v>120000</v>
      </c>
      <c r="N1188" s="23">
        <v>-0.21750591666666699</v>
      </c>
      <c r="O1188" s="23">
        <v>-0.21750591666666699</v>
      </c>
      <c r="P1188" s="21"/>
      <c r="Q1188" s="22">
        <v>292.52115264797499</v>
      </c>
    </row>
    <row r="1189" spans="1:17" ht="15" customHeight="1" x14ac:dyDescent="0.2">
      <c r="A1189" s="26" t="s">
        <v>304</v>
      </c>
      <c r="B1189" s="27" t="s">
        <v>148</v>
      </c>
      <c r="C1189" s="27" t="s">
        <v>267</v>
      </c>
      <c r="D1189" s="29">
        <v>77</v>
      </c>
      <c r="E1189" s="26" t="s">
        <v>578</v>
      </c>
      <c r="F1189" s="28" t="s">
        <v>576</v>
      </c>
      <c r="G1189" s="28" t="s">
        <v>576</v>
      </c>
      <c r="H1189" s="28" t="s">
        <v>579</v>
      </c>
      <c r="I1189" s="30"/>
      <c r="J1189" s="30"/>
      <c r="K1189" s="31">
        <v>19206.32</v>
      </c>
      <c r="L1189" s="31">
        <v>30000</v>
      </c>
      <c r="M1189" s="31">
        <v>30000</v>
      </c>
      <c r="N1189" s="32">
        <v>-0.35978933333333302</v>
      </c>
      <c r="O1189" s="32">
        <v>-0.35978933333333302</v>
      </c>
      <c r="P1189" s="30"/>
      <c r="Q1189" s="31">
        <v>249.43272727272699</v>
      </c>
    </row>
    <row r="1190" spans="1:17" ht="15" customHeight="1" x14ac:dyDescent="0.2">
      <c r="A1190" s="17" t="s">
        <v>306</v>
      </c>
      <c r="B1190" s="18" t="s">
        <v>148</v>
      </c>
      <c r="C1190" s="18" t="s">
        <v>267</v>
      </c>
      <c r="D1190" s="20">
        <v>365</v>
      </c>
      <c r="E1190" s="17" t="s">
        <v>578</v>
      </c>
      <c r="F1190" s="19" t="s">
        <v>576</v>
      </c>
      <c r="G1190" s="19" t="s">
        <v>576</v>
      </c>
      <c r="H1190" s="19" t="s">
        <v>579</v>
      </c>
      <c r="I1190" s="21"/>
      <c r="J1190" s="21"/>
      <c r="K1190" s="22">
        <v>54267.4</v>
      </c>
      <c r="L1190" s="22">
        <v>50000</v>
      </c>
      <c r="M1190" s="22">
        <v>50000</v>
      </c>
      <c r="N1190" s="23">
        <v>8.5347999999999993E-2</v>
      </c>
      <c r="O1190" s="23">
        <v>8.5347999999999993E-2</v>
      </c>
      <c r="P1190" s="21"/>
      <c r="Q1190" s="22">
        <v>148.67780821917799</v>
      </c>
    </row>
    <row r="1191" spans="1:17" ht="15" customHeight="1" x14ac:dyDescent="0.2">
      <c r="A1191" s="26" t="s">
        <v>309</v>
      </c>
      <c r="B1191" s="27" t="s">
        <v>148</v>
      </c>
      <c r="C1191" s="27" t="s">
        <v>267</v>
      </c>
      <c r="D1191" s="29">
        <v>270</v>
      </c>
      <c r="E1191" s="26" t="s">
        <v>578</v>
      </c>
      <c r="F1191" s="28" t="s">
        <v>576</v>
      </c>
      <c r="G1191" s="28" t="s">
        <v>576</v>
      </c>
      <c r="H1191" s="28" t="s">
        <v>579</v>
      </c>
      <c r="I1191" s="30"/>
      <c r="J1191" s="30"/>
      <c r="K1191" s="31">
        <v>100995.25</v>
      </c>
      <c r="L1191" s="31">
        <v>90000</v>
      </c>
      <c r="M1191" s="31">
        <v>120000</v>
      </c>
      <c r="N1191" s="32">
        <v>0.122169444444444</v>
      </c>
      <c r="O1191" s="32">
        <v>-0.158372916666667</v>
      </c>
      <c r="P1191" s="30"/>
      <c r="Q1191" s="31">
        <v>374.05648148148202</v>
      </c>
    </row>
    <row r="1192" spans="1:17" ht="15" customHeight="1" x14ac:dyDescent="0.2">
      <c r="A1192" s="35" t="s">
        <v>312</v>
      </c>
      <c r="B1192" s="36" t="s">
        <v>313</v>
      </c>
      <c r="C1192" s="36" t="s">
        <v>267</v>
      </c>
      <c r="D1192" s="38">
        <v>170</v>
      </c>
      <c r="E1192" s="35" t="s">
        <v>578</v>
      </c>
      <c r="F1192" s="37" t="s">
        <v>576</v>
      </c>
      <c r="G1192" s="37" t="s">
        <v>576</v>
      </c>
      <c r="H1192" s="37" t="s">
        <v>579</v>
      </c>
      <c r="I1192" s="39"/>
      <c r="J1192" s="39"/>
      <c r="K1192" s="40">
        <v>106959.5</v>
      </c>
      <c r="L1192" s="40">
        <v>124500</v>
      </c>
      <c r="M1192" s="40">
        <v>124500</v>
      </c>
      <c r="N1192" s="41">
        <v>-0.14088755020080301</v>
      </c>
      <c r="O1192" s="41">
        <v>-0.14088755020080301</v>
      </c>
      <c r="P1192" s="39"/>
      <c r="Q1192" s="40">
        <v>629.173529411765</v>
      </c>
    </row>
    <row r="1193" spans="1:17" ht="15" customHeight="1" x14ac:dyDescent="0.2">
      <c r="A1193" s="35" t="s">
        <v>316</v>
      </c>
      <c r="B1193" s="36" t="s">
        <v>313</v>
      </c>
      <c r="C1193" s="36" t="s">
        <v>267</v>
      </c>
      <c r="D1193" s="38">
        <v>234</v>
      </c>
      <c r="E1193" s="35" t="s">
        <v>578</v>
      </c>
      <c r="F1193" s="37" t="s">
        <v>576</v>
      </c>
      <c r="G1193" s="37" t="s">
        <v>576</v>
      </c>
      <c r="H1193" s="37" t="s">
        <v>579</v>
      </c>
      <c r="I1193" s="39"/>
      <c r="J1193" s="39"/>
      <c r="K1193" s="40">
        <v>8252.5</v>
      </c>
      <c r="L1193" s="40">
        <v>99450</v>
      </c>
      <c r="M1193" s="40">
        <v>99450</v>
      </c>
      <c r="N1193" s="41">
        <v>-0.91701860231272003</v>
      </c>
      <c r="O1193" s="41">
        <v>-0.91701860231272003</v>
      </c>
      <c r="P1193" s="39"/>
      <c r="Q1193" s="40">
        <v>35.267094017094003</v>
      </c>
    </row>
    <row r="1194" spans="1:17" ht="15" customHeight="1" x14ac:dyDescent="0.2">
      <c r="A1194" s="35" t="s">
        <v>322</v>
      </c>
      <c r="B1194" s="36" t="s">
        <v>313</v>
      </c>
      <c r="C1194" s="36" t="s">
        <v>267</v>
      </c>
      <c r="D1194" s="38">
        <v>219</v>
      </c>
      <c r="E1194" s="35" t="s">
        <v>578</v>
      </c>
      <c r="F1194" s="37" t="s">
        <v>576</v>
      </c>
      <c r="G1194" s="37" t="s">
        <v>576</v>
      </c>
      <c r="H1194" s="37" t="s">
        <v>579</v>
      </c>
      <c r="I1194" s="39"/>
      <c r="J1194" s="39"/>
      <c r="K1194" s="40">
        <v>131071.25</v>
      </c>
      <c r="L1194" s="40"/>
      <c r="M1194" s="40"/>
      <c r="N1194" s="41"/>
      <c r="O1194" s="41"/>
      <c r="P1194" s="39"/>
      <c r="Q1194" s="40">
        <v>598.49885844748906</v>
      </c>
    </row>
    <row r="1195" spans="1:17" ht="15" customHeight="1" x14ac:dyDescent="0.2">
      <c r="A1195" s="35" t="s">
        <v>325</v>
      </c>
      <c r="B1195" s="36" t="s">
        <v>313</v>
      </c>
      <c r="C1195" s="36" t="s">
        <v>267</v>
      </c>
      <c r="D1195" s="38">
        <v>146</v>
      </c>
      <c r="E1195" s="35" t="s">
        <v>578</v>
      </c>
      <c r="F1195" s="37" t="s">
        <v>576</v>
      </c>
      <c r="G1195" s="37" t="s">
        <v>576</v>
      </c>
      <c r="H1195" s="37" t="s">
        <v>579</v>
      </c>
      <c r="I1195" s="39"/>
      <c r="J1195" s="39"/>
      <c r="K1195" s="40">
        <v>30200</v>
      </c>
      <c r="L1195" s="40"/>
      <c r="M1195" s="40"/>
      <c r="N1195" s="41"/>
      <c r="O1195" s="41"/>
      <c r="P1195" s="39"/>
      <c r="Q1195" s="40">
        <v>206.84931506849301</v>
      </c>
    </row>
    <row r="1196" spans="1:17" ht="15" customHeight="1" x14ac:dyDescent="0.2">
      <c r="A1196" s="35" t="s">
        <v>327</v>
      </c>
      <c r="B1196" s="36" t="s">
        <v>313</v>
      </c>
      <c r="C1196" s="36" t="s">
        <v>267</v>
      </c>
      <c r="D1196" s="38">
        <v>244</v>
      </c>
      <c r="E1196" s="35" t="s">
        <v>578</v>
      </c>
      <c r="F1196" s="37" t="s">
        <v>576</v>
      </c>
      <c r="G1196" s="37" t="s">
        <v>576</v>
      </c>
      <c r="H1196" s="37" t="s">
        <v>579</v>
      </c>
      <c r="I1196" s="39"/>
      <c r="J1196" s="39"/>
      <c r="K1196" s="40">
        <v>9356.25</v>
      </c>
      <c r="L1196" s="40">
        <v>79300</v>
      </c>
      <c r="M1196" s="40">
        <v>79300</v>
      </c>
      <c r="N1196" s="41">
        <v>-0.88201450189155095</v>
      </c>
      <c r="O1196" s="41">
        <v>-0.88201450189155095</v>
      </c>
      <c r="P1196" s="39"/>
      <c r="Q1196" s="40">
        <v>38.345286885245898</v>
      </c>
    </row>
    <row r="1197" spans="1:17" ht="15" customHeight="1" x14ac:dyDescent="0.2">
      <c r="A1197" s="35" t="s">
        <v>329</v>
      </c>
      <c r="B1197" s="36" t="s">
        <v>313</v>
      </c>
      <c r="C1197" s="36" t="s">
        <v>330</v>
      </c>
      <c r="D1197" s="38">
        <v>186</v>
      </c>
      <c r="E1197" s="35" t="s">
        <v>578</v>
      </c>
      <c r="F1197" s="37" t="s">
        <v>576</v>
      </c>
      <c r="G1197" s="37" t="s">
        <v>576</v>
      </c>
      <c r="H1197" s="37" t="s">
        <v>579</v>
      </c>
      <c r="I1197" s="39"/>
      <c r="J1197" s="39"/>
      <c r="K1197" s="40">
        <v>123072.5</v>
      </c>
      <c r="L1197" s="40">
        <v>93000</v>
      </c>
      <c r="M1197" s="40">
        <v>99725</v>
      </c>
      <c r="N1197" s="41">
        <v>0.323360215053763</v>
      </c>
      <c r="O1197" s="41">
        <v>0.234118826773628</v>
      </c>
      <c r="P1197" s="39"/>
      <c r="Q1197" s="40">
        <v>661.68010752688201</v>
      </c>
    </row>
    <row r="1198" spans="1:17" ht="15" customHeight="1" x14ac:dyDescent="0.2">
      <c r="A1198" s="35" t="s">
        <v>338</v>
      </c>
      <c r="B1198" s="36" t="s">
        <v>313</v>
      </c>
      <c r="C1198" s="36" t="s">
        <v>267</v>
      </c>
      <c r="D1198" s="38">
        <v>239</v>
      </c>
      <c r="E1198" s="35" t="s">
        <v>578</v>
      </c>
      <c r="F1198" s="37" t="s">
        <v>576</v>
      </c>
      <c r="G1198" s="37" t="s">
        <v>576</v>
      </c>
      <c r="H1198" s="37" t="s">
        <v>579</v>
      </c>
      <c r="I1198" s="39"/>
      <c r="J1198" s="39"/>
      <c r="K1198" s="40">
        <v>55000</v>
      </c>
      <c r="L1198" s="40"/>
      <c r="M1198" s="40"/>
      <c r="N1198" s="41"/>
      <c r="O1198" s="41"/>
      <c r="P1198" s="39"/>
      <c r="Q1198" s="40">
        <v>230.12552301255201</v>
      </c>
    </row>
    <row r="1199" spans="1:17" ht="15" customHeight="1" x14ac:dyDescent="0.2">
      <c r="A1199" s="35" t="s">
        <v>341</v>
      </c>
      <c r="B1199" s="36" t="s">
        <v>313</v>
      </c>
      <c r="C1199" s="36" t="s">
        <v>267</v>
      </c>
      <c r="D1199" s="38">
        <v>201</v>
      </c>
      <c r="E1199" s="35" t="s">
        <v>578</v>
      </c>
      <c r="F1199" s="37" t="s">
        <v>576</v>
      </c>
      <c r="G1199" s="37" t="s">
        <v>576</v>
      </c>
      <c r="H1199" s="37" t="s">
        <v>579</v>
      </c>
      <c r="I1199" s="39"/>
      <c r="J1199" s="39"/>
      <c r="K1199" s="40">
        <v>10407.5</v>
      </c>
      <c r="L1199" s="40"/>
      <c r="M1199" s="40"/>
      <c r="N1199" s="41"/>
      <c r="O1199" s="41"/>
      <c r="P1199" s="39"/>
      <c r="Q1199" s="40">
        <v>51.778606965174099</v>
      </c>
    </row>
    <row r="1200" spans="1:17" ht="15" customHeight="1" x14ac:dyDescent="0.2">
      <c r="A1200" s="35" t="s">
        <v>346</v>
      </c>
      <c r="B1200" s="36" t="s">
        <v>313</v>
      </c>
      <c r="C1200" s="36" t="s">
        <v>267</v>
      </c>
      <c r="D1200" s="38">
        <v>104</v>
      </c>
      <c r="E1200" s="35" t="s">
        <v>578</v>
      </c>
      <c r="F1200" s="37" t="s">
        <v>576</v>
      </c>
      <c r="G1200" s="37" t="s">
        <v>576</v>
      </c>
      <c r="H1200" s="37" t="s">
        <v>579</v>
      </c>
      <c r="I1200" s="39"/>
      <c r="J1200" s="39"/>
      <c r="K1200" s="40">
        <v>10701.25</v>
      </c>
      <c r="L1200" s="40"/>
      <c r="M1200" s="40"/>
      <c r="N1200" s="41"/>
      <c r="O1200" s="41"/>
      <c r="P1200" s="39"/>
      <c r="Q1200" s="40">
        <v>102.896634615385</v>
      </c>
    </row>
    <row r="1201" spans="1:17" ht="15" customHeight="1" x14ac:dyDescent="0.2">
      <c r="A1201" s="26" t="s">
        <v>179</v>
      </c>
      <c r="B1201" s="27" t="s">
        <v>148</v>
      </c>
      <c r="C1201" s="27" t="s">
        <v>180</v>
      </c>
      <c r="D1201" s="29">
        <v>209</v>
      </c>
      <c r="E1201" s="26" t="s">
        <v>580</v>
      </c>
      <c r="F1201" s="28" t="s">
        <v>576</v>
      </c>
      <c r="G1201" s="28" t="s">
        <v>576</v>
      </c>
      <c r="H1201" s="28" t="s">
        <v>581</v>
      </c>
      <c r="I1201" s="30"/>
      <c r="J1201" s="30"/>
      <c r="K1201" s="31">
        <v>6870.79</v>
      </c>
      <c r="L1201" s="31">
        <v>5000</v>
      </c>
      <c r="M1201" s="31">
        <v>5919</v>
      </c>
      <c r="N1201" s="32">
        <v>0.37415799999999999</v>
      </c>
      <c r="O1201" s="32">
        <v>0.16080250042236899</v>
      </c>
      <c r="P1201" s="30"/>
      <c r="Q1201" s="31">
        <v>32.874593301435397</v>
      </c>
    </row>
    <row r="1202" spans="1:17" ht="15" customHeight="1" x14ac:dyDescent="0.2">
      <c r="A1202" s="17" t="s">
        <v>185</v>
      </c>
      <c r="B1202" s="18" t="s">
        <v>148</v>
      </c>
      <c r="C1202" s="18" t="s">
        <v>180</v>
      </c>
      <c r="D1202" s="20">
        <v>117</v>
      </c>
      <c r="E1202" s="17" t="s">
        <v>580</v>
      </c>
      <c r="F1202" s="19" t="s">
        <v>576</v>
      </c>
      <c r="G1202" s="19" t="s">
        <v>576</v>
      </c>
      <c r="H1202" s="19" t="s">
        <v>581</v>
      </c>
      <c r="I1202" s="21"/>
      <c r="J1202" s="21"/>
      <c r="K1202" s="22">
        <v>2202.92</v>
      </c>
      <c r="L1202" s="22">
        <v>5000</v>
      </c>
      <c r="M1202" s="22">
        <v>5000</v>
      </c>
      <c r="N1202" s="23">
        <v>-0.55941600000000002</v>
      </c>
      <c r="O1202" s="23">
        <v>-0.55941600000000002</v>
      </c>
      <c r="P1202" s="21"/>
      <c r="Q1202" s="22">
        <v>18.828376068376102</v>
      </c>
    </row>
    <row r="1203" spans="1:17" ht="15" customHeight="1" x14ac:dyDescent="0.2">
      <c r="A1203" s="26" t="s">
        <v>190</v>
      </c>
      <c r="B1203" s="27" t="s">
        <v>148</v>
      </c>
      <c r="C1203" s="27" t="s">
        <v>180</v>
      </c>
      <c r="D1203" s="29">
        <v>75</v>
      </c>
      <c r="E1203" s="26" t="s">
        <v>580</v>
      </c>
      <c r="F1203" s="28" t="s">
        <v>576</v>
      </c>
      <c r="G1203" s="28" t="s">
        <v>576</v>
      </c>
      <c r="H1203" s="28" t="s">
        <v>581</v>
      </c>
      <c r="I1203" s="30"/>
      <c r="J1203" s="30"/>
      <c r="K1203" s="31">
        <v>1302.4000000000001</v>
      </c>
      <c r="L1203" s="31">
        <v>5000</v>
      </c>
      <c r="M1203" s="31">
        <v>5000</v>
      </c>
      <c r="N1203" s="32">
        <v>-0.73951999999999996</v>
      </c>
      <c r="O1203" s="32">
        <v>-0.73951999999999996</v>
      </c>
      <c r="P1203" s="30"/>
      <c r="Q1203" s="31">
        <v>17.3653333333333</v>
      </c>
    </row>
    <row r="1204" spans="1:17" ht="15" customHeight="1" x14ac:dyDescent="0.2">
      <c r="A1204" s="17" t="s">
        <v>201</v>
      </c>
      <c r="B1204" s="18" t="s">
        <v>148</v>
      </c>
      <c r="C1204" s="18" t="s">
        <v>180</v>
      </c>
      <c r="D1204" s="20">
        <v>170</v>
      </c>
      <c r="E1204" s="17" t="s">
        <v>580</v>
      </c>
      <c r="F1204" s="19" t="s">
        <v>576</v>
      </c>
      <c r="G1204" s="19" t="s">
        <v>576</v>
      </c>
      <c r="H1204" s="19" t="s">
        <v>581</v>
      </c>
      <c r="I1204" s="21"/>
      <c r="J1204" s="21"/>
      <c r="K1204" s="22">
        <v>527.55999999999995</v>
      </c>
      <c r="L1204" s="22">
        <v>5000</v>
      </c>
      <c r="M1204" s="22">
        <v>5000</v>
      </c>
      <c r="N1204" s="23">
        <v>-0.89448799999999995</v>
      </c>
      <c r="O1204" s="23">
        <v>-0.89448799999999995</v>
      </c>
      <c r="P1204" s="21"/>
      <c r="Q1204" s="22">
        <v>3.1032941176470601</v>
      </c>
    </row>
    <row r="1205" spans="1:17" ht="15" customHeight="1" x14ac:dyDescent="0.2">
      <c r="A1205" s="26" t="s">
        <v>205</v>
      </c>
      <c r="B1205" s="27" t="s">
        <v>148</v>
      </c>
      <c r="C1205" s="27" t="s">
        <v>180</v>
      </c>
      <c r="D1205" s="29">
        <v>296</v>
      </c>
      <c r="E1205" s="26" t="s">
        <v>580</v>
      </c>
      <c r="F1205" s="28" t="s">
        <v>576</v>
      </c>
      <c r="G1205" s="28" t="s">
        <v>576</v>
      </c>
      <c r="H1205" s="28" t="s">
        <v>581</v>
      </c>
      <c r="I1205" s="30"/>
      <c r="J1205" s="30"/>
      <c r="K1205" s="31">
        <v>1758.76</v>
      </c>
      <c r="L1205" s="31">
        <v>6000</v>
      </c>
      <c r="M1205" s="31">
        <v>6000</v>
      </c>
      <c r="N1205" s="32">
        <v>-0.70687333333333302</v>
      </c>
      <c r="O1205" s="32">
        <v>-0.70687333333333302</v>
      </c>
      <c r="P1205" s="30"/>
      <c r="Q1205" s="31">
        <v>5.9417567567567602</v>
      </c>
    </row>
    <row r="1206" spans="1:17" ht="15" customHeight="1" x14ac:dyDescent="0.2">
      <c r="A1206" s="17" t="s">
        <v>214</v>
      </c>
      <c r="B1206" s="18" t="s">
        <v>148</v>
      </c>
      <c r="C1206" s="18" t="s">
        <v>180</v>
      </c>
      <c r="D1206" s="20">
        <v>144</v>
      </c>
      <c r="E1206" s="17" t="s">
        <v>580</v>
      </c>
      <c r="F1206" s="19" t="s">
        <v>576</v>
      </c>
      <c r="G1206" s="19" t="s">
        <v>576</v>
      </c>
      <c r="H1206" s="19" t="s">
        <v>581</v>
      </c>
      <c r="I1206" s="21"/>
      <c r="J1206" s="21"/>
      <c r="K1206" s="22">
        <v>10037.15</v>
      </c>
      <c r="L1206" s="22">
        <v>10000</v>
      </c>
      <c r="M1206" s="22">
        <v>11500</v>
      </c>
      <c r="N1206" s="23">
        <v>3.7149999999999601E-3</v>
      </c>
      <c r="O1206" s="23">
        <v>-0.127204347826087</v>
      </c>
      <c r="P1206" s="21"/>
      <c r="Q1206" s="22">
        <v>69.702430555555594</v>
      </c>
    </row>
    <row r="1207" spans="1:17" ht="15" customHeight="1" x14ac:dyDescent="0.2">
      <c r="A1207" s="26" t="s">
        <v>219</v>
      </c>
      <c r="B1207" s="27" t="s">
        <v>148</v>
      </c>
      <c r="C1207" s="27" t="s">
        <v>180</v>
      </c>
      <c r="D1207" s="29">
        <v>398</v>
      </c>
      <c r="E1207" s="26" t="s">
        <v>580</v>
      </c>
      <c r="F1207" s="28" t="s">
        <v>576</v>
      </c>
      <c r="G1207" s="28" t="s">
        <v>576</v>
      </c>
      <c r="H1207" s="28" t="s">
        <v>581</v>
      </c>
      <c r="I1207" s="30"/>
      <c r="J1207" s="30"/>
      <c r="K1207" s="31">
        <v>5415.52</v>
      </c>
      <c r="L1207" s="31">
        <v>8060</v>
      </c>
      <c r="M1207" s="31">
        <v>6541</v>
      </c>
      <c r="N1207" s="32">
        <v>-0.32809925558312703</v>
      </c>
      <c r="O1207" s="32">
        <v>-0.172065433419966</v>
      </c>
      <c r="P1207" s="30"/>
      <c r="Q1207" s="31">
        <v>13.606834170854301</v>
      </c>
    </row>
    <row r="1208" spans="1:17" ht="15" customHeight="1" x14ac:dyDescent="0.2">
      <c r="A1208" s="17" t="s">
        <v>230</v>
      </c>
      <c r="B1208" s="18" t="s">
        <v>148</v>
      </c>
      <c r="C1208" s="18" t="s">
        <v>180</v>
      </c>
      <c r="D1208" s="20">
        <v>139</v>
      </c>
      <c r="E1208" s="17" t="s">
        <v>580</v>
      </c>
      <c r="F1208" s="19" t="s">
        <v>576</v>
      </c>
      <c r="G1208" s="19" t="s">
        <v>576</v>
      </c>
      <c r="H1208" s="19" t="s">
        <v>581</v>
      </c>
      <c r="I1208" s="21"/>
      <c r="J1208" s="21"/>
      <c r="K1208" s="22">
        <v>316.54000000000002</v>
      </c>
      <c r="L1208" s="22">
        <v>3000</v>
      </c>
      <c r="M1208" s="22">
        <v>3117</v>
      </c>
      <c r="N1208" s="23">
        <v>-0.89448666666666699</v>
      </c>
      <c r="O1208" s="23">
        <v>-0.89844722489573303</v>
      </c>
      <c r="P1208" s="21"/>
      <c r="Q1208" s="22">
        <v>2.2772661870503601</v>
      </c>
    </row>
    <row r="1209" spans="1:17" ht="15" customHeight="1" x14ac:dyDescent="0.2">
      <c r="A1209" s="26" t="s">
        <v>236</v>
      </c>
      <c r="B1209" s="27" t="s">
        <v>148</v>
      </c>
      <c r="C1209" s="27" t="s">
        <v>180</v>
      </c>
      <c r="D1209" s="29">
        <v>128</v>
      </c>
      <c r="E1209" s="26" t="s">
        <v>580</v>
      </c>
      <c r="F1209" s="28" t="s">
        <v>576</v>
      </c>
      <c r="G1209" s="28" t="s">
        <v>576</v>
      </c>
      <c r="H1209" s="28" t="s">
        <v>581</v>
      </c>
      <c r="I1209" s="30"/>
      <c r="J1209" s="30"/>
      <c r="K1209" s="31">
        <v>6832.2</v>
      </c>
      <c r="L1209" s="31">
        <v>3000</v>
      </c>
      <c r="M1209" s="31">
        <v>3000</v>
      </c>
      <c r="N1209" s="32">
        <v>1.2774000000000001</v>
      </c>
      <c r="O1209" s="32">
        <v>1.2774000000000001</v>
      </c>
      <c r="P1209" s="30"/>
      <c r="Q1209" s="31">
        <v>53.376562499999999</v>
      </c>
    </row>
    <row r="1210" spans="1:17" ht="15" customHeight="1" x14ac:dyDescent="0.2">
      <c r="A1210" s="17" t="s">
        <v>249</v>
      </c>
      <c r="B1210" s="18" t="s">
        <v>148</v>
      </c>
      <c r="C1210" s="18" t="s">
        <v>180</v>
      </c>
      <c r="D1210" s="20">
        <v>122</v>
      </c>
      <c r="E1210" s="17" t="s">
        <v>580</v>
      </c>
      <c r="F1210" s="19" t="s">
        <v>576</v>
      </c>
      <c r="G1210" s="19" t="s">
        <v>576</v>
      </c>
      <c r="H1210" s="19" t="s">
        <v>581</v>
      </c>
      <c r="I1210" s="21"/>
      <c r="J1210" s="21"/>
      <c r="K1210" s="22">
        <v>1208.69</v>
      </c>
      <c r="L1210" s="22">
        <v>4000</v>
      </c>
      <c r="M1210" s="22">
        <v>4000</v>
      </c>
      <c r="N1210" s="23">
        <v>-0.69782750000000004</v>
      </c>
      <c r="O1210" s="23">
        <v>-0.69782750000000004</v>
      </c>
      <c r="P1210" s="21"/>
      <c r="Q1210" s="22">
        <v>9.9072950819672094</v>
      </c>
    </row>
    <row r="1211" spans="1:17" ht="15" customHeight="1" x14ac:dyDescent="0.2">
      <c r="A1211" s="26" t="s">
        <v>254</v>
      </c>
      <c r="B1211" s="27" t="s">
        <v>148</v>
      </c>
      <c r="C1211" s="27" t="s">
        <v>180</v>
      </c>
      <c r="D1211" s="29">
        <v>80</v>
      </c>
      <c r="E1211" s="26" t="s">
        <v>580</v>
      </c>
      <c r="F1211" s="28" t="s">
        <v>576</v>
      </c>
      <c r="G1211" s="28" t="s">
        <v>576</v>
      </c>
      <c r="H1211" s="28" t="s">
        <v>581</v>
      </c>
      <c r="I1211" s="30"/>
      <c r="J1211" s="30"/>
      <c r="K1211" s="31">
        <v>4897.67</v>
      </c>
      <c r="L1211" s="31">
        <v>4000</v>
      </c>
      <c r="M1211" s="31">
        <v>4000</v>
      </c>
      <c r="N1211" s="32">
        <v>0.22441749999999999</v>
      </c>
      <c r="O1211" s="32">
        <v>0.22441749999999999</v>
      </c>
      <c r="P1211" s="30"/>
      <c r="Q1211" s="31">
        <v>61.220874999999999</v>
      </c>
    </row>
    <row r="1212" spans="1:17" ht="15" customHeight="1" x14ac:dyDescent="0.2">
      <c r="A1212" s="17" t="s">
        <v>266</v>
      </c>
      <c r="B1212" s="18" t="s">
        <v>148</v>
      </c>
      <c r="C1212" s="18" t="s">
        <v>267</v>
      </c>
      <c r="D1212" s="20">
        <v>108</v>
      </c>
      <c r="E1212" s="17" t="s">
        <v>580</v>
      </c>
      <c r="F1212" s="19" t="s">
        <v>576</v>
      </c>
      <c r="G1212" s="19" t="s">
        <v>576</v>
      </c>
      <c r="H1212" s="19" t="s">
        <v>581</v>
      </c>
      <c r="I1212" s="21"/>
      <c r="J1212" s="21"/>
      <c r="K1212" s="22">
        <v>11181.2</v>
      </c>
      <c r="L1212" s="22">
        <v>6000</v>
      </c>
      <c r="M1212" s="22">
        <v>13696</v>
      </c>
      <c r="N1212" s="23">
        <v>0.86353333333333404</v>
      </c>
      <c r="O1212" s="23">
        <v>-0.18361565420560699</v>
      </c>
      <c r="P1212" s="21"/>
      <c r="Q1212" s="22">
        <v>103.52962962962999</v>
      </c>
    </row>
    <row r="1213" spans="1:17" ht="15" customHeight="1" x14ac:dyDescent="0.2">
      <c r="A1213" s="26" t="s">
        <v>272</v>
      </c>
      <c r="B1213" s="27" t="s">
        <v>148</v>
      </c>
      <c r="C1213" s="27" t="s">
        <v>267</v>
      </c>
      <c r="D1213" s="29">
        <v>89</v>
      </c>
      <c r="E1213" s="26" t="s">
        <v>580</v>
      </c>
      <c r="F1213" s="28" t="s">
        <v>576</v>
      </c>
      <c r="G1213" s="28" t="s">
        <v>576</v>
      </c>
      <c r="H1213" s="28" t="s">
        <v>581</v>
      </c>
      <c r="I1213" s="30"/>
      <c r="J1213" s="30"/>
      <c r="K1213" s="31">
        <v>2579.5</v>
      </c>
      <c r="L1213" s="31">
        <v>10000</v>
      </c>
      <c r="M1213" s="31">
        <v>10000</v>
      </c>
      <c r="N1213" s="32">
        <v>-0.74204999999999999</v>
      </c>
      <c r="O1213" s="32">
        <v>-0.74204999999999999</v>
      </c>
      <c r="P1213" s="30"/>
      <c r="Q1213" s="31">
        <v>28.983146067415699</v>
      </c>
    </row>
    <row r="1214" spans="1:17" ht="15" customHeight="1" x14ac:dyDescent="0.2">
      <c r="A1214" s="17" t="s">
        <v>275</v>
      </c>
      <c r="B1214" s="18" t="s">
        <v>148</v>
      </c>
      <c r="C1214" s="18" t="s">
        <v>267</v>
      </c>
      <c r="D1214" s="20">
        <v>78</v>
      </c>
      <c r="E1214" s="17" t="s">
        <v>580</v>
      </c>
      <c r="F1214" s="19" t="s">
        <v>576</v>
      </c>
      <c r="G1214" s="19" t="s">
        <v>576</v>
      </c>
      <c r="H1214" s="19" t="s">
        <v>581</v>
      </c>
      <c r="I1214" s="21"/>
      <c r="J1214" s="21"/>
      <c r="K1214" s="22">
        <v>644.09</v>
      </c>
      <c r="L1214" s="22">
        <v>600</v>
      </c>
      <c r="M1214" s="22">
        <v>600</v>
      </c>
      <c r="N1214" s="23">
        <v>7.34833333333334E-2</v>
      </c>
      <c r="O1214" s="23">
        <v>7.34833333333334E-2</v>
      </c>
      <c r="P1214" s="21"/>
      <c r="Q1214" s="22">
        <v>8.2575641025640998</v>
      </c>
    </row>
    <row r="1215" spans="1:17" ht="15" customHeight="1" x14ac:dyDescent="0.2">
      <c r="A1215" s="26" t="s">
        <v>277</v>
      </c>
      <c r="B1215" s="27" t="s">
        <v>148</v>
      </c>
      <c r="C1215" s="27" t="s">
        <v>267</v>
      </c>
      <c r="D1215" s="29">
        <v>158</v>
      </c>
      <c r="E1215" s="26" t="s">
        <v>580</v>
      </c>
      <c r="F1215" s="28" t="s">
        <v>576</v>
      </c>
      <c r="G1215" s="28" t="s">
        <v>576</v>
      </c>
      <c r="H1215" s="28" t="s">
        <v>581</v>
      </c>
      <c r="I1215" s="30"/>
      <c r="J1215" s="30"/>
      <c r="K1215" s="31">
        <v>4998.1499999999996</v>
      </c>
      <c r="L1215" s="31">
        <v>3500</v>
      </c>
      <c r="M1215" s="31">
        <v>3800</v>
      </c>
      <c r="N1215" s="32">
        <v>0.428042857142857</v>
      </c>
      <c r="O1215" s="32">
        <v>0.315302631578947</v>
      </c>
      <c r="P1215" s="30"/>
      <c r="Q1215" s="31">
        <v>31.6338607594937</v>
      </c>
    </row>
    <row r="1216" spans="1:17" ht="15" customHeight="1" x14ac:dyDescent="0.2">
      <c r="A1216" s="17" t="s">
        <v>280</v>
      </c>
      <c r="B1216" s="18" t="s">
        <v>148</v>
      </c>
      <c r="C1216" s="18" t="s">
        <v>267</v>
      </c>
      <c r="D1216" s="20">
        <v>110</v>
      </c>
      <c r="E1216" s="17" t="s">
        <v>580</v>
      </c>
      <c r="F1216" s="19" t="s">
        <v>576</v>
      </c>
      <c r="G1216" s="19" t="s">
        <v>576</v>
      </c>
      <c r="H1216" s="19" t="s">
        <v>581</v>
      </c>
      <c r="I1216" s="21"/>
      <c r="J1216" s="21"/>
      <c r="K1216" s="22">
        <v>199.25</v>
      </c>
      <c r="L1216" s="22">
        <v>4500</v>
      </c>
      <c r="M1216" s="22">
        <v>4500</v>
      </c>
      <c r="N1216" s="23">
        <v>-0.95572222222222203</v>
      </c>
      <c r="O1216" s="23">
        <v>-0.95572222222222203</v>
      </c>
      <c r="P1216" s="21"/>
      <c r="Q1216" s="22">
        <v>1.8113636363636401</v>
      </c>
    </row>
    <row r="1217" spans="1:17" ht="15" customHeight="1" x14ac:dyDescent="0.2">
      <c r="A1217" s="26" t="s">
        <v>282</v>
      </c>
      <c r="B1217" s="27" t="s">
        <v>148</v>
      </c>
      <c r="C1217" s="27" t="s">
        <v>267</v>
      </c>
      <c r="D1217" s="29">
        <v>70</v>
      </c>
      <c r="E1217" s="26" t="s">
        <v>580</v>
      </c>
      <c r="F1217" s="28" t="s">
        <v>576</v>
      </c>
      <c r="G1217" s="28" t="s">
        <v>576</v>
      </c>
      <c r="H1217" s="28" t="s">
        <v>581</v>
      </c>
      <c r="I1217" s="30"/>
      <c r="J1217" s="30"/>
      <c r="K1217" s="31">
        <v>2109.2199999999998</v>
      </c>
      <c r="L1217" s="31">
        <v>1000</v>
      </c>
      <c r="M1217" s="31">
        <v>2046</v>
      </c>
      <c r="N1217" s="32">
        <v>1.1092200000000001</v>
      </c>
      <c r="O1217" s="32">
        <v>3.0899315738025301E-2</v>
      </c>
      <c r="P1217" s="30"/>
      <c r="Q1217" s="31">
        <v>30.131714285714299</v>
      </c>
    </row>
    <row r="1218" spans="1:17" ht="15" customHeight="1" x14ac:dyDescent="0.2">
      <c r="A1218" s="17" t="s">
        <v>285</v>
      </c>
      <c r="B1218" s="18" t="s">
        <v>148</v>
      </c>
      <c r="C1218" s="18" t="s">
        <v>267</v>
      </c>
      <c r="D1218" s="20">
        <v>296</v>
      </c>
      <c r="E1218" s="17" t="s">
        <v>580</v>
      </c>
      <c r="F1218" s="19" t="s">
        <v>576</v>
      </c>
      <c r="G1218" s="19" t="s">
        <v>576</v>
      </c>
      <c r="H1218" s="19" t="s">
        <v>581</v>
      </c>
      <c r="I1218" s="21"/>
      <c r="J1218" s="21"/>
      <c r="K1218" s="22">
        <v>3071.92</v>
      </c>
      <c r="L1218" s="22">
        <v>10250</v>
      </c>
      <c r="M1218" s="22">
        <v>10250</v>
      </c>
      <c r="N1218" s="23">
        <v>-0.70030048780487797</v>
      </c>
      <c r="O1218" s="23">
        <v>-0.70030048780487797</v>
      </c>
      <c r="P1218" s="21"/>
      <c r="Q1218" s="22">
        <v>10.378108108108099</v>
      </c>
    </row>
    <row r="1219" spans="1:17" ht="15" customHeight="1" x14ac:dyDescent="0.2">
      <c r="A1219" s="26" t="s">
        <v>286</v>
      </c>
      <c r="B1219" s="27" t="s">
        <v>148</v>
      </c>
      <c r="C1219" s="27" t="s">
        <v>267</v>
      </c>
      <c r="D1219" s="29">
        <v>50</v>
      </c>
      <c r="E1219" s="26" t="s">
        <v>580</v>
      </c>
      <c r="F1219" s="28" t="s">
        <v>576</v>
      </c>
      <c r="G1219" s="28" t="s">
        <v>576</v>
      </c>
      <c r="H1219" s="28" t="s">
        <v>581</v>
      </c>
      <c r="I1219" s="30"/>
      <c r="J1219" s="30"/>
      <c r="K1219" s="31">
        <v>4110.62</v>
      </c>
      <c r="L1219" s="31">
        <v>5000</v>
      </c>
      <c r="M1219" s="31">
        <v>5000</v>
      </c>
      <c r="N1219" s="32">
        <v>-0.17787600000000001</v>
      </c>
      <c r="O1219" s="32">
        <v>-0.17787600000000001</v>
      </c>
      <c r="P1219" s="30"/>
      <c r="Q1219" s="31">
        <v>82.212400000000002</v>
      </c>
    </row>
    <row r="1220" spans="1:17" ht="15" customHeight="1" x14ac:dyDescent="0.2">
      <c r="A1220" s="17" t="s">
        <v>289</v>
      </c>
      <c r="B1220" s="18" t="s">
        <v>148</v>
      </c>
      <c r="C1220" s="18" t="s">
        <v>267</v>
      </c>
      <c r="D1220" s="20">
        <v>107</v>
      </c>
      <c r="E1220" s="17" t="s">
        <v>580</v>
      </c>
      <c r="F1220" s="19" t="s">
        <v>576</v>
      </c>
      <c r="G1220" s="19" t="s">
        <v>576</v>
      </c>
      <c r="H1220" s="19" t="s">
        <v>581</v>
      </c>
      <c r="I1220" s="21"/>
      <c r="J1220" s="21"/>
      <c r="K1220" s="22">
        <v>591.82000000000005</v>
      </c>
      <c r="L1220" s="22">
        <v>8000</v>
      </c>
      <c r="M1220" s="22">
        <v>8400</v>
      </c>
      <c r="N1220" s="23">
        <v>-0.92602249999999997</v>
      </c>
      <c r="O1220" s="23">
        <v>-0.92954523809523804</v>
      </c>
      <c r="P1220" s="21"/>
      <c r="Q1220" s="22">
        <v>5.5310280373831802</v>
      </c>
    </row>
    <row r="1221" spans="1:17" ht="15" customHeight="1" x14ac:dyDescent="0.2">
      <c r="A1221" s="26" t="s">
        <v>292</v>
      </c>
      <c r="B1221" s="27" t="s">
        <v>148</v>
      </c>
      <c r="C1221" s="27" t="s">
        <v>267</v>
      </c>
      <c r="D1221" s="29">
        <v>136</v>
      </c>
      <c r="E1221" s="26" t="s">
        <v>580</v>
      </c>
      <c r="F1221" s="28" t="s">
        <v>576</v>
      </c>
      <c r="G1221" s="28" t="s">
        <v>576</v>
      </c>
      <c r="H1221" s="28" t="s">
        <v>581</v>
      </c>
      <c r="I1221" s="30"/>
      <c r="J1221" s="30"/>
      <c r="K1221" s="31">
        <v>10709.84</v>
      </c>
      <c r="L1221" s="31">
        <v>9000</v>
      </c>
      <c r="M1221" s="31">
        <v>9000</v>
      </c>
      <c r="N1221" s="32">
        <v>0.189982222222222</v>
      </c>
      <c r="O1221" s="32">
        <v>0.189982222222222</v>
      </c>
      <c r="P1221" s="30"/>
      <c r="Q1221" s="31">
        <v>78.748823529411794</v>
      </c>
    </row>
    <row r="1222" spans="1:17" ht="15" customHeight="1" x14ac:dyDescent="0.2">
      <c r="A1222" s="17" t="s">
        <v>295</v>
      </c>
      <c r="B1222" s="18" t="s">
        <v>148</v>
      </c>
      <c r="C1222" s="18" t="s">
        <v>267</v>
      </c>
      <c r="D1222" s="20">
        <v>68</v>
      </c>
      <c r="E1222" s="17" t="s">
        <v>580</v>
      </c>
      <c r="F1222" s="19" t="s">
        <v>576</v>
      </c>
      <c r="G1222" s="19" t="s">
        <v>576</v>
      </c>
      <c r="H1222" s="19" t="s">
        <v>581</v>
      </c>
      <c r="I1222" s="21"/>
      <c r="J1222" s="21"/>
      <c r="K1222" s="22">
        <v>241.47</v>
      </c>
      <c r="L1222" s="22">
        <v>600</v>
      </c>
      <c r="M1222" s="22">
        <v>850</v>
      </c>
      <c r="N1222" s="23">
        <v>-0.59755000000000003</v>
      </c>
      <c r="O1222" s="23">
        <v>-0.71591764705882399</v>
      </c>
      <c r="P1222" s="21"/>
      <c r="Q1222" s="22">
        <v>3.5510294117647101</v>
      </c>
    </row>
    <row r="1223" spans="1:17" ht="15" customHeight="1" x14ac:dyDescent="0.2">
      <c r="A1223" s="26" t="s">
        <v>298</v>
      </c>
      <c r="B1223" s="27" t="s">
        <v>148</v>
      </c>
      <c r="C1223" s="27" t="s">
        <v>267</v>
      </c>
      <c r="D1223" s="29">
        <v>98</v>
      </c>
      <c r="E1223" s="26" t="s">
        <v>580</v>
      </c>
      <c r="F1223" s="28" t="s">
        <v>576</v>
      </c>
      <c r="G1223" s="28" t="s">
        <v>576</v>
      </c>
      <c r="H1223" s="28" t="s">
        <v>581</v>
      </c>
      <c r="I1223" s="30"/>
      <c r="J1223" s="30"/>
      <c r="K1223" s="31">
        <v>4238</v>
      </c>
      <c r="L1223" s="31">
        <v>600</v>
      </c>
      <c r="M1223" s="31">
        <v>600</v>
      </c>
      <c r="N1223" s="32">
        <v>6.0633333333333299</v>
      </c>
      <c r="O1223" s="32">
        <v>6.0633333333333299</v>
      </c>
      <c r="P1223" s="30"/>
      <c r="Q1223" s="31">
        <v>43.244897959183703</v>
      </c>
    </row>
    <row r="1224" spans="1:17" ht="15" customHeight="1" x14ac:dyDescent="0.2">
      <c r="A1224" s="17" t="s">
        <v>300</v>
      </c>
      <c r="B1224" s="18" t="s">
        <v>148</v>
      </c>
      <c r="C1224" s="18" t="s">
        <v>267</v>
      </c>
      <c r="D1224" s="20">
        <v>321</v>
      </c>
      <c r="E1224" s="17" t="s">
        <v>580</v>
      </c>
      <c r="F1224" s="19" t="s">
        <v>576</v>
      </c>
      <c r="G1224" s="19" t="s">
        <v>576</v>
      </c>
      <c r="H1224" s="19" t="s">
        <v>581</v>
      </c>
      <c r="I1224" s="21"/>
      <c r="J1224" s="21"/>
      <c r="K1224" s="22">
        <v>19433.38</v>
      </c>
      <c r="L1224" s="22">
        <v>12000</v>
      </c>
      <c r="M1224" s="22">
        <v>12000</v>
      </c>
      <c r="N1224" s="23">
        <v>0.61944833333333305</v>
      </c>
      <c r="O1224" s="23">
        <v>0.61944833333333305</v>
      </c>
      <c r="P1224" s="21"/>
      <c r="Q1224" s="22">
        <v>60.540124610591903</v>
      </c>
    </row>
    <row r="1225" spans="1:17" ht="15" customHeight="1" x14ac:dyDescent="0.2">
      <c r="A1225" s="26" t="s">
        <v>302</v>
      </c>
      <c r="B1225" s="27" t="s">
        <v>148</v>
      </c>
      <c r="C1225" s="27" t="s">
        <v>267</v>
      </c>
      <c r="D1225" s="29">
        <v>111</v>
      </c>
      <c r="E1225" s="26" t="s">
        <v>580</v>
      </c>
      <c r="F1225" s="28" t="s">
        <v>576</v>
      </c>
      <c r="G1225" s="28" t="s">
        <v>576</v>
      </c>
      <c r="H1225" s="28" t="s">
        <v>581</v>
      </c>
      <c r="I1225" s="30"/>
      <c r="J1225" s="30"/>
      <c r="K1225" s="31">
        <v>199.24</v>
      </c>
      <c r="L1225" s="31">
        <v>600</v>
      </c>
      <c r="M1225" s="31">
        <v>600</v>
      </c>
      <c r="N1225" s="32">
        <v>-0.66793333333333305</v>
      </c>
      <c r="O1225" s="32">
        <v>-0.66793333333333305</v>
      </c>
      <c r="P1225" s="30"/>
      <c r="Q1225" s="31">
        <v>1.7949549549549599</v>
      </c>
    </row>
    <row r="1226" spans="1:17" ht="15" customHeight="1" x14ac:dyDescent="0.2">
      <c r="A1226" s="17" t="s">
        <v>304</v>
      </c>
      <c r="B1226" s="18" t="s">
        <v>148</v>
      </c>
      <c r="C1226" s="18" t="s">
        <v>267</v>
      </c>
      <c r="D1226" s="20">
        <v>77</v>
      </c>
      <c r="E1226" s="17" t="s">
        <v>580</v>
      </c>
      <c r="F1226" s="19" t="s">
        <v>576</v>
      </c>
      <c r="G1226" s="19" t="s">
        <v>576</v>
      </c>
      <c r="H1226" s="19" t="s">
        <v>581</v>
      </c>
      <c r="I1226" s="21"/>
      <c r="J1226" s="21"/>
      <c r="K1226" s="22">
        <v>624.66999999999996</v>
      </c>
      <c r="L1226" s="22">
        <v>600</v>
      </c>
      <c r="M1226" s="22">
        <v>600</v>
      </c>
      <c r="N1226" s="23">
        <v>4.11166666666666E-2</v>
      </c>
      <c r="O1226" s="23">
        <v>4.11166666666666E-2</v>
      </c>
      <c r="P1226" s="21"/>
      <c r="Q1226" s="22">
        <v>8.1125974025973999</v>
      </c>
    </row>
    <row r="1227" spans="1:17" ht="15" customHeight="1" x14ac:dyDescent="0.2">
      <c r="A1227" s="26" t="s">
        <v>306</v>
      </c>
      <c r="B1227" s="27" t="s">
        <v>148</v>
      </c>
      <c r="C1227" s="27" t="s">
        <v>267</v>
      </c>
      <c r="D1227" s="29">
        <v>365</v>
      </c>
      <c r="E1227" s="26" t="s">
        <v>580</v>
      </c>
      <c r="F1227" s="28" t="s">
        <v>576</v>
      </c>
      <c r="G1227" s="28" t="s">
        <v>576</v>
      </c>
      <c r="H1227" s="28" t="s">
        <v>581</v>
      </c>
      <c r="I1227" s="30"/>
      <c r="J1227" s="30"/>
      <c r="K1227" s="31">
        <v>2267.08</v>
      </c>
      <c r="L1227" s="31"/>
      <c r="M1227" s="31"/>
      <c r="N1227" s="32"/>
      <c r="O1227" s="32"/>
      <c r="P1227" s="30"/>
      <c r="Q1227" s="31">
        <v>6.2111780821917799</v>
      </c>
    </row>
    <row r="1228" spans="1:17" ht="15" customHeight="1" x14ac:dyDescent="0.2">
      <c r="A1228" s="17" t="s">
        <v>309</v>
      </c>
      <c r="B1228" s="18" t="s">
        <v>148</v>
      </c>
      <c r="C1228" s="18" t="s">
        <v>267</v>
      </c>
      <c r="D1228" s="20">
        <v>270</v>
      </c>
      <c r="E1228" s="17" t="s">
        <v>580</v>
      </c>
      <c r="F1228" s="19" t="s">
        <v>576</v>
      </c>
      <c r="G1228" s="19" t="s">
        <v>576</v>
      </c>
      <c r="H1228" s="19" t="s">
        <v>581</v>
      </c>
      <c r="I1228" s="21"/>
      <c r="J1228" s="21"/>
      <c r="K1228" s="22">
        <v>1673.84</v>
      </c>
      <c r="L1228" s="22">
        <v>10000</v>
      </c>
      <c r="M1228" s="22">
        <v>10000</v>
      </c>
      <c r="N1228" s="23">
        <v>-0.83261600000000002</v>
      </c>
      <c r="O1228" s="23">
        <v>-0.83261600000000002</v>
      </c>
      <c r="P1228" s="21"/>
      <c r="Q1228" s="22">
        <v>6.1994074074074099</v>
      </c>
    </row>
    <row r="1229" spans="1:17" ht="15" customHeight="1" x14ac:dyDescent="0.2">
      <c r="A1229" s="35" t="s">
        <v>312</v>
      </c>
      <c r="B1229" s="36" t="s">
        <v>313</v>
      </c>
      <c r="C1229" s="36" t="s">
        <v>267</v>
      </c>
      <c r="D1229" s="38">
        <v>170</v>
      </c>
      <c r="E1229" s="35" t="s">
        <v>580</v>
      </c>
      <c r="F1229" s="37" t="s">
        <v>576</v>
      </c>
      <c r="G1229" s="37" t="s">
        <v>576</v>
      </c>
      <c r="H1229" s="37" t="s">
        <v>581</v>
      </c>
      <c r="I1229" s="39"/>
      <c r="J1229" s="39"/>
      <c r="K1229" s="40">
        <v>13081.86</v>
      </c>
      <c r="L1229" s="40">
        <v>18000</v>
      </c>
      <c r="M1229" s="40">
        <v>18000</v>
      </c>
      <c r="N1229" s="41">
        <v>-0.27322999999999997</v>
      </c>
      <c r="O1229" s="41">
        <v>-0.27322999999999997</v>
      </c>
      <c r="P1229" s="39"/>
      <c r="Q1229" s="40">
        <v>76.952117647058799</v>
      </c>
    </row>
    <row r="1230" spans="1:17" ht="15" customHeight="1" x14ac:dyDescent="0.2">
      <c r="A1230" s="35" t="s">
        <v>316</v>
      </c>
      <c r="B1230" s="36" t="s">
        <v>313</v>
      </c>
      <c r="C1230" s="36" t="s">
        <v>267</v>
      </c>
      <c r="D1230" s="38">
        <v>234</v>
      </c>
      <c r="E1230" s="35" t="s">
        <v>580</v>
      </c>
      <c r="F1230" s="37" t="s">
        <v>576</v>
      </c>
      <c r="G1230" s="37" t="s">
        <v>576</v>
      </c>
      <c r="H1230" s="37" t="s">
        <v>581</v>
      </c>
      <c r="I1230" s="39"/>
      <c r="J1230" s="39"/>
      <c r="K1230" s="40">
        <v>17684.580000000002</v>
      </c>
      <c r="L1230" s="40">
        <v>15000</v>
      </c>
      <c r="M1230" s="40">
        <v>17990</v>
      </c>
      <c r="N1230" s="41">
        <v>0.17897199999999999</v>
      </c>
      <c r="O1230" s="41">
        <v>-1.6977209560867099E-2</v>
      </c>
      <c r="P1230" s="39"/>
      <c r="Q1230" s="40">
        <v>75.575128205128195</v>
      </c>
    </row>
    <row r="1231" spans="1:17" ht="15" customHeight="1" x14ac:dyDescent="0.2">
      <c r="A1231" s="35" t="s">
        <v>327</v>
      </c>
      <c r="B1231" s="36" t="s">
        <v>313</v>
      </c>
      <c r="C1231" s="36" t="s">
        <v>267</v>
      </c>
      <c r="D1231" s="38">
        <v>244</v>
      </c>
      <c r="E1231" s="35" t="s">
        <v>580</v>
      </c>
      <c r="F1231" s="37" t="s">
        <v>576</v>
      </c>
      <c r="G1231" s="37" t="s">
        <v>576</v>
      </c>
      <c r="H1231" s="37" t="s">
        <v>581</v>
      </c>
      <c r="I1231" s="39"/>
      <c r="J1231" s="39"/>
      <c r="K1231" s="40">
        <v>15185.12</v>
      </c>
      <c r="L1231" s="40">
        <v>12000</v>
      </c>
      <c r="M1231" s="40">
        <v>14700</v>
      </c>
      <c r="N1231" s="41">
        <v>0.26542666666666698</v>
      </c>
      <c r="O1231" s="41">
        <v>3.3001360544217699E-2</v>
      </c>
      <c r="P1231" s="39"/>
      <c r="Q1231" s="40">
        <v>62.2340983606557</v>
      </c>
    </row>
    <row r="1232" spans="1:17" ht="15" customHeight="1" x14ac:dyDescent="0.2">
      <c r="A1232" s="35" t="s">
        <v>329</v>
      </c>
      <c r="B1232" s="36" t="s">
        <v>313</v>
      </c>
      <c r="C1232" s="36" t="s">
        <v>330</v>
      </c>
      <c r="D1232" s="38">
        <v>186</v>
      </c>
      <c r="E1232" s="35" t="s">
        <v>580</v>
      </c>
      <c r="F1232" s="37" t="s">
        <v>576</v>
      </c>
      <c r="G1232" s="37" t="s">
        <v>576</v>
      </c>
      <c r="H1232" s="37" t="s">
        <v>581</v>
      </c>
      <c r="I1232" s="39"/>
      <c r="J1232" s="39"/>
      <c r="K1232" s="40">
        <v>2313.85</v>
      </c>
      <c r="L1232" s="40">
        <v>10000</v>
      </c>
      <c r="M1232" s="40">
        <v>10000</v>
      </c>
      <c r="N1232" s="41">
        <v>-0.76861500000000005</v>
      </c>
      <c r="O1232" s="41">
        <v>-0.76861500000000005</v>
      </c>
      <c r="P1232" s="39"/>
      <c r="Q1232" s="40">
        <v>12.440053763440901</v>
      </c>
    </row>
    <row r="1233" spans="1:17" ht="15" customHeight="1" x14ac:dyDescent="0.2">
      <c r="A1233" s="26" t="s">
        <v>147</v>
      </c>
      <c r="B1233" s="27" t="s">
        <v>148</v>
      </c>
      <c r="C1233" s="27" t="s">
        <v>149</v>
      </c>
      <c r="D1233" s="29">
        <v>234</v>
      </c>
      <c r="E1233" s="26" t="s">
        <v>582</v>
      </c>
      <c r="F1233" s="28" t="s">
        <v>576</v>
      </c>
      <c r="G1233" s="28" t="s">
        <v>576</v>
      </c>
      <c r="H1233" s="28" t="s">
        <v>583</v>
      </c>
      <c r="I1233" s="30"/>
      <c r="J1233" s="30"/>
      <c r="K1233" s="31">
        <v>101.56</v>
      </c>
      <c r="L1233" s="31"/>
      <c r="M1233" s="31"/>
      <c r="N1233" s="32"/>
      <c r="O1233" s="32"/>
      <c r="P1233" s="30"/>
      <c r="Q1233" s="31">
        <v>0.43401709401709399</v>
      </c>
    </row>
    <row r="1234" spans="1:17" ht="15" customHeight="1" x14ac:dyDescent="0.2">
      <c r="A1234" s="17" t="s">
        <v>152</v>
      </c>
      <c r="B1234" s="18" t="s">
        <v>148</v>
      </c>
      <c r="C1234" s="18" t="s">
        <v>149</v>
      </c>
      <c r="D1234" s="20">
        <v>258</v>
      </c>
      <c r="E1234" s="17" t="s">
        <v>582</v>
      </c>
      <c r="F1234" s="19" t="s">
        <v>576</v>
      </c>
      <c r="G1234" s="19" t="s">
        <v>576</v>
      </c>
      <c r="H1234" s="19" t="s">
        <v>583</v>
      </c>
      <c r="I1234" s="21"/>
      <c r="J1234" s="21"/>
      <c r="K1234" s="22">
        <v>6197.36</v>
      </c>
      <c r="L1234" s="22">
        <v>2000</v>
      </c>
      <c r="M1234" s="22">
        <v>2000</v>
      </c>
      <c r="N1234" s="23">
        <v>2.0986799999999999</v>
      </c>
      <c r="O1234" s="23">
        <v>2.0986799999999999</v>
      </c>
      <c r="P1234" s="21"/>
      <c r="Q1234" s="22">
        <v>24.020775193798499</v>
      </c>
    </row>
    <row r="1235" spans="1:17" ht="15" customHeight="1" x14ac:dyDescent="0.2">
      <c r="A1235" s="26" t="s">
        <v>154</v>
      </c>
      <c r="B1235" s="27" t="s">
        <v>148</v>
      </c>
      <c r="C1235" s="27" t="s">
        <v>149</v>
      </c>
      <c r="D1235" s="29">
        <v>56</v>
      </c>
      <c r="E1235" s="26" t="s">
        <v>582</v>
      </c>
      <c r="F1235" s="28" t="s">
        <v>576</v>
      </c>
      <c r="G1235" s="28" t="s">
        <v>576</v>
      </c>
      <c r="H1235" s="28" t="s">
        <v>583</v>
      </c>
      <c r="I1235" s="30"/>
      <c r="J1235" s="30"/>
      <c r="K1235" s="31">
        <v>141.44</v>
      </c>
      <c r="L1235" s="31"/>
      <c r="M1235" s="31"/>
      <c r="N1235" s="32"/>
      <c r="O1235" s="32"/>
      <c r="P1235" s="30"/>
      <c r="Q1235" s="31">
        <v>2.5257142857142898</v>
      </c>
    </row>
    <row r="1236" spans="1:17" ht="15" customHeight="1" x14ac:dyDescent="0.2">
      <c r="A1236" s="17" t="s">
        <v>157</v>
      </c>
      <c r="B1236" s="18" t="s">
        <v>148</v>
      </c>
      <c r="C1236" s="18" t="s">
        <v>149</v>
      </c>
      <c r="D1236" s="20">
        <v>149</v>
      </c>
      <c r="E1236" s="17" t="s">
        <v>582</v>
      </c>
      <c r="F1236" s="19" t="s">
        <v>576</v>
      </c>
      <c r="G1236" s="19" t="s">
        <v>576</v>
      </c>
      <c r="H1236" s="19" t="s">
        <v>583</v>
      </c>
      <c r="I1236" s="21"/>
      <c r="J1236" s="21"/>
      <c r="K1236" s="22">
        <v>34.46</v>
      </c>
      <c r="L1236" s="22">
        <v>3000</v>
      </c>
      <c r="M1236" s="22">
        <v>3000</v>
      </c>
      <c r="N1236" s="23">
        <v>-0.98851333333333302</v>
      </c>
      <c r="O1236" s="23">
        <v>-0.98851333333333302</v>
      </c>
      <c r="P1236" s="21"/>
      <c r="Q1236" s="22">
        <v>0.23127516778523499</v>
      </c>
    </row>
    <row r="1237" spans="1:17" ht="15" customHeight="1" x14ac:dyDescent="0.2">
      <c r="A1237" s="26" t="s">
        <v>159</v>
      </c>
      <c r="B1237" s="27" t="s">
        <v>148</v>
      </c>
      <c r="C1237" s="27" t="s">
        <v>149</v>
      </c>
      <c r="D1237" s="29">
        <v>117</v>
      </c>
      <c r="E1237" s="26" t="s">
        <v>582</v>
      </c>
      <c r="F1237" s="28" t="s">
        <v>576</v>
      </c>
      <c r="G1237" s="28" t="s">
        <v>576</v>
      </c>
      <c r="H1237" s="28" t="s">
        <v>583</v>
      </c>
      <c r="I1237" s="30"/>
      <c r="J1237" s="30"/>
      <c r="K1237" s="31">
        <v>7291</v>
      </c>
      <c r="L1237" s="31">
        <v>7630</v>
      </c>
      <c r="M1237" s="31">
        <v>7640</v>
      </c>
      <c r="N1237" s="32">
        <v>-4.4429882044560901E-2</v>
      </c>
      <c r="O1237" s="32">
        <v>-4.5680628272251299E-2</v>
      </c>
      <c r="P1237" s="30"/>
      <c r="Q1237" s="31">
        <v>62.316239316239297</v>
      </c>
    </row>
    <row r="1238" spans="1:17" ht="15" customHeight="1" x14ac:dyDescent="0.2">
      <c r="A1238" s="17" t="s">
        <v>161</v>
      </c>
      <c r="B1238" s="18" t="s">
        <v>148</v>
      </c>
      <c r="C1238" s="18" t="s">
        <v>149</v>
      </c>
      <c r="D1238" s="20">
        <v>162</v>
      </c>
      <c r="E1238" s="17" t="s">
        <v>582</v>
      </c>
      <c r="F1238" s="19" t="s">
        <v>576</v>
      </c>
      <c r="G1238" s="19" t="s">
        <v>576</v>
      </c>
      <c r="H1238" s="19" t="s">
        <v>583</v>
      </c>
      <c r="I1238" s="21"/>
      <c r="J1238" s="21"/>
      <c r="K1238" s="22">
        <v>9741.8799999999992</v>
      </c>
      <c r="L1238" s="22">
        <v>10900</v>
      </c>
      <c r="M1238" s="22">
        <v>10900</v>
      </c>
      <c r="N1238" s="23">
        <v>-0.106249541284404</v>
      </c>
      <c r="O1238" s="23">
        <v>-0.106249541284404</v>
      </c>
      <c r="P1238" s="21"/>
      <c r="Q1238" s="22">
        <v>60.135061728395101</v>
      </c>
    </row>
    <row r="1239" spans="1:17" ht="15" customHeight="1" x14ac:dyDescent="0.2">
      <c r="A1239" s="26" t="s">
        <v>165</v>
      </c>
      <c r="B1239" s="27" t="s">
        <v>148</v>
      </c>
      <c r="C1239" s="27" t="s">
        <v>149</v>
      </c>
      <c r="D1239" s="29">
        <v>197</v>
      </c>
      <c r="E1239" s="26" t="s">
        <v>582</v>
      </c>
      <c r="F1239" s="28" t="s">
        <v>576</v>
      </c>
      <c r="G1239" s="28" t="s">
        <v>576</v>
      </c>
      <c r="H1239" s="28" t="s">
        <v>583</v>
      </c>
      <c r="I1239" s="30"/>
      <c r="J1239" s="30"/>
      <c r="K1239" s="31">
        <v>10</v>
      </c>
      <c r="L1239" s="31">
        <v>5000</v>
      </c>
      <c r="M1239" s="31">
        <v>5000</v>
      </c>
      <c r="N1239" s="32">
        <v>-0.998</v>
      </c>
      <c r="O1239" s="32">
        <v>-0.998</v>
      </c>
      <c r="P1239" s="30"/>
      <c r="Q1239" s="31">
        <v>5.0761421319797002E-2</v>
      </c>
    </row>
    <row r="1240" spans="1:17" ht="15" customHeight="1" x14ac:dyDescent="0.2">
      <c r="A1240" s="17" t="s">
        <v>167</v>
      </c>
      <c r="B1240" s="18" t="s">
        <v>148</v>
      </c>
      <c r="C1240" s="18" t="s">
        <v>149</v>
      </c>
      <c r="D1240" s="20">
        <v>119</v>
      </c>
      <c r="E1240" s="17" t="s">
        <v>582</v>
      </c>
      <c r="F1240" s="19" t="s">
        <v>576</v>
      </c>
      <c r="G1240" s="19" t="s">
        <v>576</v>
      </c>
      <c r="H1240" s="19" t="s">
        <v>583</v>
      </c>
      <c r="I1240" s="21"/>
      <c r="J1240" s="21"/>
      <c r="K1240" s="22">
        <v>246</v>
      </c>
      <c r="L1240" s="22">
        <v>3000</v>
      </c>
      <c r="M1240" s="22">
        <v>3000</v>
      </c>
      <c r="N1240" s="23">
        <v>-0.91800000000000004</v>
      </c>
      <c r="O1240" s="23">
        <v>-0.91800000000000004</v>
      </c>
      <c r="P1240" s="21"/>
      <c r="Q1240" s="22">
        <v>2.0672268907563001</v>
      </c>
    </row>
    <row r="1241" spans="1:17" ht="15" customHeight="1" x14ac:dyDescent="0.2">
      <c r="A1241" s="26" t="s">
        <v>169</v>
      </c>
      <c r="B1241" s="27" t="s">
        <v>148</v>
      </c>
      <c r="C1241" s="27" t="s">
        <v>149</v>
      </c>
      <c r="D1241" s="29">
        <v>211</v>
      </c>
      <c r="E1241" s="26" t="s">
        <v>582</v>
      </c>
      <c r="F1241" s="28" t="s">
        <v>576</v>
      </c>
      <c r="G1241" s="28" t="s">
        <v>576</v>
      </c>
      <c r="H1241" s="28" t="s">
        <v>583</v>
      </c>
      <c r="I1241" s="30"/>
      <c r="J1241" s="30"/>
      <c r="K1241" s="31">
        <v>1998.96</v>
      </c>
      <c r="L1241" s="31">
        <v>2000</v>
      </c>
      <c r="M1241" s="31">
        <v>2150</v>
      </c>
      <c r="N1241" s="32">
        <v>-5.1999999999998196E-4</v>
      </c>
      <c r="O1241" s="32">
        <v>-7.0251162790697694E-2</v>
      </c>
      <c r="P1241" s="30"/>
      <c r="Q1241" s="31">
        <v>9.4737440758293801</v>
      </c>
    </row>
    <row r="1242" spans="1:17" ht="15" customHeight="1" x14ac:dyDescent="0.2">
      <c r="A1242" s="17" t="s">
        <v>171</v>
      </c>
      <c r="B1242" s="18" t="s">
        <v>148</v>
      </c>
      <c r="C1242" s="18" t="s">
        <v>149</v>
      </c>
      <c r="D1242" s="20">
        <v>211</v>
      </c>
      <c r="E1242" s="17" t="s">
        <v>582</v>
      </c>
      <c r="F1242" s="19" t="s">
        <v>576</v>
      </c>
      <c r="G1242" s="19" t="s">
        <v>576</v>
      </c>
      <c r="H1242" s="19" t="s">
        <v>583</v>
      </c>
      <c r="I1242" s="21"/>
      <c r="J1242" s="21"/>
      <c r="K1242" s="22">
        <v>18668.95</v>
      </c>
      <c r="L1242" s="22">
        <v>15000</v>
      </c>
      <c r="M1242" s="22">
        <v>15000</v>
      </c>
      <c r="N1242" s="23">
        <v>0.24459666666666699</v>
      </c>
      <c r="O1242" s="23">
        <v>0.24459666666666699</v>
      </c>
      <c r="P1242" s="21"/>
      <c r="Q1242" s="22">
        <v>88.478436018957396</v>
      </c>
    </row>
    <row r="1243" spans="1:17" ht="15" customHeight="1" x14ac:dyDescent="0.2">
      <c r="A1243" s="26" t="s">
        <v>173</v>
      </c>
      <c r="B1243" s="27" t="s">
        <v>148</v>
      </c>
      <c r="C1243" s="27" t="s">
        <v>149</v>
      </c>
      <c r="D1243" s="29">
        <v>256</v>
      </c>
      <c r="E1243" s="26" t="s">
        <v>582</v>
      </c>
      <c r="F1243" s="28" t="s">
        <v>576</v>
      </c>
      <c r="G1243" s="28" t="s">
        <v>576</v>
      </c>
      <c r="H1243" s="28" t="s">
        <v>583</v>
      </c>
      <c r="I1243" s="30"/>
      <c r="J1243" s="30"/>
      <c r="K1243" s="31">
        <v>11677.83</v>
      </c>
      <c r="L1243" s="31">
        <v>1000</v>
      </c>
      <c r="M1243" s="31">
        <v>11000</v>
      </c>
      <c r="N1243" s="32">
        <v>10.67783</v>
      </c>
      <c r="O1243" s="32">
        <v>6.1620909090909101E-2</v>
      </c>
      <c r="P1243" s="30"/>
      <c r="Q1243" s="31">
        <v>45.6165234375</v>
      </c>
    </row>
    <row r="1244" spans="1:17" ht="15" customHeight="1" x14ac:dyDescent="0.2">
      <c r="A1244" s="17" t="s">
        <v>175</v>
      </c>
      <c r="B1244" s="18" t="s">
        <v>148</v>
      </c>
      <c r="C1244" s="18" t="s">
        <v>149</v>
      </c>
      <c r="D1244" s="20">
        <v>136</v>
      </c>
      <c r="E1244" s="17" t="s">
        <v>582</v>
      </c>
      <c r="F1244" s="19" t="s">
        <v>576</v>
      </c>
      <c r="G1244" s="19" t="s">
        <v>576</v>
      </c>
      <c r="H1244" s="19" t="s">
        <v>583</v>
      </c>
      <c r="I1244" s="21"/>
      <c r="J1244" s="21"/>
      <c r="K1244" s="22">
        <v>8886</v>
      </c>
      <c r="L1244" s="22">
        <v>10770</v>
      </c>
      <c r="M1244" s="22">
        <v>10770</v>
      </c>
      <c r="N1244" s="23">
        <v>-0.17493036211699201</v>
      </c>
      <c r="O1244" s="23">
        <v>-0.17493036211699201</v>
      </c>
      <c r="P1244" s="21"/>
      <c r="Q1244" s="22">
        <v>65.338235294117695</v>
      </c>
    </row>
    <row r="1245" spans="1:17" ht="15" customHeight="1" x14ac:dyDescent="0.2">
      <c r="A1245" s="26" t="s">
        <v>177</v>
      </c>
      <c r="B1245" s="27" t="s">
        <v>148</v>
      </c>
      <c r="C1245" s="27" t="s">
        <v>149</v>
      </c>
      <c r="D1245" s="29">
        <v>18</v>
      </c>
      <c r="E1245" s="26" t="s">
        <v>582</v>
      </c>
      <c r="F1245" s="28" t="s">
        <v>576</v>
      </c>
      <c r="G1245" s="28" t="s">
        <v>576</v>
      </c>
      <c r="H1245" s="28" t="s">
        <v>583</v>
      </c>
      <c r="I1245" s="30"/>
      <c r="J1245" s="30"/>
      <c r="K1245" s="31">
        <v>1583</v>
      </c>
      <c r="L1245" s="31">
        <v>1850</v>
      </c>
      <c r="M1245" s="31">
        <v>1850</v>
      </c>
      <c r="N1245" s="32">
        <v>-0.14432432432432399</v>
      </c>
      <c r="O1245" s="32">
        <v>-0.14432432432432399</v>
      </c>
      <c r="P1245" s="30"/>
      <c r="Q1245" s="31">
        <v>87.9444444444444</v>
      </c>
    </row>
    <row r="1246" spans="1:17" ht="15" customHeight="1" x14ac:dyDescent="0.2">
      <c r="A1246" s="17" t="s">
        <v>179</v>
      </c>
      <c r="B1246" s="18" t="s">
        <v>148</v>
      </c>
      <c r="C1246" s="18" t="s">
        <v>180</v>
      </c>
      <c r="D1246" s="20">
        <v>209</v>
      </c>
      <c r="E1246" s="17" t="s">
        <v>582</v>
      </c>
      <c r="F1246" s="19" t="s">
        <v>576</v>
      </c>
      <c r="G1246" s="19" t="s">
        <v>576</v>
      </c>
      <c r="H1246" s="19" t="s">
        <v>583</v>
      </c>
      <c r="I1246" s="21"/>
      <c r="J1246" s="21"/>
      <c r="K1246" s="22">
        <v>29245.43</v>
      </c>
      <c r="L1246" s="22">
        <v>28000</v>
      </c>
      <c r="M1246" s="22">
        <v>28000</v>
      </c>
      <c r="N1246" s="23">
        <v>4.4479642857142898E-2</v>
      </c>
      <c r="O1246" s="23">
        <v>4.4479642857142898E-2</v>
      </c>
      <c r="P1246" s="21"/>
      <c r="Q1246" s="22">
        <v>139.93028708134</v>
      </c>
    </row>
    <row r="1247" spans="1:17" ht="15" customHeight="1" x14ac:dyDescent="0.2">
      <c r="A1247" s="26" t="s">
        <v>185</v>
      </c>
      <c r="B1247" s="27" t="s">
        <v>148</v>
      </c>
      <c r="C1247" s="27" t="s">
        <v>180</v>
      </c>
      <c r="D1247" s="29">
        <v>117</v>
      </c>
      <c r="E1247" s="26" t="s">
        <v>582</v>
      </c>
      <c r="F1247" s="28" t="s">
        <v>576</v>
      </c>
      <c r="G1247" s="28" t="s">
        <v>576</v>
      </c>
      <c r="H1247" s="28" t="s">
        <v>583</v>
      </c>
      <c r="I1247" s="30"/>
      <c r="J1247" s="30"/>
      <c r="K1247" s="31">
        <v>7148</v>
      </c>
      <c r="L1247" s="31">
        <v>11000</v>
      </c>
      <c r="M1247" s="31">
        <v>11123</v>
      </c>
      <c r="N1247" s="32">
        <v>-0.35018181818181798</v>
      </c>
      <c r="O1247" s="32">
        <v>-0.35736761665018402</v>
      </c>
      <c r="P1247" s="30"/>
      <c r="Q1247" s="31">
        <v>61.094017094017097</v>
      </c>
    </row>
    <row r="1248" spans="1:17" ht="15" customHeight="1" x14ac:dyDescent="0.2">
      <c r="A1248" s="17" t="s">
        <v>190</v>
      </c>
      <c r="B1248" s="18" t="s">
        <v>148</v>
      </c>
      <c r="C1248" s="18" t="s">
        <v>180</v>
      </c>
      <c r="D1248" s="20">
        <v>75</v>
      </c>
      <c r="E1248" s="17" t="s">
        <v>582</v>
      </c>
      <c r="F1248" s="19" t="s">
        <v>576</v>
      </c>
      <c r="G1248" s="19" t="s">
        <v>576</v>
      </c>
      <c r="H1248" s="19" t="s">
        <v>583</v>
      </c>
      <c r="I1248" s="21"/>
      <c r="J1248" s="21"/>
      <c r="K1248" s="22">
        <v>5334</v>
      </c>
      <c r="L1248" s="22">
        <v>6830</v>
      </c>
      <c r="M1248" s="22">
        <v>6970</v>
      </c>
      <c r="N1248" s="23">
        <v>-0.21903367496339701</v>
      </c>
      <c r="O1248" s="23">
        <v>-0.234720229555237</v>
      </c>
      <c r="P1248" s="21"/>
      <c r="Q1248" s="22">
        <v>71.12</v>
      </c>
    </row>
    <row r="1249" spans="1:17" ht="15" customHeight="1" x14ac:dyDescent="0.2">
      <c r="A1249" s="26" t="s">
        <v>195</v>
      </c>
      <c r="B1249" s="27" t="s">
        <v>148</v>
      </c>
      <c r="C1249" s="27" t="s">
        <v>180</v>
      </c>
      <c r="D1249" s="29">
        <v>49</v>
      </c>
      <c r="E1249" s="26" t="s">
        <v>582</v>
      </c>
      <c r="F1249" s="28" t="s">
        <v>576</v>
      </c>
      <c r="G1249" s="28" t="s">
        <v>576</v>
      </c>
      <c r="H1249" s="28" t="s">
        <v>583</v>
      </c>
      <c r="I1249" s="30"/>
      <c r="J1249" s="30"/>
      <c r="K1249" s="31">
        <v>3352</v>
      </c>
      <c r="L1249" s="31">
        <v>5420</v>
      </c>
      <c r="M1249" s="31">
        <v>5560</v>
      </c>
      <c r="N1249" s="32">
        <v>-0.38154981549815498</v>
      </c>
      <c r="O1249" s="32">
        <v>-0.39712230215827299</v>
      </c>
      <c r="P1249" s="30"/>
      <c r="Q1249" s="31">
        <v>68.408163265306101</v>
      </c>
    </row>
    <row r="1250" spans="1:17" ht="15" customHeight="1" x14ac:dyDescent="0.2">
      <c r="A1250" s="17" t="s">
        <v>201</v>
      </c>
      <c r="B1250" s="18" t="s">
        <v>148</v>
      </c>
      <c r="C1250" s="18" t="s">
        <v>180</v>
      </c>
      <c r="D1250" s="20">
        <v>170</v>
      </c>
      <c r="E1250" s="17" t="s">
        <v>582</v>
      </c>
      <c r="F1250" s="19" t="s">
        <v>576</v>
      </c>
      <c r="G1250" s="19" t="s">
        <v>576</v>
      </c>
      <c r="H1250" s="19" t="s">
        <v>583</v>
      </c>
      <c r="I1250" s="21"/>
      <c r="J1250" s="21"/>
      <c r="K1250" s="22">
        <v>9694</v>
      </c>
      <c r="L1250" s="22">
        <v>13365</v>
      </c>
      <c r="M1250" s="22">
        <v>13365</v>
      </c>
      <c r="N1250" s="23">
        <v>-0.27467265245042999</v>
      </c>
      <c r="O1250" s="23">
        <v>-0.27467265245042999</v>
      </c>
      <c r="P1250" s="21"/>
      <c r="Q1250" s="22">
        <v>57.023529411764699</v>
      </c>
    </row>
    <row r="1251" spans="1:17" ht="15" customHeight="1" x14ac:dyDescent="0.2">
      <c r="A1251" s="26" t="s">
        <v>205</v>
      </c>
      <c r="B1251" s="27" t="s">
        <v>148</v>
      </c>
      <c r="C1251" s="27" t="s">
        <v>180</v>
      </c>
      <c r="D1251" s="29">
        <v>296</v>
      </c>
      <c r="E1251" s="26" t="s">
        <v>582</v>
      </c>
      <c r="F1251" s="28" t="s">
        <v>576</v>
      </c>
      <c r="G1251" s="28" t="s">
        <v>576</v>
      </c>
      <c r="H1251" s="28" t="s">
        <v>583</v>
      </c>
      <c r="I1251" s="30"/>
      <c r="J1251" s="30"/>
      <c r="K1251" s="31">
        <v>22287.599999999999</v>
      </c>
      <c r="L1251" s="31">
        <v>24000</v>
      </c>
      <c r="M1251" s="31">
        <v>24000</v>
      </c>
      <c r="N1251" s="32">
        <v>-7.1350000000000094E-2</v>
      </c>
      <c r="O1251" s="32">
        <v>-7.1350000000000094E-2</v>
      </c>
      <c r="P1251" s="30"/>
      <c r="Q1251" s="31">
        <v>75.295945945946002</v>
      </c>
    </row>
    <row r="1252" spans="1:17" ht="15" customHeight="1" x14ac:dyDescent="0.2">
      <c r="A1252" s="17" t="s">
        <v>210</v>
      </c>
      <c r="B1252" s="18" t="s">
        <v>148</v>
      </c>
      <c r="C1252" s="18" t="s">
        <v>180</v>
      </c>
      <c r="D1252" s="20">
        <v>83</v>
      </c>
      <c r="E1252" s="17" t="s">
        <v>582</v>
      </c>
      <c r="F1252" s="19" t="s">
        <v>576</v>
      </c>
      <c r="G1252" s="19" t="s">
        <v>576</v>
      </c>
      <c r="H1252" s="19" t="s">
        <v>583</v>
      </c>
      <c r="I1252" s="21"/>
      <c r="J1252" s="21"/>
      <c r="K1252" s="22">
        <v>4247</v>
      </c>
      <c r="L1252" s="22">
        <v>5600</v>
      </c>
      <c r="M1252" s="22">
        <v>5740</v>
      </c>
      <c r="N1252" s="23">
        <v>-0.24160714285714299</v>
      </c>
      <c r="O1252" s="23">
        <v>-0.26010452961672498</v>
      </c>
      <c r="P1252" s="21"/>
      <c r="Q1252" s="22">
        <v>51.168674698795201</v>
      </c>
    </row>
    <row r="1253" spans="1:17" ht="15" customHeight="1" x14ac:dyDescent="0.2">
      <c r="A1253" s="26" t="s">
        <v>214</v>
      </c>
      <c r="B1253" s="27" t="s">
        <v>148</v>
      </c>
      <c r="C1253" s="27" t="s">
        <v>180</v>
      </c>
      <c r="D1253" s="29">
        <v>144</v>
      </c>
      <c r="E1253" s="26" t="s">
        <v>582</v>
      </c>
      <c r="F1253" s="28" t="s">
        <v>576</v>
      </c>
      <c r="G1253" s="28" t="s">
        <v>576</v>
      </c>
      <c r="H1253" s="28" t="s">
        <v>583</v>
      </c>
      <c r="I1253" s="30"/>
      <c r="J1253" s="30"/>
      <c r="K1253" s="31">
        <v>10377.9</v>
      </c>
      <c r="L1253" s="31">
        <v>11500</v>
      </c>
      <c r="M1253" s="31">
        <v>11640</v>
      </c>
      <c r="N1253" s="32">
        <v>-9.7573913043478303E-2</v>
      </c>
      <c r="O1253" s="32">
        <v>-0.108427835051546</v>
      </c>
      <c r="P1253" s="30"/>
      <c r="Q1253" s="31">
        <v>72.068749999999994</v>
      </c>
    </row>
    <row r="1254" spans="1:17" ht="15" customHeight="1" x14ac:dyDescent="0.2">
      <c r="A1254" s="17" t="s">
        <v>219</v>
      </c>
      <c r="B1254" s="18" t="s">
        <v>148</v>
      </c>
      <c r="C1254" s="18" t="s">
        <v>180</v>
      </c>
      <c r="D1254" s="20">
        <v>398</v>
      </c>
      <c r="E1254" s="17" t="s">
        <v>582</v>
      </c>
      <c r="F1254" s="19" t="s">
        <v>576</v>
      </c>
      <c r="G1254" s="19" t="s">
        <v>576</v>
      </c>
      <c r="H1254" s="19" t="s">
        <v>583</v>
      </c>
      <c r="I1254" s="21"/>
      <c r="J1254" s="21"/>
      <c r="K1254" s="22">
        <v>1959.3</v>
      </c>
      <c r="L1254" s="22"/>
      <c r="M1254" s="22">
        <v>2327</v>
      </c>
      <c r="N1254" s="23"/>
      <c r="O1254" s="23">
        <v>-0.15801461108723699</v>
      </c>
      <c r="P1254" s="21"/>
      <c r="Q1254" s="22">
        <v>4.9228643216080403</v>
      </c>
    </row>
    <row r="1255" spans="1:17" ht="15" customHeight="1" x14ac:dyDescent="0.2">
      <c r="A1255" s="26" t="s">
        <v>224</v>
      </c>
      <c r="B1255" s="27" t="s">
        <v>148</v>
      </c>
      <c r="C1255" s="27" t="s">
        <v>180</v>
      </c>
      <c r="D1255" s="29">
        <v>71</v>
      </c>
      <c r="E1255" s="26" t="s">
        <v>582</v>
      </c>
      <c r="F1255" s="28" t="s">
        <v>576</v>
      </c>
      <c r="G1255" s="28" t="s">
        <v>576</v>
      </c>
      <c r="H1255" s="28" t="s">
        <v>583</v>
      </c>
      <c r="I1255" s="30"/>
      <c r="J1255" s="30"/>
      <c r="K1255" s="31">
        <v>4198</v>
      </c>
      <c r="L1255" s="31">
        <v>5155</v>
      </c>
      <c r="M1255" s="31">
        <v>5165</v>
      </c>
      <c r="N1255" s="32">
        <v>-0.18564500484966101</v>
      </c>
      <c r="O1255" s="32">
        <v>-0.18722168441432699</v>
      </c>
      <c r="P1255" s="30"/>
      <c r="Q1255" s="31">
        <v>59.126760563380302</v>
      </c>
    </row>
    <row r="1256" spans="1:17" ht="15" customHeight="1" x14ac:dyDescent="0.2">
      <c r="A1256" s="17" t="s">
        <v>230</v>
      </c>
      <c r="B1256" s="18" t="s">
        <v>148</v>
      </c>
      <c r="C1256" s="18" t="s">
        <v>180</v>
      </c>
      <c r="D1256" s="20">
        <v>139</v>
      </c>
      <c r="E1256" s="17" t="s">
        <v>582</v>
      </c>
      <c r="F1256" s="19" t="s">
        <v>576</v>
      </c>
      <c r="G1256" s="19" t="s">
        <v>576</v>
      </c>
      <c r="H1256" s="19" t="s">
        <v>583</v>
      </c>
      <c r="I1256" s="21"/>
      <c r="J1256" s="21"/>
      <c r="K1256" s="22">
        <v>21161</v>
      </c>
      <c r="L1256" s="22">
        <v>21300</v>
      </c>
      <c r="M1256" s="22">
        <v>22604</v>
      </c>
      <c r="N1256" s="23">
        <v>-6.5258215962441298E-3</v>
      </c>
      <c r="O1256" s="23">
        <v>-6.3838258715271601E-2</v>
      </c>
      <c r="P1256" s="21"/>
      <c r="Q1256" s="22">
        <v>152.23741007194201</v>
      </c>
    </row>
    <row r="1257" spans="1:17" ht="15" customHeight="1" x14ac:dyDescent="0.2">
      <c r="A1257" s="26" t="s">
        <v>236</v>
      </c>
      <c r="B1257" s="27" t="s">
        <v>148</v>
      </c>
      <c r="C1257" s="27" t="s">
        <v>180</v>
      </c>
      <c r="D1257" s="29">
        <v>128</v>
      </c>
      <c r="E1257" s="26" t="s">
        <v>582</v>
      </c>
      <c r="F1257" s="28" t="s">
        <v>576</v>
      </c>
      <c r="G1257" s="28" t="s">
        <v>576</v>
      </c>
      <c r="H1257" s="28" t="s">
        <v>583</v>
      </c>
      <c r="I1257" s="30"/>
      <c r="J1257" s="30"/>
      <c r="K1257" s="31">
        <v>18927.11</v>
      </c>
      <c r="L1257" s="31">
        <v>21850</v>
      </c>
      <c r="M1257" s="31">
        <v>21850</v>
      </c>
      <c r="N1257" s="32">
        <v>-0.13377070938215099</v>
      </c>
      <c r="O1257" s="32">
        <v>-0.13377070938215099</v>
      </c>
      <c r="P1257" s="30"/>
      <c r="Q1257" s="31">
        <v>147.868046875</v>
      </c>
    </row>
    <row r="1258" spans="1:17" ht="15" customHeight="1" x14ac:dyDescent="0.2">
      <c r="A1258" s="17" t="s">
        <v>239</v>
      </c>
      <c r="B1258" s="18" t="s">
        <v>148</v>
      </c>
      <c r="C1258" s="18" t="s">
        <v>180</v>
      </c>
      <c r="D1258" s="20">
        <v>92</v>
      </c>
      <c r="E1258" s="17" t="s">
        <v>582</v>
      </c>
      <c r="F1258" s="19" t="s">
        <v>576</v>
      </c>
      <c r="G1258" s="19" t="s">
        <v>576</v>
      </c>
      <c r="H1258" s="19" t="s">
        <v>583</v>
      </c>
      <c r="I1258" s="21"/>
      <c r="J1258" s="21"/>
      <c r="K1258" s="22">
        <v>109</v>
      </c>
      <c r="L1258" s="22"/>
      <c r="M1258" s="22"/>
      <c r="N1258" s="23"/>
      <c r="O1258" s="23"/>
      <c r="P1258" s="21"/>
      <c r="Q1258" s="22">
        <v>1.1847826086956501</v>
      </c>
    </row>
    <row r="1259" spans="1:17" ht="15" customHeight="1" x14ac:dyDescent="0.2">
      <c r="A1259" s="26" t="s">
        <v>249</v>
      </c>
      <c r="B1259" s="27" t="s">
        <v>148</v>
      </c>
      <c r="C1259" s="27" t="s">
        <v>180</v>
      </c>
      <c r="D1259" s="29">
        <v>122</v>
      </c>
      <c r="E1259" s="26" t="s">
        <v>582</v>
      </c>
      <c r="F1259" s="28" t="s">
        <v>576</v>
      </c>
      <c r="G1259" s="28" t="s">
        <v>576</v>
      </c>
      <c r="H1259" s="28" t="s">
        <v>583</v>
      </c>
      <c r="I1259" s="30"/>
      <c r="J1259" s="30"/>
      <c r="K1259" s="31">
        <v>9138</v>
      </c>
      <c r="L1259" s="31">
        <v>11735</v>
      </c>
      <c r="M1259" s="31">
        <v>12335</v>
      </c>
      <c r="N1259" s="32">
        <v>-0.22130379207498899</v>
      </c>
      <c r="O1259" s="32">
        <v>-0.25918119173084703</v>
      </c>
      <c r="P1259" s="30"/>
      <c r="Q1259" s="31">
        <v>74.901639344262307</v>
      </c>
    </row>
    <row r="1260" spans="1:17" ht="15" customHeight="1" x14ac:dyDescent="0.2">
      <c r="A1260" s="17" t="s">
        <v>254</v>
      </c>
      <c r="B1260" s="18" t="s">
        <v>148</v>
      </c>
      <c r="C1260" s="18" t="s">
        <v>180</v>
      </c>
      <c r="D1260" s="20">
        <v>80</v>
      </c>
      <c r="E1260" s="17" t="s">
        <v>582</v>
      </c>
      <c r="F1260" s="19" t="s">
        <v>576</v>
      </c>
      <c r="G1260" s="19" t="s">
        <v>576</v>
      </c>
      <c r="H1260" s="19" t="s">
        <v>583</v>
      </c>
      <c r="I1260" s="21"/>
      <c r="J1260" s="21"/>
      <c r="K1260" s="22">
        <v>5797</v>
      </c>
      <c r="L1260" s="22">
        <v>6710</v>
      </c>
      <c r="M1260" s="22">
        <v>6850</v>
      </c>
      <c r="N1260" s="23">
        <v>-0.136065573770492</v>
      </c>
      <c r="O1260" s="23">
        <v>-0.153722627737226</v>
      </c>
      <c r="P1260" s="21"/>
      <c r="Q1260" s="22">
        <v>72.462500000000006</v>
      </c>
    </row>
    <row r="1261" spans="1:17" ht="15" customHeight="1" x14ac:dyDescent="0.2">
      <c r="A1261" s="26" t="s">
        <v>259</v>
      </c>
      <c r="B1261" s="27" t="s">
        <v>148</v>
      </c>
      <c r="C1261" s="27" t="s">
        <v>180</v>
      </c>
      <c r="D1261" s="29"/>
      <c r="E1261" s="26" t="s">
        <v>582</v>
      </c>
      <c r="F1261" s="28" t="s">
        <v>576</v>
      </c>
      <c r="G1261" s="28" t="s">
        <v>576</v>
      </c>
      <c r="H1261" s="28" t="s">
        <v>583</v>
      </c>
      <c r="I1261" s="30"/>
      <c r="J1261" s="30"/>
      <c r="K1261" s="31">
        <v>838.05</v>
      </c>
      <c r="L1261" s="31">
        <v>944</v>
      </c>
      <c r="M1261" s="31">
        <v>944</v>
      </c>
      <c r="N1261" s="32">
        <v>-0.112235169491526</v>
      </c>
      <c r="O1261" s="32">
        <v>-0.112235169491526</v>
      </c>
      <c r="P1261" s="30"/>
      <c r="Q1261" s="31"/>
    </row>
    <row r="1262" spans="1:17" ht="15" customHeight="1" x14ac:dyDescent="0.2">
      <c r="A1262" s="17" t="s">
        <v>263</v>
      </c>
      <c r="B1262" s="18" t="s">
        <v>148</v>
      </c>
      <c r="C1262" s="18" t="s">
        <v>180</v>
      </c>
      <c r="D1262" s="20">
        <v>55</v>
      </c>
      <c r="E1262" s="17" t="s">
        <v>582</v>
      </c>
      <c r="F1262" s="19" t="s">
        <v>576</v>
      </c>
      <c r="G1262" s="19" t="s">
        <v>576</v>
      </c>
      <c r="H1262" s="19" t="s">
        <v>583</v>
      </c>
      <c r="I1262" s="21"/>
      <c r="J1262" s="21"/>
      <c r="K1262" s="22">
        <v>3518</v>
      </c>
      <c r="L1262" s="22">
        <v>4385</v>
      </c>
      <c r="M1262" s="22">
        <v>4385</v>
      </c>
      <c r="N1262" s="23">
        <v>-0.19771949828962401</v>
      </c>
      <c r="O1262" s="23">
        <v>-0.19771949828962401</v>
      </c>
      <c r="P1262" s="21"/>
      <c r="Q1262" s="22">
        <v>63.963636363636397</v>
      </c>
    </row>
    <row r="1263" spans="1:17" ht="15" customHeight="1" x14ac:dyDescent="0.2">
      <c r="A1263" s="26" t="s">
        <v>266</v>
      </c>
      <c r="B1263" s="27" t="s">
        <v>148</v>
      </c>
      <c r="C1263" s="27" t="s">
        <v>267</v>
      </c>
      <c r="D1263" s="29">
        <v>108</v>
      </c>
      <c r="E1263" s="26" t="s">
        <v>582</v>
      </c>
      <c r="F1263" s="28" t="s">
        <v>576</v>
      </c>
      <c r="G1263" s="28" t="s">
        <v>576</v>
      </c>
      <c r="H1263" s="28" t="s">
        <v>583</v>
      </c>
      <c r="I1263" s="30"/>
      <c r="J1263" s="30"/>
      <c r="K1263" s="31">
        <v>8662</v>
      </c>
      <c r="L1263" s="31">
        <v>10000</v>
      </c>
      <c r="M1263" s="31">
        <v>10000</v>
      </c>
      <c r="N1263" s="32">
        <v>-0.1338</v>
      </c>
      <c r="O1263" s="32">
        <v>-0.1338</v>
      </c>
      <c r="P1263" s="30"/>
      <c r="Q1263" s="31">
        <v>80.203703703703695</v>
      </c>
    </row>
    <row r="1264" spans="1:17" ht="15" customHeight="1" x14ac:dyDescent="0.2">
      <c r="A1264" s="17" t="s">
        <v>270</v>
      </c>
      <c r="B1264" s="18" t="s">
        <v>148</v>
      </c>
      <c r="C1264" s="18" t="s">
        <v>267</v>
      </c>
      <c r="D1264" s="20">
        <v>75</v>
      </c>
      <c r="E1264" s="17" t="s">
        <v>582</v>
      </c>
      <c r="F1264" s="19" t="s">
        <v>576</v>
      </c>
      <c r="G1264" s="19" t="s">
        <v>576</v>
      </c>
      <c r="H1264" s="19" t="s">
        <v>583</v>
      </c>
      <c r="I1264" s="21"/>
      <c r="J1264" s="21"/>
      <c r="K1264" s="22">
        <v>4774.5</v>
      </c>
      <c r="L1264" s="22">
        <v>5930</v>
      </c>
      <c r="M1264" s="22">
        <v>5930</v>
      </c>
      <c r="N1264" s="23">
        <v>-0.19485666104553101</v>
      </c>
      <c r="O1264" s="23">
        <v>-0.19485666104553101</v>
      </c>
      <c r="P1264" s="21"/>
      <c r="Q1264" s="22">
        <v>63.66</v>
      </c>
    </row>
    <row r="1265" spans="1:17" ht="15" customHeight="1" x14ac:dyDescent="0.2">
      <c r="A1265" s="26" t="s">
        <v>272</v>
      </c>
      <c r="B1265" s="27" t="s">
        <v>148</v>
      </c>
      <c r="C1265" s="27" t="s">
        <v>267</v>
      </c>
      <c r="D1265" s="29">
        <v>89</v>
      </c>
      <c r="E1265" s="26" t="s">
        <v>582</v>
      </c>
      <c r="F1265" s="28" t="s">
        <v>576</v>
      </c>
      <c r="G1265" s="28" t="s">
        <v>576</v>
      </c>
      <c r="H1265" s="28" t="s">
        <v>583</v>
      </c>
      <c r="I1265" s="30"/>
      <c r="J1265" s="30"/>
      <c r="K1265" s="31">
        <v>287.82</v>
      </c>
      <c r="L1265" s="31">
        <v>18000</v>
      </c>
      <c r="M1265" s="31">
        <v>3000</v>
      </c>
      <c r="N1265" s="32">
        <v>-0.98401000000000005</v>
      </c>
      <c r="O1265" s="32">
        <v>-0.90405999999999997</v>
      </c>
      <c r="P1265" s="30"/>
      <c r="Q1265" s="31">
        <v>3.23393258426966</v>
      </c>
    </row>
    <row r="1266" spans="1:17" ht="15" customHeight="1" x14ac:dyDescent="0.2">
      <c r="A1266" s="17" t="s">
        <v>275</v>
      </c>
      <c r="B1266" s="18" t="s">
        <v>148</v>
      </c>
      <c r="C1266" s="18" t="s">
        <v>267</v>
      </c>
      <c r="D1266" s="20">
        <v>78</v>
      </c>
      <c r="E1266" s="17" t="s">
        <v>582</v>
      </c>
      <c r="F1266" s="19" t="s">
        <v>576</v>
      </c>
      <c r="G1266" s="19" t="s">
        <v>576</v>
      </c>
      <c r="H1266" s="19" t="s">
        <v>583</v>
      </c>
      <c r="I1266" s="21"/>
      <c r="J1266" s="21"/>
      <c r="K1266" s="22">
        <v>695</v>
      </c>
      <c r="L1266" s="22">
        <v>5370</v>
      </c>
      <c r="M1266" s="22">
        <v>5370</v>
      </c>
      <c r="N1266" s="23">
        <v>-0.870577281191806</v>
      </c>
      <c r="O1266" s="23">
        <v>-0.870577281191806</v>
      </c>
      <c r="P1266" s="21"/>
      <c r="Q1266" s="22">
        <v>8.9102564102564106</v>
      </c>
    </row>
    <row r="1267" spans="1:17" ht="15" customHeight="1" x14ac:dyDescent="0.2">
      <c r="A1267" s="26" t="s">
        <v>280</v>
      </c>
      <c r="B1267" s="27" t="s">
        <v>148</v>
      </c>
      <c r="C1267" s="27" t="s">
        <v>267</v>
      </c>
      <c r="D1267" s="29">
        <v>110</v>
      </c>
      <c r="E1267" s="26" t="s">
        <v>582</v>
      </c>
      <c r="F1267" s="28" t="s">
        <v>576</v>
      </c>
      <c r="G1267" s="28" t="s">
        <v>576</v>
      </c>
      <c r="H1267" s="28" t="s">
        <v>583</v>
      </c>
      <c r="I1267" s="30"/>
      <c r="J1267" s="30"/>
      <c r="K1267" s="31">
        <v>7501</v>
      </c>
      <c r="L1267" s="31">
        <v>6682</v>
      </c>
      <c r="M1267" s="31">
        <v>6682</v>
      </c>
      <c r="N1267" s="32">
        <v>0.122568093385214</v>
      </c>
      <c r="O1267" s="32">
        <v>0.122568093385214</v>
      </c>
      <c r="P1267" s="30"/>
      <c r="Q1267" s="31">
        <v>68.190909090909102</v>
      </c>
    </row>
    <row r="1268" spans="1:17" ht="15" customHeight="1" x14ac:dyDescent="0.2">
      <c r="A1268" s="17" t="s">
        <v>282</v>
      </c>
      <c r="B1268" s="18" t="s">
        <v>148</v>
      </c>
      <c r="C1268" s="18" t="s">
        <v>267</v>
      </c>
      <c r="D1268" s="20">
        <v>70</v>
      </c>
      <c r="E1268" s="17" t="s">
        <v>582</v>
      </c>
      <c r="F1268" s="19" t="s">
        <v>576</v>
      </c>
      <c r="G1268" s="19" t="s">
        <v>576</v>
      </c>
      <c r="H1268" s="19" t="s">
        <v>583</v>
      </c>
      <c r="I1268" s="21"/>
      <c r="J1268" s="21"/>
      <c r="K1268" s="22">
        <v>954.5</v>
      </c>
      <c r="L1268" s="22"/>
      <c r="M1268" s="22">
        <v>922</v>
      </c>
      <c r="N1268" s="23"/>
      <c r="O1268" s="23">
        <v>3.5249457700650799E-2</v>
      </c>
      <c r="P1268" s="21"/>
      <c r="Q1268" s="22">
        <v>13.6357142857143</v>
      </c>
    </row>
    <row r="1269" spans="1:17" ht="15" customHeight="1" x14ac:dyDescent="0.2">
      <c r="A1269" s="26" t="s">
        <v>285</v>
      </c>
      <c r="B1269" s="27" t="s">
        <v>148</v>
      </c>
      <c r="C1269" s="27" t="s">
        <v>267</v>
      </c>
      <c r="D1269" s="29">
        <v>296</v>
      </c>
      <c r="E1269" s="26" t="s">
        <v>582</v>
      </c>
      <c r="F1269" s="28" t="s">
        <v>576</v>
      </c>
      <c r="G1269" s="28" t="s">
        <v>576</v>
      </c>
      <c r="H1269" s="28" t="s">
        <v>583</v>
      </c>
      <c r="I1269" s="30"/>
      <c r="J1269" s="30"/>
      <c r="K1269" s="31">
        <v>20155.02</v>
      </c>
      <c r="L1269" s="31">
        <v>24000</v>
      </c>
      <c r="M1269" s="31">
        <v>25500</v>
      </c>
      <c r="N1269" s="32">
        <v>-0.1602075</v>
      </c>
      <c r="O1269" s="32">
        <v>-0.20960705882352901</v>
      </c>
      <c r="P1269" s="30"/>
      <c r="Q1269" s="31">
        <v>68.091283783783794</v>
      </c>
    </row>
    <row r="1270" spans="1:17" ht="15" customHeight="1" x14ac:dyDescent="0.2">
      <c r="A1270" s="17" t="s">
        <v>286</v>
      </c>
      <c r="B1270" s="18" t="s">
        <v>148</v>
      </c>
      <c r="C1270" s="18" t="s">
        <v>267</v>
      </c>
      <c r="D1270" s="20">
        <v>50</v>
      </c>
      <c r="E1270" s="17" t="s">
        <v>582</v>
      </c>
      <c r="F1270" s="19" t="s">
        <v>576</v>
      </c>
      <c r="G1270" s="19" t="s">
        <v>576</v>
      </c>
      <c r="H1270" s="19" t="s">
        <v>583</v>
      </c>
      <c r="I1270" s="21"/>
      <c r="J1270" s="21"/>
      <c r="K1270" s="22">
        <v>4165</v>
      </c>
      <c r="L1270" s="22">
        <v>6940</v>
      </c>
      <c r="M1270" s="22">
        <v>7080</v>
      </c>
      <c r="N1270" s="23">
        <v>-0.39985590778098001</v>
      </c>
      <c r="O1270" s="23">
        <v>-0.41172316384180802</v>
      </c>
      <c r="P1270" s="21"/>
      <c r="Q1270" s="22">
        <v>83.3</v>
      </c>
    </row>
    <row r="1271" spans="1:17" ht="15" customHeight="1" x14ac:dyDescent="0.2">
      <c r="A1271" s="26" t="s">
        <v>289</v>
      </c>
      <c r="B1271" s="27" t="s">
        <v>148</v>
      </c>
      <c r="C1271" s="27" t="s">
        <v>267</v>
      </c>
      <c r="D1271" s="29">
        <v>107</v>
      </c>
      <c r="E1271" s="26" t="s">
        <v>582</v>
      </c>
      <c r="F1271" s="28" t="s">
        <v>576</v>
      </c>
      <c r="G1271" s="28" t="s">
        <v>576</v>
      </c>
      <c r="H1271" s="28" t="s">
        <v>583</v>
      </c>
      <c r="I1271" s="30"/>
      <c r="J1271" s="30"/>
      <c r="K1271" s="31">
        <v>8631.5</v>
      </c>
      <c r="L1271" s="31">
        <v>16780</v>
      </c>
      <c r="M1271" s="31">
        <v>16780</v>
      </c>
      <c r="N1271" s="32">
        <v>-0.48560786650774701</v>
      </c>
      <c r="O1271" s="32">
        <v>-0.48560786650774701</v>
      </c>
      <c r="P1271" s="30"/>
      <c r="Q1271" s="31">
        <v>80.6682242990654</v>
      </c>
    </row>
    <row r="1272" spans="1:17" ht="15" customHeight="1" x14ac:dyDescent="0.2">
      <c r="A1272" s="17" t="s">
        <v>292</v>
      </c>
      <c r="B1272" s="18" t="s">
        <v>148</v>
      </c>
      <c r="C1272" s="18" t="s">
        <v>267</v>
      </c>
      <c r="D1272" s="20">
        <v>136</v>
      </c>
      <c r="E1272" s="17" t="s">
        <v>582</v>
      </c>
      <c r="F1272" s="19" t="s">
        <v>576</v>
      </c>
      <c r="G1272" s="19" t="s">
        <v>576</v>
      </c>
      <c r="H1272" s="19" t="s">
        <v>583</v>
      </c>
      <c r="I1272" s="21"/>
      <c r="J1272" s="21"/>
      <c r="K1272" s="22">
        <v>21423</v>
      </c>
      <c r="L1272" s="22">
        <v>26800</v>
      </c>
      <c r="M1272" s="22">
        <v>26800</v>
      </c>
      <c r="N1272" s="23">
        <v>-0.20063432835820899</v>
      </c>
      <c r="O1272" s="23">
        <v>-0.20063432835820899</v>
      </c>
      <c r="P1272" s="21"/>
      <c r="Q1272" s="22">
        <v>157.52205882352899</v>
      </c>
    </row>
    <row r="1273" spans="1:17" ht="15" customHeight="1" x14ac:dyDescent="0.2">
      <c r="A1273" s="26" t="s">
        <v>295</v>
      </c>
      <c r="B1273" s="27" t="s">
        <v>148</v>
      </c>
      <c r="C1273" s="27" t="s">
        <v>267</v>
      </c>
      <c r="D1273" s="29">
        <v>68</v>
      </c>
      <c r="E1273" s="26" t="s">
        <v>582</v>
      </c>
      <c r="F1273" s="28" t="s">
        <v>576</v>
      </c>
      <c r="G1273" s="28" t="s">
        <v>576</v>
      </c>
      <c r="H1273" s="28" t="s">
        <v>583</v>
      </c>
      <c r="I1273" s="30"/>
      <c r="J1273" s="30"/>
      <c r="K1273" s="31">
        <v>4539.5</v>
      </c>
      <c r="L1273" s="31">
        <v>8298</v>
      </c>
      <c r="M1273" s="31">
        <v>8298</v>
      </c>
      <c r="N1273" s="32">
        <v>-0.45294046758255002</v>
      </c>
      <c r="O1273" s="32">
        <v>-0.45294046758255002</v>
      </c>
      <c r="P1273" s="30"/>
      <c r="Q1273" s="31">
        <v>66.757352941176507</v>
      </c>
    </row>
    <row r="1274" spans="1:17" ht="15" customHeight="1" x14ac:dyDescent="0.2">
      <c r="A1274" s="17" t="s">
        <v>298</v>
      </c>
      <c r="B1274" s="18" t="s">
        <v>148</v>
      </c>
      <c r="C1274" s="18" t="s">
        <v>267</v>
      </c>
      <c r="D1274" s="20">
        <v>98</v>
      </c>
      <c r="E1274" s="17" t="s">
        <v>582</v>
      </c>
      <c r="F1274" s="19" t="s">
        <v>576</v>
      </c>
      <c r="G1274" s="19" t="s">
        <v>576</v>
      </c>
      <c r="H1274" s="19" t="s">
        <v>583</v>
      </c>
      <c r="I1274" s="21"/>
      <c r="J1274" s="21"/>
      <c r="K1274" s="22">
        <v>6505</v>
      </c>
      <c r="L1274" s="22">
        <v>9362</v>
      </c>
      <c r="M1274" s="22">
        <v>9362</v>
      </c>
      <c r="N1274" s="23">
        <v>-0.30516983550523402</v>
      </c>
      <c r="O1274" s="23">
        <v>-0.30516983550523402</v>
      </c>
      <c r="P1274" s="21"/>
      <c r="Q1274" s="22">
        <v>66.377551020408205</v>
      </c>
    </row>
    <row r="1275" spans="1:17" ht="15" customHeight="1" x14ac:dyDescent="0.2">
      <c r="A1275" s="26" t="s">
        <v>300</v>
      </c>
      <c r="B1275" s="27" t="s">
        <v>148</v>
      </c>
      <c r="C1275" s="27" t="s">
        <v>267</v>
      </c>
      <c r="D1275" s="29">
        <v>321</v>
      </c>
      <c r="E1275" s="26" t="s">
        <v>582</v>
      </c>
      <c r="F1275" s="28" t="s">
        <v>576</v>
      </c>
      <c r="G1275" s="28" t="s">
        <v>576</v>
      </c>
      <c r="H1275" s="28" t="s">
        <v>583</v>
      </c>
      <c r="I1275" s="30"/>
      <c r="J1275" s="30"/>
      <c r="K1275" s="31">
        <v>20109.95</v>
      </c>
      <c r="L1275" s="31">
        <v>26710</v>
      </c>
      <c r="M1275" s="31">
        <v>27010</v>
      </c>
      <c r="N1275" s="32">
        <v>-0.24710033695245201</v>
      </c>
      <c r="O1275" s="32">
        <v>-0.25546279155868201</v>
      </c>
      <c r="P1275" s="30"/>
      <c r="Q1275" s="31">
        <v>62.647819314641701</v>
      </c>
    </row>
    <row r="1276" spans="1:17" ht="15" customHeight="1" x14ac:dyDescent="0.2">
      <c r="A1276" s="17" t="s">
        <v>304</v>
      </c>
      <c r="B1276" s="18" t="s">
        <v>148</v>
      </c>
      <c r="C1276" s="18" t="s">
        <v>267</v>
      </c>
      <c r="D1276" s="20">
        <v>77</v>
      </c>
      <c r="E1276" s="17" t="s">
        <v>582</v>
      </c>
      <c r="F1276" s="19" t="s">
        <v>576</v>
      </c>
      <c r="G1276" s="19" t="s">
        <v>576</v>
      </c>
      <c r="H1276" s="19" t="s">
        <v>583</v>
      </c>
      <c r="I1276" s="21"/>
      <c r="J1276" s="21"/>
      <c r="K1276" s="22">
        <v>4751</v>
      </c>
      <c r="L1276" s="22">
        <v>8858</v>
      </c>
      <c r="M1276" s="22">
        <v>8858</v>
      </c>
      <c r="N1276" s="23">
        <v>-0.46364867916008101</v>
      </c>
      <c r="O1276" s="23">
        <v>-0.46364867916008101</v>
      </c>
      <c r="P1276" s="21"/>
      <c r="Q1276" s="22">
        <v>61.701298701298697</v>
      </c>
    </row>
    <row r="1277" spans="1:17" ht="15" customHeight="1" x14ac:dyDescent="0.2">
      <c r="A1277" s="26" t="s">
        <v>306</v>
      </c>
      <c r="B1277" s="27" t="s">
        <v>148</v>
      </c>
      <c r="C1277" s="27" t="s">
        <v>267</v>
      </c>
      <c r="D1277" s="29">
        <v>365</v>
      </c>
      <c r="E1277" s="26" t="s">
        <v>582</v>
      </c>
      <c r="F1277" s="28" t="s">
        <v>576</v>
      </c>
      <c r="G1277" s="28" t="s">
        <v>576</v>
      </c>
      <c r="H1277" s="28" t="s">
        <v>583</v>
      </c>
      <c r="I1277" s="30"/>
      <c r="J1277" s="30"/>
      <c r="K1277" s="31">
        <v>50576.78</v>
      </c>
      <c r="L1277" s="31">
        <v>59000</v>
      </c>
      <c r="M1277" s="31">
        <v>59000</v>
      </c>
      <c r="N1277" s="32">
        <v>-0.14276644067796601</v>
      </c>
      <c r="O1277" s="32">
        <v>-0.14276644067796601</v>
      </c>
      <c r="P1277" s="30"/>
      <c r="Q1277" s="31">
        <v>138.566520547945</v>
      </c>
    </row>
    <row r="1278" spans="1:17" ht="15" customHeight="1" x14ac:dyDescent="0.2">
      <c r="A1278" s="17" t="s">
        <v>309</v>
      </c>
      <c r="B1278" s="18" t="s">
        <v>148</v>
      </c>
      <c r="C1278" s="18" t="s">
        <v>267</v>
      </c>
      <c r="D1278" s="20">
        <v>270</v>
      </c>
      <c r="E1278" s="17" t="s">
        <v>582</v>
      </c>
      <c r="F1278" s="19" t="s">
        <v>576</v>
      </c>
      <c r="G1278" s="19" t="s">
        <v>576</v>
      </c>
      <c r="H1278" s="19" t="s">
        <v>583</v>
      </c>
      <c r="I1278" s="21"/>
      <c r="J1278" s="21"/>
      <c r="K1278" s="22">
        <v>29026.58</v>
      </c>
      <c r="L1278" s="22">
        <v>32000</v>
      </c>
      <c r="M1278" s="22">
        <v>35400</v>
      </c>
      <c r="N1278" s="23">
        <v>-9.2919374999999901E-2</v>
      </c>
      <c r="O1278" s="23">
        <v>-0.18004011299434999</v>
      </c>
      <c r="P1278" s="21"/>
      <c r="Q1278" s="22">
        <v>107.505851851852</v>
      </c>
    </row>
    <row r="1279" spans="1:17" ht="15" customHeight="1" x14ac:dyDescent="0.2">
      <c r="A1279" s="35" t="s">
        <v>312</v>
      </c>
      <c r="B1279" s="36" t="s">
        <v>313</v>
      </c>
      <c r="C1279" s="36" t="s">
        <v>267</v>
      </c>
      <c r="D1279" s="38">
        <v>170</v>
      </c>
      <c r="E1279" s="35" t="s">
        <v>582</v>
      </c>
      <c r="F1279" s="37" t="s">
        <v>576</v>
      </c>
      <c r="G1279" s="37" t="s">
        <v>576</v>
      </c>
      <c r="H1279" s="37" t="s">
        <v>583</v>
      </c>
      <c r="I1279" s="39"/>
      <c r="J1279" s="39"/>
      <c r="K1279" s="40">
        <v>26503.77</v>
      </c>
      <c r="L1279" s="40">
        <v>40500</v>
      </c>
      <c r="M1279" s="40">
        <v>40500</v>
      </c>
      <c r="N1279" s="41">
        <v>-0.34558592592592602</v>
      </c>
      <c r="O1279" s="41">
        <v>-0.34558592592592602</v>
      </c>
      <c r="P1279" s="39"/>
      <c r="Q1279" s="40">
        <v>155.904529411765</v>
      </c>
    </row>
    <row r="1280" spans="1:17" ht="15" customHeight="1" x14ac:dyDescent="0.2">
      <c r="A1280" s="35" t="s">
        <v>316</v>
      </c>
      <c r="B1280" s="36" t="s">
        <v>313</v>
      </c>
      <c r="C1280" s="36" t="s">
        <v>267</v>
      </c>
      <c r="D1280" s="38">
        <v>234</v>
      </c>
      <c r="E1280" s="35" t="s">
        <v>582</v>
      </c>
      <c r="F1280" s="37" t="s">
        <v>576</v>
      </c>
      <c r="G1280" s="37" t="s">
        <v>576</v>
      </c>
      <c r="H1280" s="37" t="s">
        <v>583</v>
      </c>
      <c r="I1280" s="39"/>
      <c r="J1280" s="39"/>
      <c r="K1280" s="40">
        <v>22521.02</v>
      </c>
      <c r="L1280" s="40">
        <v>24660</v>
      </c>
      <c r="M1280" s="40">
        <v>31010</v>
      </c>
      <c r="N1280" s="41">
        <v>-8.6738848337388499E-2</v>
      </c>
      <c r="O1280" s="41">
        <v>-0.27374975814253499</v>
      </c>
      <c r="P1280" s="39"/>
      <c r="Q1280" s="40">
        <v>96.243675213675203</v>
      </c>
    </row>
    <row r="1281" spans="1:17" ht="15" customHeight="1" x14ac:dyDescent="0.2">
      <c r="A1281" s="35" t="s">
        <v>319</v>
      </c>
      <c r="B1281" s="36" t="s">
        <v>313</v>
      </c>
      <c r="C1281" s="36" t="s">
        <v>267</v>
      </c>
      <c r="D1281" s="38">
        <v>24</v>
      </c>
      <c r="E1281" s="35" t="s">
        <v>582</v>
      </c>
      <c r="F1281" s="37" t="s">
        <v>576</v>
      </c>
      <c r="G1281" s="37" t="s">
        <v>576</v>
      </c>
      <c r="H1281" s="37" t="s">
        <v>583</v>
      </c>
      <c r="I1281" s="39"/>
      <c r="J1281" s="39"/>
      <c r="K1281" s="40">
        <v>2505</v>
      </c>
      <c r="L1281" s="40">
        <v>8675</v>
      </c>
      <c r="M1281" s="40">
        <v>8675</v>
      </c>
      <c r="N1281" s="41">
        <v>-0.71123919308357397</v>
      </c>
      <c r="O1281" s="41">
        <v>-0.71123919308357397</v>
      </c>
      <c r="P1281" s="39"/>
      <c r="Q1281" s="40">
        <v>104.375</v>
      </c>
    </row>
    <row r="1282" spans="1:17" ht="15" customHeight="1" x14ac:dyDescent="0.2">
      <c r="A1282" s="35" t="s">
        <v>322</v>
      </c>
      <c r="B1282" s="36" t="s">
        <v>313</v>
      </c>
      <c r="C1282" s="36" t="s">
        <v>267</v>
      </c>
      <c r="D1282" s="38">
        <v>219</v>
      </c>
      <c r="E1282" s="35" t="s">
        <v>582</v>
      </c>
      <c r="F1282" s="37" t="s">
        <v>576</v>
      </c>
      <c r="G1282" s="37" t="s">
        <v>576</v>
      </c>
      <c r="H1282" s="37" t="s">
        <v>583</v>
      </c>
      <c r="I1282" s="39"/>
      <c r="J1282" s="39"/>
      <c r="K1282" s="40">
        <v>9636</v>
      </c>
      <c r="L1282" s="40"/>
      <c r="M1282" s="40"/>
      <c r="N1282" s="41"/>
      <c r="O1282" s="41"/>
      <c r="P1282" s="39"/>
      <c r="Q1282" s="40">
        <v>44</v>
      </c>
    </row>
    <row r="1283" spans="1:17" ht="15" customHeight="1" x14ac:dyDescent="0.2">
      <c r="A1283" s="35" t="s">
        <v>327</v>
      </c>
      <c r="B1283" s="36" t="s">
        <v>313</v>
      </c>
      <c r="C1283" s="36" t="s">
        <v>267</v>
      </c>
      <c r="D1283" s="38">
        <v>244</v>
      </c>
      <c r="E1283" s="35" t="s">
        <v>582</v>
      </c>
      <c r="F1283" s="37" t="s">
        <v>576</v>
      </c>
      <c r="G1283" s="37" t="s">
        <v>576</v>
      </c>
      <c r="H1283" s="37" t="s">
        <v>583</v>
      </c>
      <c r="I1283" s="39"/>
      <c r="J1283" s="39"/>
      <c r="K1283" s="40">
        <v>16277</v>
      </c>
      <c r="L1283" s="40">
        <v>8000</v>
      </c>
      <c r="M1283" s="40">
        <v>24887</v>
      </c>
      <c r="N1283" s="41">
        <v>1.0346249999999999</v>
      </c>
      <c r="O1283" s="41">
        <v>-0.34596375617792402</v>
      </c>
      <c r="P1283" s="39"/>
      <c r="Q1283" s="40">
        <v>66.709016393442596</v>
      </c>
    </row>
    <row r="1284" spans="1:17" ht="15" customHeight="1" x14ac:dyDescent="0.2">
      <c r="A1284" s="35" t="s">
        <v>329</v>
      </c>
      <c r="B1284" s="36" t="s">
        <v>313</v>
      </c>
      <c r="C1284" s="36" t="s">
        <v>330</v>
      </c>
      <c r="D1284" s="38">
        <v>186</v>
      </c>
      <c r="E1284" s="35" t="s">
        <v>582</v>
      </c>
      <c r="F1284" s="37" t="s">
        <v>576</v>
      </c>
      <c r="G1284" s="37" t="s">
        <v>576</v>
      </c>
      <c r="H1284" s="37" t="s">
        <v>583</v>
      </c>
      <c r="I1284" s="39"/>
      <c r="J1284" s="39"/>
      <c r="K1284" s="40">
        <v>39594</v>
      </c>
      <c r="L1284" s="40">
        <v>47456</v>
      </c>
      <c r="M1284" s="40">
        <v>50316</v>
      </c>
      <c r="N1284" s="41">
        <v>-0.165669251517195</v>
      </c>
      <c r="O1284" s="41">
        <v>-0.21309325065585499</v>
      </c>
      <c r="P1284" s="39"/>
      <c r="Q1284" s="40">
        <v>212.870967741936</v>
      </c>
    </row>
    <row r="1285" spans="1:17" ht="15" customHeight="1" x14ac:dyDescent="0.2">
      <c r="A1285" s="35" t="s">
        <v>334</v>
      </c>
      <c r="B1285" s="36" t="s">
        <v>313</v>
      </c>
      <c r="C1285" s="36" t="s">
        <v>330</v>
      </c>
      <c r="D1285" s="38">
        <v>20</v>
      </c>
      <c r="E1285" s="35" t="s">
        <v>582</v>
      </c>
      <c r="F1285" s="37" t="s">
        <v>576</v>
      </c>
      <c r="G1285" s="37" t="s">
        <v>576</v>
      </c>
      <c r="H1285" s="37" t="s">
        <v>583</v>
      </c>
      <c r="I1285" s="39"/>
      <c r="J1285" s="39"/>
      <c r="K1285" s="40">
        <v>3676</v>
      </c>
      <c r="L1285" s="40">
        <v>9262</v>
      </c>
      <c r="M1285" s="40">
        <v>9790</v>
      </c>
      <c r="N1285" s="41">
        <v>-0.60310947959404004</v>
      </c>
      <c r="O1285" s="41">
        <v>-0.62451481103166495</v>
      </c>
      <c r="P1285" s="39"/>
      <c r="Q1285" s="40">
        <v>183.8</v>
      </c>
    </row>
    <row r="1286" spans="1:17" ht="15" customHeight="1" x14ac:dyDescent="0.2">
      <c r="A1286" s="17" t="s">
        <v>161</v>
      </c>
      <c r="B1286" s="18" t="s">
        <v>148</v>
      </c>
      <c r="C1286" s="18" t="s">
        <v>149</v>
      </c>
      <c r="D1286" s="20">
        <v>162</v>
      </c>
      <c r="E1286" s="17" t="s">
        <v>584</v>
      </c>
      <c r="F1286" s="19" t="s">
        <v>576</v>
      </c>
      <c r="G1286" s="19" t="s">
        <v>576</v>
      </c>
      <c r="H1286" s="19" t="s">
        <v>585</v>
      </c>
      <c r="I1286" s="21"/>
      <c r="J1286" s="21"/>
      <c r="K1286" s="22">
        <v>1837.5</v>
      </c>
      <c r="L1286" s="22"/>
      <c r="M1286" s="22"/>
      <c r="N1286" s="23"/>
      <c r="O1286" s="23"/>
      <c r="P1286" s="21"/>
      <c r="Q1286" s="22">
        <v>11.342592592592601</v>
      </c>
    </row>
    <row r="1287" spans="1:17" ht="15" customHeight="1" x14ac:dyDescent="0.2">
      <c r="A1287" s="26" t="s">
        <v>214</v>
      </c>
      <c r="B1287" s="27" t="s">
        <v>148</v>
      </c>
      <c r="C1287" s="27" t="s">
        <v>180</v>
      </c>
      <c r="D1287" s="29">
        <v>144</v>
      </c>
      <c r="E1287" s="26" t="s">
        <v>584</v>
      </c>
      <c r="F1287" s="28" t="s">
        <v>576</v>
      </c>
      <c r="G1287" s="28" t="s">
        <v>576</v>
      </c>
      <c r="H1287" s="28" t="s">
        <v>585</v>
      </c>
      <c r="I1287" s="30"/>
      <c r="J1287" s="30"/>
      <c r="K1287" s="31">
        <v>34043.21</v>
      </c>
      <c r="L1287" s="31"/>
      <c r="M1287" s="31"/>
      <c r="N1287" s="32"/>
      <c r="O1287" s="32"/>
      <c r="P1287" s="30"/>
      <c r="Q1287" s="31">
        <v>236.411180555556</v>
      </c>
    </row>
    <row r="1288" spans="1:17" ht="15" customHeight="1" x14ac:dyDescent="0.2">
      <c r="A1288" s="17" t="s">
        <v>161</v>
      </c>
      <c r="B1288" s="18" t="s">
        <v>148</v>
      </c>
      <c r="C1288" s="18" t="s">
        <v>149</v>
      </c>
      <c r="D1288" s="20">
        <v>162</v>
      </c>
      <c r="E1288" s="17" t="s">
        <v>586</v>
      </c>
      <c r="F1288" s="19" t="s">
        <v>576</v>
      </c>
      <c r="G1288" s="19" t="s">
        <v>576</v>
      </c>
      <c r="H1288" s="19" t="s">
        <v>587</v>
      </c>
      <c r="I1288" s="21"/>
      <c r="J1288" s="21"/>
      <c r="K1288" s="22">
        <v>70.709999999999994</v>
      </c>
      <c r="L1288" s="22">
        <v>25600</v>
      </c>
      <c r="M1288" s="22">
        <v>10000</v>
      </c>
      <c r="N1288" s="23">
        <v>-0.99723789062500001</v>
      </c>
      <c r="O1288" s="23">
        <v>-0.99292899999999995</v>
      </c>
      <c r="P1288" s="21"/>
      <c r="Q1288" s="22">
        <v>0.43648148148148203</v>
      </c>
    </row>
    <row r="1289" spans="1:17" ht="15" customHeight="1" x14ac:dyDescent="0.2">
      <c r="A1289" s="26" t="s">
        <v>179</v>
      </c>
      <c r="B1289" s="27" t="s">
        <v>148</v>
      </c>
      <c r="C1289" s="27" t="s">
        <v>180</v>
      </c>
      <c r="D1289" s="29">
        <v>209</v>
      </c>
      <c r="E1289" s="26" t="s">
        <v>586</v>
      </c>
      <c r="F1289" s="28" t="s">
        <v>576</v>
      </c>
      <c r="G1289" s="28" t="s">
        <v>576</v>
      </c>
      <c r="H1289" s="28" t="s">
        <v>587</v>
      </c>
      <c r="I1289" s="30"/>
      <c r="J1289" s="30"/>
      <c r="K1289" s="31">
        <v>49</v>
      </c>
      <c r="L1289" s="31">
        <v>10000</v>
      </c>
      <c r="M1289" s="31">
        <v>10000</v>
      </c>
      <c r="N1289" s="32">
        <v>-0.99509999999999998</v>
      </c>
      <c r="O1289" s="32">
        <v>-0.99509999999999998</v>
      </c>
      <c r="P1289" s="30"/>
      <c r="Q1289" s="31">
        <v>0.23444976076554999</v>
      </c>
    </row>
    <row r="1290" spans="1:17" ht="15" customHeight="1" x14ac:dyDescent="0.2">
      <c r="A1290" s="17" t="s">
        <v>185</v>
      </c>
      <c r="B1290" s="18" t="s">
        <v>148</v>
      </c>
      <c r="C1290" s="18" t="s">
        <v>180</v>
      </c>
      <c r="D1290" s="20">
        <v>117</v>
      </c>
      <c r="E1290" s="17" t="s">
        <v>586</v>
      </c>
      <c r="F1290" s="19" t="s">
        <v>576</v>
      </c>
      <c r="G1290" s="19" t="s">
        <v>576</v>
      </c>
      <c r="H1290" s="19" t="s">
        <v>587</v>
      </c>
      <c r="I1290" s="21"/>
      <c r="J1290" s="21"/>
      <c r="K1290" s="22">
        <v>123.75</v>
      </c>
      <c r="L1290" s="22">
        <v>10000</v>
      </c>
      <c r="M1290" s="22">
        <v>10000</v>
      </c>
      <c r="N1290" s="23">
        <v>-0.98762499999999998</v>
      </c>
      <c r="O1290" s="23">
        <v>-0.98762499999999998</v>
      </c>
      <c r="P1290" s="21"/>
      <c r="Q1290" s="22">
        <v>1.0576923076923099</v>
      </c>
    </row>
    <row r="1291" spans="1:17" ht="15" customHeight="1" x14ac:dyDescent="0.2">
      <c r="A1291" s="26" t="s">
        <v>190</v>
      </c>
      <c r="B1291" s="27" t="s">
        <v>148</v>
      </c>
      <c r="C1291" s="27" t="s">
        <v>180</v>
      </c>
      <c r="D1291" s="29">
        <v>75</v>
      </c>
      <c r="E1291" s="26" t="s">
        <v>586</v>
      </c>
      <c r="F1291" s="28" t="s">
        <v>576</v>
      </c>
      <c r="G1291" s="28" t="s">
        <v>576</v>
      </c>
      <c r="H1291" s="28" t="s">
        <v>587</v>
      </c>
      <c r="I1291" s="30"/>
      <c r="J1291" s="30"/>
      <c r="K1291" s="31">
        <v>7637.01</v>
      </c>
      <c r="L1291" s="31">
        <v>10000</v>
      </c>
      <c r="M1291" s="31">
        <v>10000</v>
      </c>
      <c r="N1291" s="32">
        <v>-0.23629900000000001</v>
      </c>
      <c r="O1291" s="32">
        <v>-0.23629900000000001</v>
      </c>
      <c r="P1291" s="30"/>
      <c r="Q1291" s="31">
        <v>101.82680000000001</v>
      </c>
    </row>
    <row r="1292" spans="1:17" ht="15" customHeight="1" x14ac:dyDescent="0.2">
      <c r="A1292" s="17" t="s">
        <v>195</v>
      </c>
      <c r="B1292" s="18" t="s">
        <v>148</v>
      </c>
      <c r="C1292" s="18" t="s">
        <v>180</v>
      </c>
      <c r="D1292" s="20">
        <v>49</v>
      </c>
      <c r="E1292" s="17" t="s">
        <v>586</v>
      </c>
      <c r="F1292" s="19" t="s">
        <v>576</v>
      </c>
      <c r="G1292" s="19" t="s">
        <v>576</v>
      </c>
      <c r="H1292" s="19" t="s">
        <v>587</v>
      </c>
      <c r="I1292" s="21"/>
      <c r="J1292" s="21"/>
      <c r="K1292" s="22">
        <v>11995.82</v>
      </c>
      <c r="L1292" s="22">
        <v>15000</v>
      </c>
      <c r="M1292" s="22">
        <v>15000</v>
      </c>
      <c r="N1292" s="23">
        <v>-0.20027866666666699</v>
      </c>
      <c r="O1292" s="23">
        <v>-0.20027866666666699</v>
      </c>
      <c r="P1292" s="21"/>
      <c r="Q1292" s="22">
        <v>244.81265306122501</v>
      </c>
    </row>
    <row r="1293" spans="1:17" ht="15" customHeight="1" x14ac:dyDescent="0.2">
      <c r="A1293" s="26" t="s">
        <v>201</v>
      </c>
      <c r="B1293" s="27" t="s">
        <v>148</v>
      </c>
      <c r="C1293" s="27" t="s">
        <v>180</v>
      </c>
      <c r="D1293" s="29">
        <v>170</v>
      </c>
      <c r="E1293" s="26" t="s">
        <v>586</v>
      </c>
      <c r="F1293" s="28" t="s">
        <v>576</v>
      </c>
      <c r="G1293" s="28" t="s">
        <v>576</v>
      </c>
      <c r="H1293" s="28" t="s">
        <v>587</v>
      </c>
      <c r="I1293" s="30"/>
      <c r="J1293" s="30"/>
      <c r="K1293" s="31">
        <v>10135.59</v>
      </c>
      <c r="L1293" s="31">
        <v>17000</v>
      </c>
      <c r="M1293" s="31">
        <v>17000</v>
      </c>
      <c r="N1293" s="32">
        <v>-0.40378882352941198</v>
      </c>
      <c r="O1293" s="32">
        <v>-0.40378882352941198</v>
      </c>
      <c r="P1293" s="30"/>
      <c r="Q1293" s="31">
        <v>59.621117647058803</v>
      </c>
    </row>
    <row r="1294" spans="1:17" ht="15" customHeight="1" x14ac:dyDescent="0.2">
      <c r="A1294" s="17" t="s">
        <v>205</v>
      </c>
      <c r="B1294" s="18" t="s">
        <v>148</v>
      </c>
      <c r="C1294" s="18" t="s">
        <v>180</v>
      </c>
      <c r="D1294" s="20">
        <v>296</v>
      </c>
      <c r="E1294" s="17" t="s">
        <v>586</v>
      </c>
      <c r="F1294" s="19" t="s">
        <v>576</v>
      </c>
      <c r="G1294" s="19" t="s">
        <v>576</v>
      </c>
      <c r="H1294" s="19" t="s">
        <v>587</v>
      </c>
      <c r="I1294" s="21"/>
      <c r="J1294" s="21"/>
      <c r="K1294" s="22">
        <v>226</v>
      </c>
      <c r="L1294" s="22">
        <v>10000</v>
      </c>
      <c r="M1294" s="22">
        <v>300</v>
      </c>
      <c r="N1294" s="23">
        <v>-0.97740000000000005</v>
      </c>
      <c r="O1294" s="23">
        <v>-0.24666666666666701</v>
      </c>
      <c r="P1294" s="21"/>
      <c r="Q1294" s="22">
        <v>0.76351351351351404</v>
      </c>
    </row>
    <row r="1295" spans="1:17" ht="15" customHeight="1" x14ac:dyDescent="0.2">
      <c r="A1295" s="26" t="s">
        <v>210</v>
      </c>
      <c r="B1295" s="27" t="s">
        <v>148</v>
      </c>
      <c r="C1295" s="27" t="s">
        <v>180</v>
      </c>
      <c r="D1295" s="29">
        <v>83</v>
      </c>
      <c r="E1295" s="26" t="s">
        <v>586</v>
      </c>
      <c r="F1295" s="28" t="s">
        <v>576</v>
      </c>
      <c r="G1295" s="28" t="s">
        <v>576</v>
      </c>
      <c r="H1295" s="28" t="s">
        <v>587</v>
      </c>
      <c r="I1295" s="30"/>
      <c r="J1295" s="30"/>
      <c r="K1295" s="31">
        <v>8952.41</v>
      </c>
      <c r="L1295" s="31">
        <v>14500</v>
      </c>
      <c r="M1295" s="31">
        <v>14500</v>
      </c>
      <c r="N1295" s="32">
        <v>-0.38259241379310299</v>
      </c>
      <c r="O1295" s="32">
        <v>-0.38259241379310299</v>
      </c>
      <c r="P1295" s="30"/>
      <c r="Q1295" s="31">
        <v>107.860361445783</v>
      </c>
    </row>
    <row r="1296" spans="1:17" ht="15" customHeight="1" x14ac:dyDescent="0.2">
      <c r="A1296" s="17" t="s">
        <v>214</v>
      </c>
      <c r="B1296" s="18" t="s">
        <v>148</v>
      </c>
      <c r="C1296" s="18" t="s">
        <v>180</v>
      </c>
      <c r="D1296" s="20">
        <v>144</v>
      </c>
      <c r="E1296" s="17" t="s">
        <v>586</v>
      </c>
      <c r="F1296" s="19" t="s">
        <v>576</v>
      </c>
      <c r="G1296" s="19" t="s">
        <v>576</v>
      </c>
      <c r="H1296" s="19" t="s">
        <v>587</v>
      </c>
      <c r="I1296" s="21"/>
      <c r="J1296" s="21"/>
      <c r="K1296" s="22">
        <v>2825.11</v>
      </c>
      <c r="L1296" s="22">
        <v>12800</v>
      </c>
      <c r="M1296" s="22">
        <v>12800</v>
      </c>
      <c r="N1296" s="23">
        <v>-0.77928828125000005</v>
      </c>
      <c r="O1296" s="23">
        <v>-0.77928828125000005</v>
      </c>
      <c r="P1296" s="21"/>
      <c r="Q1296" s="22">
        <v>19.618819444444402</v>
      </c>
    </row>
    <row r="1297" spans="1:17" ht="15" customHeight="1" x14ac:dyDescent="0.2">
      <c r="A1297" s="26" t="s">
        <v>219</v>
      </c>
      <c r="B1297" s="27" t="s">
        <v>148</v>
      </c>
      <c r="C1297" s="27" t="s">
        <v>180</v>
      </c>
      <c r="D1297" s="29">
        <v>398</v>
      </c>
      <c r="E1297" s="26" t="s">
        <v>586</v>
      </c>
      <c r="F1297" s="28" t="s">
        <v>576</v>
      </c>
      <c r="G1297" s="28" t="s">
        <v>576</v>
      </c>
      <c r="H1297" s="28" t="s">
        <v>587</v>
      </c>
      <c r="I1297" s="30"/>
      <c r="J1297" s="30"/>
      <c r="K1297" s="31">
        <v>2737.5</v>
      </c>
      <c r="L1297" s="31">
        <v>9900</v>
      </c>
      <c r="M1297" s="31">
        <v>9900</v>
      </c>
      <c r="N1297" s="32">
        <v>-0.72348484848484895</v>
      </c>
      <c r="O1297" s="32">
        <v>-0.72348484848484895</v>
      </c>
      <c r="P1297" s="30"/>
      <c r="Q1297" s="31">
        <v>6.8781407035175901</v>
      </c>
    </row>
    <row r="1298" spans="1:17" ht="15" customHeight="1" x14ac:dyDescent="0.2">
      <c r="A1298" s="17" t="s">
        <v>224</v>
      </c>
      <c r="B1298" s="18" t="s">
        <v>148</v>
      </c>
      <c r="C1298" s="18" t="s">
        <v>180</v>
      </c>
      <c r="D1298" s="20">
        <v>71</v>
      </c>
      <c r="E1298" s="17" t="s">
        <v>586</v>
      </c>
      <c r="F1298" s="19" t="s">
        <v>576</v>
      </c>
      <c r="G1298" s="19" t="s">
        <v>576</v>
      </c>
      <c r="H1298" s="19" t="s">
        <v>587</v>
      </c>
      <c r="I1298" s="21"/>
      <c r="J1298" s="21"/>
      <c r="K1298" s="22">
        <v>4239.3599999999997</v>
      </c>
      <c r="L1298" s="22">
        <v>7000</v>
      </c>
      <c r="M1298" s="22">
        <v>7000</v>
      </c>
      <c r="N1298" s="23">
        <v>-0.39437714285714298</v>
      </c>
      <c r="O1298" s="23">
        <v>-0.39437714285714298</v>
      </c>
      <c r="P1298" s="21"/>
      <c r="Q1298" s="22">
        <v>59.709295774647899</v>
      </c>
    </row>
    <row r="1299" spans="1:17" ht="15" customHeight="1" x14ac:dyDescent="0.2">
      <c r="A1299" s="26" t="s">
        <v>230</v>
      </c>
      <c r="B1299" s="27" t="s">
        <v>148</v>
      </c>
      <c r="C1299" s="27" t="s">
        <v>180</v>
      </c>
      <c r="D1299" s="29">
        <v>139</v>
      </c>
      <c r="E1299" s="26" t="s">
        <v>586</v>
      </c>
      <c r="F1299" s="28" t="s">
        <v>576</v>
      </c>
      <c r="G1299" s="28" t="s">
        <v>576</v>
      </c>
      <c r="H1299" s="28" t="s">
        <v>587</v>
      </c>
      <c r="I1299" s="30"/>
      <c r="J1299" s="30"/>
      <c r="K1299" s="31">
        <v>13617.45</v>
      </c>
      <c r="L1299" s="31">
        <v>11000</v>
      </c>
      <c r="M1299" s="31">
        <v>11000</v>
      </c>
      <c r="N1299" s="32">
        <v>0.23794999999999999</v>
      </c>
      <c r="O1299" s="32">
        <v>0.23794999999999999</v>
      </c>
      <c r="P1299" s="30"/>
      <c r="Q1299" s="31">
        <v>97.967266187050399</v>
      </c>
    </row>
    <row r="1300" spans="1:17" ht="15" customHeight="1" x14ac:dyDescent="0.2">
      <c r="A1300" s="17" t="s">
        <v>236</v>
      </c>
      <c r="B1300" s="18" t="s">
        <v>148</v>
      </c>
      <c r="C1300" s="18" t="s">
        <v>180</v>
      </c>
      <c r="D1300" s="20">
        <v>128</v>
      </c>
      <c r="E1300" s="17" t="s">
        <v>586</v>
      </c>
      <c r="F1300" s="19" t="s">
        <v>576</v>
      </c>
      <c r="G1300" s="19" t="s">
        <v>576</v>
      </c>
      <c r="H1300" s="19" t="s">
        <v>587</v>
      </c>
      <c r="I1300" s="21"/>
      <c r="J1300" s="21"/>
      <c r="K1300" s="22">
        <v>2446</v>
      </c>
      <c r="L1300" s="22">
        <v>4500</v>
      </c>
      <c r="M1300" s="22">
        <v>4500</v>
      </c>
      <c r="N1300" s="23">
        <v>-0.45644444444444399</v>
      </c>
      <c r="O1300" s="23">
        <v>-0.45644444444444399</v>
      </c>
      <c r="P1300" s="21"/>
      <c r="Q1300" s="22">
        <v>19.109375</v>
      </c>
    </row>
    <row r="1301" spans="1:17" ht="15" customHeight="1" x14ac:dyDescent="0.2">
      <c r="A1301" s="26" t="s">
        <v>245</v>
      </c>
      <c r="B1301" s="27" t="s">
        <v>148</v>
      </c>
      <c r="C1301" s="27" t="s">
        <v>180</v>
      </c>
      <c r="D1301" s="29">
        <v>31</v>
      </c>
      <c r="E1301" s="26" t="s">
        <v>586</v>
      </c>
      <c r="F1301" s="28" t="s">
        <v>576</v>
      </c>
      <c r="G1301" s="28" t="s">
        <v>576</v>
      </c>
      <c r="H1301" s="28" t="s">
        <v>587</v>
      </c>
      <c r="I1301" s="30"/>
      <c r="J1301" s="30"/>
      <c r="K1301" s="31">
        <v>825.48</v>
      </c>
      <c r="L1301" s="31">
        <v>2500</v>
      </c>
      <c r="M1301" s="31">
        <v>2500</v>
      </c>
      <c r="N1301" s="32">
        <v>-0.66980799999999996</v>
      </c>
      <c r="O1301" s="32">
        <v>-0.66980799999999996</v>
      </c>
      <c r="P1301" s="30"/>
      <c r="Q1301" s="31">
        <v>26.628387096774201</v>
      </c>
    </row>
    <row r="1302" spans="1:17" ht="15" customHeight="1" x14ac:dyDescent="0.2">
      <c r="A1302" s="17" t="s">
        <v>249</v>
      </c>
      <c r="B1302" s="18" t="s">
        <v>148</v>
      </c>
      <c r="C1302" s="18" t="s">
        <v>180</v>
      </c>
      <c r="D1302" s="20">
        <v>122</v>
      </c>
      <c r="E1302" s="17" t="s">
        <v>586</v>
      </c>
      <c r="F1302" s="19" t="s">
        <v>576</v>
      </c>
      <c r="G1302" s="19" t="s">
        <v>576</v>
      </c>
      <c r="H1302" s="19" t="s">
        <v>587</v>
      </c>
      <c r="I1302" s="21"/>
      <c r="J1302" s="21"/>
      <c r="K1302" s="22">
        <v>71.099999999999994</v>
      </c>
      <c r="L1302" s="22">
        <v>10000</v>
      </c>
      <c r="M1302" s="22">
        <v>10000</v>
      </c>
      <c r="N1302" s="23">
        <v>-0.99289000000000005</v>
      </c>
      <c r="O1302" s="23">
        <v>-0.99289000000000005</v>
      </c>
      <c r="P1302" s="21"/>
      <c r="Q1302" s="22">
        <v>0.58278688524590205</v>
      </c>
    </row>
    <row r="1303" spans="1:17" ht="15" customHeight="1" x14ac:dyDescent="0.2">
      <c r="A1303" s="26" t="s">
        <v>254</v>
      </c>
      <c r="B1303" s="27" t="s">
        <v>148</v>
      </c>
      <c r="C1303" s="27" t="s">
        <v>180</v>
      </c>
      <c r="D1303" s="29">
        <v>80</v>
      </c>
      <c r="E1303" s="26" t="s">
        <v>586</v>
      </c>
      <c r="F1303" s="28" t="s">
        <v>576</v>
      </c>
      <c r="G1303" s="28" t="s">
        <v>576</v>
      </c>
      <c r="H1303" s="28" t="s">
        <v>587</v>
      </c>
      <c r="I1303" s="30"/>
      <c r="J1303" s="30"/>
      <c r="K1303" s="31">
        <v>7498.01</v>
      </c>
      <c r="L1303" s="31">
        <v>10000</v>
      </c>
      <c r="M1303" s="31">
        <v>10000</v>
      </c>
      <c r="N1303" s="32">
        <v>-0.250199</v>
      </c>
      <c r="O1303" s="32">
        <v>-0.250199</v>
      </c>
      <c r="P1303" s="30"/>
      <c r="Q1303" s="31">
        <v>93.725125000000006</v>
      </c>
    </row>
    <row r="1304" spans="1:17" ht="15" customHeight="1" x14ac:dyDescent="0.2">
      <c r="A1304" s="17" t="s">
        <v>259</v>
      </c>
      <c r="B1304" s="18" t="s">
        <v>148</v>
      </c>
      <c r="C1304" s="18" t="s">
        <v>180</v>
      </c>
      <c r="D1304" s="20"/>
      <c r="E1304" s="17" t="s">
        <v>586</v>
      </c>
      <c r="F1304" s="19" t="s">
        <v>576</v>
      </c>
      <c r="G1304" s="19" t="s">
        <v>576</v>
      </c>
      <c r="H1304" s="19" t="s">
        <v>587</v>
      </c>
      <c r="I1304" s="21"/>
      <c r="J1304" s="21"/>
      <c r="K1304" s="22">
        <v>5</v>
      </c>
      <c r="L1304" s="22"/>
      <c r="M1304" s="22"/>
      <c r="N1304" s="23"/>
      <c r="O1304" s="23"/>
      <c r="P1304" s="21"/>
      <c r="Q1304" s="22"/>
    </row>
    <row r="1305" spans="1:17" ht="15" customHeight="1" x14ac:dyDescent="0.2">
      <c r="A1305" s="26" t="s">
        <v>263</v>
      </c>
      <c r="B1305" s="27" t="s">
        <v>148</v>
      </c>
      <c r="C1305" s="27" t="s">
        <v>180</v>
      </c>
      <c r="D1305" s="29">
        <v>55</v>
      </c>
      <c r="E1305" s="26" t="s">
        <v>586</v>
      </c>
      <c r="F1305" s="28" t="s">
        <v>576</v>
      </c>
      <c r="G1305" s="28" t="s">
        <v>576</v>
      </c>
      <c r="H1305" s="28" t="s">
        <v>587</v>
      </c>
      <c r="I1305" s="30"/>
      <c r="J1305" s="30"/>
      <c r="K1305" s="31">
        <v>5632.2</v>
      </c>
      <c r="L1305" s="31">
        <v>7000</v>
      </c>
      <c r="M1305" s="31">
        <v>7000</v>
      </c>
      <c r="N1305" s="32">
        <v>-0.19539999999999999</v>
      </c>
      <c r="O1305" s="32">
        <v>-0.19539999999999999</v>
      </c>
      <c r="P1305" s="30"/>
      <c r="Q1305" s="31">
        <v>102.403636363636</v>
      </c>
    </row>
    <row r="1306" spans="1:17" ht="15" customHeight="1" x14ac:dyDescent="0.2">
      <c r="A1306" s="17" t="s">
        <v>266</v>
      </c>
      <c r="B1306" s="18" t="s">
        <v>148</v>
      </c>
      <c r="C1306" s="18" t="s">
        <v>267</v>
      </c>
      <c r="D1306" s="20">
        <v>108</v>
      </c>
      <c r="E1306" s="17" t="s">
        <v>586</v>
      </c>
      <c r="F1306" s="19" t="s">
        <v>576</v>
      </c>
      <c r="G1306" s="19" t="s">
        <v>576</v>
      </c>
      <c r="H1306" s="19" t="s">
        <v>587</v>
      </c>
      <c r="I1306" s="21"/>
      <c r="J1306" s="21"/>
      <c r="K1306" s="22">
        <v>76.97</v>
      </c>
      <c r="L1306" s="22">
        <v>8000</v>
      </c>
      <c r="M1306" s="22">
        <v>8000</v>
      </c>
      <c r="N1306" s="23">
        <v>-0.99037874999999997</v>
      </c>
      <c r="O1306" s="23">
        <v>-0.99037874999999997</v>
      </c>
      <c r="P1306" s="21"/>
      <c r="Q1306" s="22">
        <v>0.71268518518518498</v>
      </c>
    </row>
    <row r="1307" spans="1:17" ht="15" customHeight="1" x14ac:dyDescent="0.2">
      <c r="A1307" s="26" t="s">
        <v>270</v>
      </c>
      <c r="B1307" s="27" t="s">
        <v>148</v>
      </c>
      <c r="C1307" s="27" t="s">
        <v>267</v>
      </c>
      <c r="D1307" s="29">
        <v>75</v>
      </c>
      <c r="E1307" s="26" t="s">
        <v>586</v>
      </c>
      <c r="F1307" s="28" t="s">
        <v>576</v>
      </c>
      <c r="G1307" s="28" t="s">
        <v>576</v>
      </c>
      <c r="H1307" s="28" t="s">
        <v>587</v>
      </c>
      <c r="I1307" s="30"/>
      <c r="J1307" s="30"/>
      <c r="K1307" s="31">
        <v>10312.700000000001</v>
      </c>
      <c r="L1307" s="31">
        <v>8500</v>
      </c>
      <c r="M1307" s="31">
        <v>8500</v>
      </c>
      <c r="N1307" s="32">
        <v>0.213258823529412</v>
      </c>
      <c r="O1307" s="32">
        <v>0.213258823529412</v>
      </c>
      <c r="P1307" s="30"/>
      <c r="Q1307" s="31">
        <v>137.50266666666701</v>
      </c>
    </row>
    <row r="1308" spans="1:17" ht="15" customHeight="1" x14ac:dyDescent="0.2">
      <c r="A1308" s="17" t="s">
        <v>272</v>
      </c>
      <c r="B1308" s="18" t="s">
        <v>148</v>
      </c>
      <c r="C1308" s="18" t="s">
        <v>267</v>
      </c>
      <c r="D1308" s="20">
        <v>89</v>
      </c>
      <c r="E1308" s="17" t="s">
        <v>586</v>
      </c>
      <c r="F1308" s="19" t="s">
        <v>576</v>
      </c>
      <c r="G1308" s="19" t="s">
        <v>576</v>
      </c>
      <c r="H1308" s="19" t="s">
        <v>587</v>
      </c>
      <c r="I1308" s="21"/>
      <c r="J1308" s="21"/>
      <c r="K1308" s="22">
        <v>5130</v>
      </c>
      <c r="L1308" s="22">
        <v>7000</v>
      </c>
      <c r="M1308" s="22">
        <v>7000</v>
      </c>
      <c r="N1308" s="23">
        <v>-0.26714285714285702</v>
      </c>
      <c r="O1308" s="23">
        <v>-0.26714285714285702</v>
      </c>
      <c r="P1308" s="21"/>
      <c r="Q1308" s="22">
        <v>57.640449438202303</v>
      </c>
    </row>
    <row r="1309" spans="1:17" ht="15" customHeight="1" x14ac:dyDescent="0.2">
      <c r="A1309" s="26" t="s">
        <v>275</v>
      </c>
      <c r="B1309" s="27" t="s">
        <v>148</v>
      </c>
      <c r="C1309" s="27" t="s">
        <v>267</v>
      </c>
      <c r="D1309" s="29">
        <v>78</v>
      </c>
      <c r="E1309" s="26" t="s">
        <v>586</v>
      </c>
      <c r="F1309" s="28" t="s">
        <v>576</v>
      </c>
      <c r="G1309" s="28" t="s">
        <v>576</v>
      </c>
      <c r="H1309" s="28" t="s">
        <v>587</v>
      </c>
      <c r="I1309" s="30"/>
      <c r="J1309" s="30"/>
      <c r="K1309" s="31">
        <v>8101.46</v>
      </c>
      <c r="L1309" s="31">
        <v>7000</v>
      </c>
      <c r="M1309" s="31">
        <v>7000</v>
      </c>
      <c r="N1309" s="32">
        <v>0.157351428571429</v>
      </c>
      <c r="O1309" s="32">
        <v>0.157351428571429</v>
      </c>
      <c r="P1309" s="30"/>
      <c r="Q1309" s="31">
        <v>103.864871794872</v>
      </c>
    </row>
    <row r="1310" spans="1:17" ht="15" customHeight="1" x14ac:dyDescent="0.2">
      <c r="A1310" s="17" t="s">
        <v>277</v>
      </c>
      <c r="B1310" s="18" t="s">
        <v>148</v>
      </c>
      <c r="C1310" s="18" t="s">
        <v>267</v>
      </c>
      <c r="D1310" s="20">
        <v>158</v>
      </c>
      <c r="E1310" s="17" t="s">
        <v>586</v>
      </c>
      <c r="F1310" s="19" t="s">
        <v>576</v>
      </c>
      <c r="G1310" s="19" t="s">
        <v>576</v>
      </c>
      <c r="H1310" s="19" t="s">
        <v>587</v>
      </c>
      <c r="I1310" s="21"/>
      <c r="J1310" s="21"/>
      <c r="K1310" s="22">
        <v>652.9</v>
      </c>
      <c r="L1310" s="22">
        <v>1000</v>
      </c>
      <c r="M1310" s="22">
        <v>1000</v>
      </c>
      <c r="N1310" s="23">
        <v>-0.34710000000000002</v>
      </c>
      <c r="O1310" s="23">
        <v>-0.34710000000000002</v>
      </c>
      <c r="P1310" s="21"/>
      <c r="Q1310" s="22">
        <v>4.1322784810126603</v>
      </c>
    </row>
    <row r="1311" spans="1:17" ht="15" customHeight="1" x14ac:dyDescent="0.2">
      <c r="A1311" s="26" t="s">
        <v>280</v>
      </c>
      <c r="B1311" s="27" t="s">
        <v>148</v>
      </c>
      <c r="C1311" s="27" t="s">
        <v>267</v>
      </c>
      <c r="D1311" s="29">
        <v>110</v>
      </c>
      <c r="E1311" s="26" t="s">
        <v>586</v>
      </c>
      <c r="F1311" s="28" t="s">
        <v>576</v>
      </c>
      <c r="G1311" s="28" t="s">
        <v>576</v>
      </c>
      <c r="H1311" s="28" t="s">
        <v>587</v>
      </c>
      <c r="I1311" s="30"/>
      <c r="J1311" s="30"/>
      <c r="K1311" s="31">
        <v>8344.56</v>
      </c>
      <c r="L1311" s="31">
        <v>11500</v>
      </c>
      <c r="M1311" s="31">
        <v>11500</v>
      </c>
      <c r="N1311" s="32">
        <v>-0.274386086956522</v>
      </c>
      <c r="O1311" s="32">
        <v>-0.274386086956522</v>
      </c>
      <c r="P1311" s="30"/>
      <c r="Q1311" s="31">
        <v>75.859636363636398</v>
      </c>
    </row>
    <row r="1312" spans="1:17" ht="15" customHeight="1" x14ac:dyDescent="0.2">
      <c r="A1312" s="17" t="s">
        <v>282</v>
      </c>
      <c r="B1312" s="18" t="s">
        <v>148</v>
      </c>
      <c r="C1312" s="18" t="s">
        <v>267</v>
      </c>
      <c r="D1312" s="20">
        <v>70</v>
      </c>
      <c r="E1312" s="17" t="s">
        <v>586</v>
      </c>
      <c r="F1312" s="19" t="s">
        <v>576</v>
      </c>
      <c r="G1312" s="19" t="s">
        <v>576</v>
      </c>
      <c r="H1312" s="19" t="s">
        <v>587</v>
      </c>
      <c r="I1312" s="21"/>
      <c r="J1312" s="21"/>
      <c r="K1312" s="22">
        <v>39.229999999999997</v>
      </c>
      <c r="L1312" s="22">
        <v>4000</v>
      </c>
      <c r="M1312" s="22">
        <v>4000</v>
      </c>
      <c r="N1312" s="23">
        <v>-0.99019250000000003</v>
      </c>
      <c r="O1312" s="23">
        <v>-0.99019250000000003</v>
      </c>
      <c r="P1312" s="21"/>
      <c r="Q1312" s="22">
        <v>0.56042857142857105</v>
      </c>
    </row>
    <row r="1313" spans="1:17" ht="15" customHeight="1" x14ac:dyDescent="0.2">
      <c r="A1313" s="26" t="s">
        <v>285</v>
      </c>
      <c r="B1313" s="27" t="s">
        <v>148</v>
      </c>
      <c r="C1313" s="27" t="s">
        <v>267</v>
      </c>
      <c r="D1313" s="29">
        <v>296</v>
      </c>
      <c r="E1313" s="26" t="s">
        <v>586</v>
      </c>
      <c r="F1313" s="28" t="s">
        <v>576</v>
      </c>
      <c r="G1313" s="28" t="s">
        <v>576</v>
      </c>
      <c r="H1313" s="28" t="s">
        <v>587</v>
      </c>
      <c r="I1313" s="30"/>
      <c r="J1313" s="30"/>
      <c r="K1313" s="31">
        <v>2750</v>
      </c>
      <c r="L1313" s="31">
        <v>10000</v>
      </c>
      <c r="M1313" s="31">
        <v>10000</v>
      </c>
      <c r="N1313" s="32">
        <v>-0.72499999999999998</v>
      </c>
      <c r="O1313" s="32">
        <v>-0.72499999999999998</v>
      </c>
      <c r="P1313" s="30"/>
      <c r="Q1313" s="31">
        <v>9.2905405405405403</v>
      </c>
    </row>
    <row r="1314" spans="1:17" ht="15" customHeight="1" x14ac:dyDescent="0.2">
      <c r="A1314" s="17" t="s">
        <v>286</v>
      </c>
      <c r="B1314" s="18" t="s">
        <v>148</v>
      </c>
      <c r="C1314" s="18" t="s">
        <v>267</v>
      </c>
      <c r="D1314" s="20">
        <v>50</v>
      </c>
      <c r="E1314" s="17" t="s">
        <v>586</v>
      </c>
      <c r="F1314" s="19" t="s">
        <v>576</v>
      </c>
      <c r="G1314" s="19" t="s">
        <v>576</v>
      </c>
      <c r="H1314" s="19" t="s">
        <v>587</v>
      </c>
      <c r="I1314" s="21"/>
      <c r="J1314" s="21"/>
      <c r="K1314" s="22">
        <v>5722.51</v>
      </c>
      <c r="L1314" s="22">
        <v>9000</v>
      </c>
      <c r="M1314" s="22">
        <v>9000</v>
      </c>
      <c r="N1314" s="23">
        <v>-0.36416555555555602</v>
      </c>
      <c r="O1314" s="23">
        <v>-0.36416555555555602</v>
      </c>
      <c r="P1314" s="21"/>
      <c r="Q1314" s="22">
        <v>114.4502</v>
      </c>
    </row>
    <row r="1315" spans="1:17" ht="15" customHeight="1" x14ac:dyDescent="0.2">
      <c r="A1315" s="26" t="s">
        <v>289</v>
      </c>
      <c r="B1315" s="27" t="s">
        <v>148</v>
      </c>
      <c r="C1315" s="27" t="s">
        <v>267</v>
      </c>
      <c r="D1315" s="29">
        <v>107</v>
      </c>
      <c r="E1315" s="26" t="s">
        <v>586</v>
      </c>
      <c r="F1315" s="28" t="s">
        <v>576</v>
      </c>
      <c r="G1315" s="28" t="s">
        <v>576</v>
      </c>
      <c r="H1315" s="28" t="s">
        <v>587</v>
      </c>
      <c r="I1315" s="30"/>
      <c r="J1315" s="30"/>
      <c r="K1315" s="31">
        <v>6517.37</v>
      </c>
      <c r="L1315" s="31">
        <v>12000</v>
      </c>
      <c r="M1315" s="31">
        <v>12000</v>
      </c>
      <c r="N1315" s="32">
        <v>-0.45688583333333299</v>
      </c>
      <c r="O1315" s="32">
        <v>-0.45688583333333299</v>
      </c>
      <c r="P1315" s="30"/>
      <c r="Q1315" s="31">
        <v>60.91</v>
      </c>
    </row>
    <row r="1316" spans="1:17" ht="15" customHeight="1" x14ac:dyDescent="0.2">
      <c r="A1316" s="17" t="s">
        <v>292</v>
      </c>
      <c r="B1316" s="18" t="s">
        <v>148</v>
      </c>
      <c r="C1316" s="18" t="s">
        <v>267</v>
      </c>
      <c r="D1316" s="20">
        <v>136</v>
      </c>
      <c r="E1316" s="17" t="s">
        <v>586</v>
      </c>
      <c r="F1316" s="19" t="s">
        <v>576</v>
      </c>
      <c r="G1316" s="19" t="s">
        <v>576</v>
      </c>
      <c r="H1316" s="19" t="s">
        <v>587</v>
      </c>
      <c r="I1316" s="21"/>
      <c r="J1316" s="21"/>
      <c r="K1316" s="22">
        <v>13008.75</v>
      </c>
      <c r="L1316" s="22">
        <v>11000</v>
      </c>
      <c r="M1316" s="22">
        <v>11000</v>
      </c>
      <c r="N1316" s="23">
        <v>0.18261363636363601</v>
      </c>
      <c r="O1316" s="23">
        <v>0.18261363636363601</v>
      </c>
      <c r="P1316" s="21"/>
      <c r="Q1316" s="22">
        <v>95.652573529411796</v>
      </c>
    </row>
    <row r="1317" spans="1:17" ht="15" customHeight="1" x14ac:dyDescent="0.2">
      <c r="A1317" s="26" t="s">
        <v>295</v>
      </c>
      <c r="B1317" s="27" t="s">
        <v>148</v>
      </c>
      <c r="C1317" s="27" t="s">
        <v>267</v>
      </c>
      <c r="D1317" s="29">
        <v>68</v>
      </c>
      <c r="E1317" s="26" t="s">
        <v>586</v>
      </c>
      <c r="F1317" s="28" t="s">
        <v>576</v>
      </c>
      <c r="G1317" s="28" t="s">
        <v>576</v>
      </c>
      <c r="H1317" s="28" t="s">
        <v>587</v>
      </c>
      <c r="I1317" s="30"/>
      <c r="J1317" s="30"/>
      <c r="K1317" s="31">
        <v>2909.83</v>
      </c>
      <c r="L1317" s="31">
        <v>7000</v>
      </c>
      <c r="M1317" s="31">
        <v>7000</v>
      </c>
      <c r="N1317" s="32">
        <v>-0.58431</v>
      </c>
      <c r="O1317" s="32">
        <v>-0.58431</v>
      </c>
      <c r="P1317" s="30"/>
      <c r="Q1317" s="31">
        <v>42.7916176470588</v>
      </c>
    </row>
    <row r="1318" spans="1:17" ht="15" customHeight="1" x14ac:dyDescent="0.2">
      <c r="A1318" s="17" t="s">
        <v>298</v>
      </c>
      <c r="B1318" s="18" t="s">
        <v>148</v>
      </c>
      <c r="C1318" s="18" t="s">
        <v>267</v>
      </c>
      <c r="D1318" s="20">
        <v>98</v>
      </c>
      <c r="E1318" s="17" t="s">
        <v>586</v>
      </c>
      <c r="F1318" s="19" t="s">
        <v>576</v>
      </c>
      <c r="G1318" s="19" t="s">
        <v>576</v>
      </c>
      <c r="H1318" s="19" t="s">
        <v>587</v>
      </c>
      <c r="I1318" s="21"/>
      <c r="J1318" s="21"/>
      <c r="K1318" s="22">
        <v>6301</v>
      </c>
      <c r="L1318" s="22">
        <v>7000</v>
      </c>
      <c r="M1318" s="22">
        <v>7000</v>
      </c>
      <c r="N1318" s="23">
        <v>-9.9857142857142894E-2</v>
      </c>
      <c r="O1318" s="23">
        <v>-9.9857142857142894E-2</v>
      </c>
      <c r="P1318" s="21"/>
      <c r="Q1318" s="22">
        <v>64.2959183673469</v>
      </c>
    </row>
    <row r="1319" spans="1:17" ht="15" customHeight="1" x14ac:dyDescent="0.2">
      <c r="A1319" s="26" t="s">
        <v>300</v>
      </c>
      <c r="B1319" s="27" t="s">
        <v>148</v>
      </c>
      <c r="C1319" s="27" t="s">
        <v>267</v>
      </c>
      <c r="D1319" s="29">
        <v>321</v>
      </c>
      <c r="E1319" s="26" t="s">
        <v>586</v>
      </c>
      <c r="F1319" s="28" t="s">
        <v>576</v>
      </c>
      <c r="G1319" s="28" t="s">
        <v>576</v>
      </c>
      <c r="H1319" s="28" t="s">
        <v>587</v>
      </c>
      <c r="I1319" s="30"/>
      <c r="J1319" s="30"/>
      <c r="K1319" s="31">
        <v>20674.89</v>
      </c>
      <c r="L1319" s="31">
        <v>12000</v>
      </c>
      <c r="M1319" s="31">
        <v>12000</v>
      </c>
      <c r="N1319" s="32">
        <v>0.72290750000000004</v>
      </c>
      <c r="O1319" s="32">
        <v>0.72290750000000004</v>
      </c>
      <c r="P1319" s="30"/>
      <c r="Q1319" s="31">
        <v>64.407757009345801</v>
      </c>
    </row>
    <row r="1320" spans="1:17" ht="15" customHeight="1" x14ac:dyDescent="0.2">
      <c r="A1320" s="17" t="s">
        <v>304</v>
      </c>
      <c r="B1320" s="18" t="s">
        <v>148</v>
      </c>
      <c r="C1320" s="18" t="s">
        <v>267</v>
      </c>
      <c r="D1320" s="20">
        <v>77</v>
      </c>
      <c r="E1320" s="17" t="s">
        <v>586</v>
      </c>
      <c r="F1320" s="19" t="s">
        <v>576</v>
      </c>
      <c r="G1320" s="19" t="s">
        <v>576</v>
      </c>
      <c r="H1320" s="19" t="s">
        <v>587</v>
      </c>
      <c r="I1320" s="21"/>
      <c r="J1320" s="21"/>
      <c r="K1320" s="22">
        <v>9064.4</v>
      </c>
      <c r="L1320" s="22">
        <v>7000</v>
      </c>
      <c r="M1320" s="22">
        <v>7000</v>
      </c>
      <c r="N1320" s="23">
        <v>0.29491428571428602</v>
      </c>
      <c r="O1320" s="23">
        <v>0.29491428571428602</v>
      </c>
      <c r="P1320" s="21"/>
      <c r="Q1320" s="22">
        <v>117.719480519481</v>
      </c>
    </row>
    <row r="1321" spans="1:17" ht="15" customHeight="1" x14ac:dyDescent="0.2">
      <c r="A1321" s="26" t="s">
        <v>306</v>
      </c>
      <c r="B1321" s="27" t="s">
        <v>148</v>
      </c>
      <c r="C1321" s="27" t="s">
        <v>267</v>
      </c>
      <c r="D1321" s="29">
        <v>365</v>
      </c>
      <c r="E1321" s="26" t="s">
        <v>586</v>
      </c>
      <c r="F1321" s="28" t="s">
        <v>576</v>
      </c>
      <c r="G1321" s="28" t="s">
        <v>576</v>
      </c>
      <c r="H1321" s="28" t="s">
        <v>587</v>
      </c>
      <c r="I1321" s="30"/>
      <c r="J1321" s="30"/>
      <c r="K1321" s="31">
        <v>226</v>
      </c>
      <c r="L1321" s="31"/>
      <c r="M1321" s="31"/>
      <c r="N1321" s="32"/>
      <c r="O1321" s="32"/>
      <c r="P1321" s="30"/>
      <c r="Q1321" s="31">
        <v>0.61917808219178105</v>
      </c>
    </row>
    <row r="1322" spans="1:17" ht="15" customHeight="1" x14ac:dyDescent="0.2">
      <c r="A1322" s="17" t="s">
        <v>309</v>
      </c>
      <c r="B1322" s="18" t="s">
        <v>148</v>
      </c>
      <c r="C1322" s="18" t="s">
        <v>267</v>
      </c>
      <c r="D1322" s="20">
        <v>270</v>
      </c>
      <c r="E1322" s="17" t="s">
        <v>586</v>
      </c>
      <c r="F1322" s="19" t="s">
        <v>576</v>
      </c>
      <c r="G1322" s="19" t="s">
        <v>576</v>
      </c>
      <c r="H1322" s="19" t="s">
        <v>587</v>
      </c>
      <c r="I1322" s="21"/>
      <c r="J1322" s="21"/>
      <c r="K1322" s="22">
        <v>30712.97</v>
      </c>
      <c r="L1322" s="22">
        <v>30000</v>
      </c>
      <c r="M1322" s="22">
        <v>30000</v>
      </c>
      <c r="N1322" s="23">
        <v>2.3765666666666699E-2</v>
      </c>
      <c r="O1322" s="23">
        <v>2.3765666666666699E-2</v>
      </c>
      <c r="P1322" s="21"/>
      <c r="Q1322" s="22">
        <v>113.751740740741</v>
      </c>
    </row>
    <row r="1323" spans="1:17" ht="15" customHeight="1" x14ac:dyDescent="0.2">
      <c r="A1323" s="35" t="s">
        <v>312</v>
      </c>
      <c r="B1323" s="36" t="s">
        <v>313</v>
      </c>
      <c r="C1323" s="36" t="s">
        <v>267</v>
      </c>
      <c r="D1323" s="38">
        <v>170</v>
      </c>
      <c r="E1323" s="35" t="s">
        <v>586</v>
      </c>
      <c r="F1323" s="37" t="s">
        <v>576</v>
      </c>
      <c r="G1323" s="37" t="s">
        <v>576</v>
      </c>
      <c r="H1323" s="37" t="s">
        <v>587</v>
      </c>
      <c r="I1323" s="39"/>
      <c r="J1323" s="39"/>
      <c r="K1323" s="40">
        <v>77812.75</v>
      </c>
      <c r="L1323" s="40">
        <v>83451</v>
      </c>
      <c r="M1323" s="40">
        <v>83451</v>
      </c>
      <c r="N1323" s="41">
        <v>-6.7563600196522494E-2</v>
      </c>
      <c r="O1323" s="41">
        <v>-6.7563600196522494E-2</v>
      </c>
      <c r="P1323" s="39"/>
      <c r="Q1323" s="40">
        <v>457.72205882352898</v>
      </c>
    </row>
    <row r="1324" spans="1:17" ht="15" customHeight="1" x14ac:dyDescent="0.2">
      <c r="A1324" s="35" t="s">
        <v>319</v>
      </c>
      <c r="B1324" s="36" t="s">
        <v>313</v>
      </c>
      <c r="C1324" s="36" t="s">
        <v>267</v>
      </c>
      <c r="D1324" s="38">
        <v>24</v>
      </c>
      <c r="E1324" s="35" t="s">
        <v>586</v>
      </c>
      <c r="F1324" s="37" t="s">
        <v>576</v>
      </c>
      <c r="G1324" s="37" t="s">
        <v>576</v>
      </c>
      <c r="H1324" s="37" t="s">
        <v>587</v>
      </c>
      <c r="I1324" s="39"/>
      <c r="J1324" s="39"/>
      <c r="K1324" s="40">
        <v>10462.27</v>
      </c>
      <c r="L1324" s="40">
        <v>10000</v>
      </c>
      <c r="M1324" s="40">
        <v>10000</v>
      </c>
      <c r="N1324" s="41">
        <v>4.6227000000000101E-2</v>
      </c>
      <c r="O1324" s="41">
        <v>4.6227000000000101E-2</v>
      </c>
      <c r="P1324" s="39"/>
      <c r="Q1324" s="40">
        <v>435.92791666666699</v>
      </c>
    </row>
    <row r="1325" spans="1:17" ht="15" customHeight="1" x14ac:dyDescent="0.2">
      <c r="A1325" s="35" t="s">
        <v>327</v>
      </c>
      <c r="B1325" s="36" t="s">
        <v>313</v>
      </c>
      <c r="C1325" s="36" t="s">
        <v>267</v>
      </c>
      <c r="D1325" s="38">
        <v>244</v>
      </c>
      <c r="E1325" s="35" t="s">
        <v>586</v>
      </c>
      <c r="F1325" s="37" t="s">
        <v>576</v>
      </c>
      <c r="G1325" s="37" t="s">
        <v>576</v>
      </c>
      <c r="H1325" s="37" t="s">
        <v>587</v>
      </c>
      <c r="I1325" s="39"/>
      <c r="J1325" s="39"/>
      <c r="K1325" s="40">
        <v>58582.8</v>
      </c>
      <c r="L1325" s="40">
        <v>15000</v>
      </c>
      <c r="M1325" s="40">
        <v>59817</v>
      </c>
      <c r="N1325" s="41">
        <v>2.9055200000000001</v>
      </c>
      <c r="O1325" s="41">
        <v>-2.0632930437835401E-2</v>
      </c>
      <c r="P1325" s="39"/>
      <c r="Q1325" s="40">
        <v>240.09344262295099</v>
      </c>
    </row>
    <row r="1326" spans="1:17" ht="15" customHeight="1" x14ac:dyDescent="0.2">
      <c r="A1326" s="17" t="s">
        <v>147</v>
      </c>
      <c r="B1326" s="18" t="s">
        <v>148</v>
      </c>
      <c r="C1326" s="18" t="s">
        <v>149</v>
      </c>
      <c r="D1326" s="20">
        <v>234</v>
      </c>
      <c r="E1326" s="17" t="s">
        <v>588</v>
      </c>
      <c r="F1326" s="19" t="s">
        <v>589</v>
      </c>
      <c r="G1326" s="19" t="s">
        <v>589</v>
      </c>
      <c r="H1326" s="19" t="s">
        <v>590</v>
      </c>
      <c r="I1326" s="21"/>
      <c r="J1326" s="21"/>
      <c r="K1326" s="22">
        <v>183056.2</v>
      </c>
      <c r="L1326" s="22">
        <v>170039.6</v>
      </c>
      <c r="M1326" s="22">
        <v>170039.6</v>
      </c>
      <c r="N1326" s="23">
        <v>7.6550403553054702E-2</v>
      </c>
      <c r="O1326" s="23">
        <v>7.6550403553054702E-2</v>
      </c>
      <c r="P1326" s="21"/>
      <c r="Q1326" s="22">
        <v>782.29145299145296</v>
      </c>
    </row>
    <row r="1327" spans="1:17" ht="15" customHeight="1" x14ac:dyDescent="0.2">
      <c r="A1327" s="26" t="s">
        <v>152</v>
      </c>
      <c r="B1327" s="27" t="s">
        <v>148</v>
      </c>
      <c r="C1327" s="27" t="s">
        <v>149</v>
      </c>
      <c r="D1327" s="29">
        <v>258</v>
      </c>
      <c r="E1327" s="26" t="s">
        <v>588</v>
      </c>
      <c r="F1327" s="28" t="s">
        <v>589</v>
      </c>
      <c r="G1327" s="28" t="s">
        <v>589</v>
      </c>
      <c r="H1327" s="28" t="s">
        <v>590</v>
      </c>
      <c r="I1327" s="30"/>
      <c r="J1327" s="30"/>
      <c r="K1327" s="31">
        <v>270898.21999999997</v>
      </c>
      <c r="L1327" s="31">
        <v>228724</v>
      </c>
      <c r="M1327" s="31">
        <v>254698.59</v>
      </c>
      <c r="N1327" s="32">
        <v>0.18438913275388699</v>
      </c>
      <c r="O1327" s="32">
        <v>6.3603139695433603E-2</v>
      </c>
      <c r="P1327" s="30"/>
      <c r="Q1327" s="31">
        <v>1049.99310077519</v>
      </c>
    </row>
    <row r="1328" spans="1:17" ht="15" customHeight="1" x14ac:dyDescent="0.2">
      <c r="A1328" s="17" t="s">
        <v>154</v>
      </c>
      <c r="B1328" s="18" t="s">
        <v>148</v>
      </c>
      <c r="C1328" s="18" t="s">
        <v>149</v>
      </c>
      <c r="D1328" s="20">
        <v>56</v>
      </c>
      <c r="E1328" s="17" t="s">
        <v>588</v>
      </c>
      <c r="F1328" s="19" t="s">
        <v>589</v>
      </c>
      <c r="G1328" s="19" t="s">
        <v>589</v>
      </c>
      <c r="H1328" s="19" t="s">
        <v>590</v>
      </c>
      <c r="I1328" s="21"/>
      <c r="J1328" s="21"/>
      <c r="K1328" s="22">
        <v>34412.050000000003</v>
      </c>
      <c r="L1328" s="22">
        <v>28928</v>
      </c>
      <c r="M1328" s="22">
        <v>32694.58</v>
      </c>
      <c r="N1328" s="23">
        <v>0.18957584347345099</v>
      </c>
      <c r="O1328" s="23">
        <v>5.2530725276177297E-2</v>
      </c>
      <c r="P1328" s="21"/>
      <c r="Q1328" s="22">
        <v>614.50089285714296</v>
      </c>
    </row>
    <row r="1329" spans="1:17" ht="15" customHeight="1" x14ac:dyDescent="0.2">
      <c r="A1329" s="26" t="s">
        <v>157</v>
      </c>
      <c r="B1329" s="27" t="s">
        <v>148</v>
      </c>
      <c r="C1329" s="27" t="s">
        <v>149</v>
      </c>
      <c r="D1329" s="29">
        <v>149</v>
      </c>
      <c r="E1329" s="26" t="s">
        <v>588</v>
      </c>
      <c r="F1329" s="28" t="s">
        <v>589</v>
      </c>
      <c r="G1329" s="28" t="s">
        <v>589</v>
      </c>
      <c r="H1329" s="28" t="s">
        <v>590</v>
      </c>
      <c r="I1329" s="30"/>
      <c r="J1329" s="30"/>
      <c r="K1329" s="31">
        <v>87883.44</v>
      </c>
      <c r="L1329" s="31">
        <v>145220.26999999999</v>
      </c>
      <c r="M1329" s="31">
        <v>137421.67000000001</v>
      </c>
      <c r="N1329" s="32">
        <v>-0.39482663129603102</v>
      </c>
      <c r="O1329" s="32">
        <v>-0.36048339392178802</v>
      </c>
      <c r="P1329" s="30"/>
      <c r="Q1329" s="31">
        <v>589.82174496644302</v>
      </c>
    </row>
    <row r="1330" spans="1:17" ht="15" customHeight="1" x14ac:dyDescent="0.2">
      <c r="A1330" s="17" t="s">
        <v>159</v>
      </c>
      <c r="B1330" s="18" t="s">
        <v>148</v>
      </c>
      <c r="C1330" s="18" t="s">
        <v>149</v>
      </c>
      <c r="D1330" s="20">
        <v>117</v>
      </c>
      <c r="E1330" s="17" t="s">
        <v>588</v>
      </c>
      <c r="F1330" s="19" t="s">
        <v>589</v>
      </c>
      <c r="G1330" s="19" t="s">
        <v>589</v>
      </c>
      <c r="H1330" s="19" t="s">
        <v>590</v>
      </c>
      <c r="I1330" s="21"/>
      <c r="J1330" s="21"/>
      <c r="K1330" s="22">
        <v>61834.11</v>
      </c>
      <c r="L1330" s="22">
        <v>73133.62</v>
      </c>
      <c r="M1330" s="22">
        <v>75712.95</v>
      </c>
      <c r="N1330" s="23">
        <v>-0.15450500057292399</v>
      </c>
      <c r="O1330" s="23">
        <v>-0.18330866780385699</v>
      </c>
      <c r="P1330" s="21"/>
      <c r="Q1330" s="22">
        <v>528.49666666666701</v>
      </c>
    </row>
    <row r="1331" spans="1:17" ht="15" customHeight="1" x14ac:dyDescent="0.2">
      <c r="A1331" s="26" t="s">
        <v>161</v>
      </c>
      <c r="B1331" s="27" t="s">
        <v>148</v>
      </c>
      <c r="C1331" s="27" t="s">
        <v>149</v>
      </c>
      <c r="D1331" s="29">
        <v>162</v>
      </c>
      <c r="E1331" s="26" t="s">
        <v>588</v>
      </c>
      <c r="F1331" s="28" t="s">
        <v>589</v>
      </c>
      <c r="G1331" s="28" t="s">
        <v>589</v>
      </c>
      <c r="H1331" s="28" t="s">
        <v>590</v>
      </c>
      <c r="I1331" s="30"/>
      <c r="J1331" s="30"/>
      <c r="K1331" s="31">
        <v>126300.46</v>
      </c>
      <c r="L1331" s="31">
        <v>125049.58</v>
      </c>
      <c r="M1331" s="31">
        <v>125049.58</v>
      </c>
      <c r="N1331" s="32">
        <v>1.0003072381370701E-2</v>
      </c>
      <c r="O1331" s="32">
        <v>1.0003072381370701E-2</v>
      </c>
      <c r="P1331" s="30"/>
      <c r="Q1331" s="31">
        <v>779.63246913580303</v>
      </c>
    </row>
    <row r="1332" spans="1:17" ht="15" customHeight="1" x14ac:dyDescent="0.2">
      <c r="A1332" s="17" t="s">
        <v>165</v>
      </c>
      <c r="B1332" s="18" t="s">
        <v>148</v>
      </c>
      <c r="C1332" s="18" t="s">
        <v>149</v>
      </c>
      <c r="D1332" s="20">
        <v>197</v>
      </c>
      <c r="E1332" s="17" t="s">
        <v>588</v>
      </c>
      <c r="F1332" s="19" t="s">
        <v>589</v>
      </c>
      <c r="G1332" s="19" t="s">
        <v>589</v>
      </c>
      <c r="H1332" s="19" t="s">
        <v>590</v>
      </c>
      <c r="I1332" s="21"/>
      <c r="J1332" s="21"/>
      <c r="K1332" s="22">
        <v>249836.89</v>
      </c>
      <c r="L1332" s="22">
        <v>183990.41</v>
      </c>
      <c r="M1332" s="22">
        <v>206430.98</v>
      </c>
      <c r="N1332" s="23">
        <v>0.35787995689558</v>
      </c>
      <c r="O1332" s="23">
        <v>0.210268390916906</v>
      </c>
      <c r="P1332" s="21"/>
      <c r="Q1332" s="22">
        <v>1268.2075634517801</v>
      </c>
    </row>
    <row r="1333" spans="1:17" ht="15" customHeight="1" x14ac:dyDescent="0.2">
      <c r="A1333" s="26" t="s">
        <v>167</v>
      </c>
      <c r="B1333" s="27" t="s">
        <v>148</v>
      </c>
      <c r="C1333" s="27" t="s">
        <v>149</v>
      </c>
      <c r="D1333" s="29">
        <v>119</v>
      </c>
      <c r="E1333" s="26" t="s">
        <v>588</v>
      </c>
      <c r="F1333" s="28" t="s">
        <v>589</v>
      </c>
      <c r="G1333" s="28" t="s">
        <v>589</v>
      </c>
      <c r="H1333" s="28" t="s">
        <v>590</v>
      </c>
      <c r="I1333" s="30"/>
      <c r="J1333" s="30"/>
      <c r="K1333" s="31">
        <v>131106.32999999999</v>
      </c>
      <c r="L1333" s="31">
        <v>116366.6</v>
      </c>
      <c r="M1333" s="31">
        <v>118687.33</v>
      </c>
      <c r="N1333" s="32">
        <v>0.126666328654442</v>
      </c>
      <c r="O1333" s="32">
        <v>0.10463627414990299</v>
      </c>
      <c r="P1333" s="30"/>
      <c r="Q1333" s="31">
        <v>1101.7338655462199</v>
      </c>
    </row>
    <row r="1334" spans="1:17" ht="15" customHeight="1" x14ac:dyDescent="0.2">
      <c r="A1334" s="17" t="s">
        <v>169</v>
      </c>
      <c r="B1334" s="18" t="s">
        <v>148</v>
      </c>
      <c r="C1334" s="18" t="s">
        <v>149</v>
      </c>
      <c r="D1334" s="20">
        <v>211</v>
      </c>
      <c r="E1334" s="17" t="s">
        <v>588</v>
      </c>
      <c r="F1334" s="19" t="s">
        <v>589</v>
      </c>
      <c r="G1334" s="19" t="s">
        <v>589</v>
      </c>
      <c r="H1334" s="19" t="s">
        <v>590</v>
      </c>
      <c r="I1334" s="21"/>
      <c r="J1334" s="21"/>
      <c r="K1334" s="22">
        <v>195501.68</v>
      </c>
      <c r="L1334" s="22">
        <v>205165</v>
      </c>
      <c r="M1334" s="22">
        <v>207315.16</v>
      </c>
      <c r="N1334" s="23">
        <v>-4.7100236395096702E-2</v>
      </c>
      <c r="O1334" s="23">
        <v>-5.6983194089617002E-2</v>
      </c>
      <c r="P1334" s="21"/>
      <c r="Q1334" s="22">
        <v>926.54824644549797</v>
      </c>
    </row>
    <row r="1335" spans="1:17" ht="15" customHeight="1" x14ac:dyDescent="0.2">
      <c r="A1335" s="26" t="s">
        <v>171</v>
      </c>
      <c r="B1335" s="27" t="s">
        <v>148</v>
      </c>
      <c r="C1335" s="27" t="s">
        <v>149</v>
      </c>
      <c r="D1335" s="29">
        <v>211</v>
      </c>
      <c r="E1335" s="26" t="s">
        <v>588</v>
      </c>
      <c r="F1335" s="28" t="s">
        <v>589</v>
      </c>
      <c r="G1335" s="28" t="s">
        <v>589</v>
      </c>
      <c r="H1335" s="28" t="s">
        <v>590</v>
      </c>
      <c r="I1335" s="30"/>
      <c r="J1335" s="30"/>
      <c r="K1335" s="31">
        <v>209946.79</v>
      </c>
      <c r="L1335" s="31">
        <v>262831.05</v>
      </c>
      <c r="M1335" s="31">
        <v>247825.38</v>
      </c>
      <c r="N1335" s="32">
        <v>-0.201210092947542</v>
      </c>
      <c r="O1335" s="32">
        <v>-0.152843869340582</v>
      </c>
      <c r="P1335" s="30"/>
      <c r="Q1335" s="31">
        <v>995.00848341232199</v>
      </c>
    </row>
    <row r="1336" spans="1:17" ht="15" customHeight="1" x14ac:dyDescent="0.2">
      <c r="A1336" s="17" t="s">
        <v>173</v>
      </c>
      <c r="B1336" s="18" t="s">
        <v>148</v>
      </c>
      <c r="C1336" s="18" t="s">
        <v>149</v>
      </c>
      <c r="D1336" s="20">
        <v>256</v>
      </c>
      <c r="E1336" s="17" t="s">
        <v>588</v>
      </c>
      <c r="F1336" s="19" t="s">
        <v>589</v>
      </c>
      <c r="G1336" s="19" t="s">
        <v>589</v>
      </c>
      <c r="H1336" s="19" t="s">
        <v>590</v>
      </c>
      <c r="I1336" s="21"/>
      <c r="J1336" s="21"/>
      <c r="K1336" s="22">
        <v>338661.76</v>
      </c>
      <c r="L1336" s="22">
        <v>309922.15999999997</v>
      </c>
      <c r="M1336" s="22">
        <v>265927.39</v>
      </c>
      <c r="N1336" s="23">
        <v>9.2731671720408901E-2</v>
      </c>
      <c r="O1336" s="23">
        <v>0.27351214179178801</v>
      </c>
      <c r="P1336" s="21"/>
      <c r="Q1336" s="22">
        <v>1322.8975</v>
      </c>
    </row>
    <row r="1337" spans="1:17" ht="15" customHeight="1" x14ac:dyDescent="0.2">
      <c r="A1337" s="26" t="s">
        <v>175</v>
      </c>
      <c r="B1337" s="27" t="s">
        <v>148</v>
      </c>
      <c r="C1337" s="27" t="s">
        <v>149</v>
      </c>
      <c r="D1337" s="29">
        <v>136</v>
      </c>
      <c r="E1337" s="26" t="s">
        <v>588</v>
      </c>
      <c r="F1337" s="28" t="s">
        <v>589</v>
      </c>
      <c r="G1337" s="28" t="s">
        <v>589</v>
      </c>
      <c r="H1337" s="28" t="s">
        <v>590</v>
      </c>
      <c r="I1337" s="30"/>
      <c r="J1337" s="30"/>
      <c r="K1337" s="31">
        <v>178143.53</v>
      </c>
      <c r="L1337" s="31">
        <v>167567.60999999999</v>
      </c>
      <c r="M1337" s="31">
        <v>160896.89000000001</v>
      </c>
      <c r="N1337" s="32">
        <v>6.3114345308141695E-2</v>
      </c>
      <c r="O1337" s="32">
        <v>0.107190636189425</v>
      </c>
      <c r="P1337" s="30"/>
      <c r="Q1337" s="31">
        <v>1309.87889705882</v>
      </c>
    </row>
    <row r="1338" spans="1:17" ht="15" customHeight="1" x14ac:dyDescent="0.2">
      <c r="A1338" s="17" t="s">
        <v>177</v>
      </c>
      <c r="B1338" s="18" t="s">
        <v>148</v>
      </c>
      <c r="C1338" s="18" t="s">
        <v>149</v>
      </c>
      <c r="D1338" s="20">
        <v>18</v>
      </c>
      <c r="E1338" s="17" t="s">
        <v>588</v>
      </c>
      <c r="F1338" s="19" t="s">
        <v>589</v>
      </c>
      <c r="G1338" s="19" t="s">
        <v>589</v>
      </c>
      <c r="H1338" s="19" t="s">
        <v>590</v>
      </c>
      <c r="I1338" s="21"/>
      <c r="J1338" s="21"/>
      <c r="K1338" s="22">
        <v>25033.08</v>
      </c>
      <c r="L1338" s="22">
        <v>22607.03</v>
      </c>
      <c r="M1338" s="22">
        <v>23072.71</v>
      </c>
      <c r="N1338" s="23">
        <v>0.107313963842221</v>
      </c>
      <c r="O1338" s="23">
        <v>8.4964878421303902E-2</v>
      </c>
      <c r="P1338" s="21"/>
      <c r="Q1338" s="22">
        <v>1390.7266666666701</v>
      </c>
    </row>
    <row r="1339" spans="1:17" ht="15" customHeight="1" x14ac:dyDescent="0.2">
      <c r="A1339" s="26" t="s">
        <v>179</v>
      </c>
      <c r="B1339" s="27" t="s">
        <v>148</v>
      </c>
      <c r="C1339" s="27" t="s">
        <v>180</v>
      </c>
      <c r="D1339" s="29">
        <v>209</v>
      </c>
      <c r="E1339" s="26" t="s">
        <v>588</v>
      </c>
      <c r="F1339" s="28" t="s">
        <v>589</v>
      </c>
      <c r="G1339" s="28" t="s">
        <v>589</v>
      </c>
      <c r="H1339" s="28" t="s">
        <v>590</v>
      </c>
      <c r="I1339" s="30"/>
      <c r="J1339" s="30"/>
      <c r="K1339" s="31">
        <v>312024.89</v>
      </c>
      <c r="L1339" s="31">
        <v>219294.65</v>
      </c>
      <c r="M1339" s="31">
        <v>266088.03000000003</v>
      </c>
      <c r="N1339" s="32">
        <v>0.42285682756054499</v>
      </c>
      <c r="O1339" s="32">
        <v>0.17263782966862501</v>
      </c>
      <c r="P1339" s="30"/>
      <c r="Q1339" s="31">
        <v>1492.94205741627</v>
      </c>
    </row>
    <row r="1340" spans="1:17" ht="15" customHeight="1" x14ac:dyDescent="0.2">
      <c r="A1340" s="17" t="s">
        <v>185</v>
      </c>
      <c r="B1340" s="18" t="s">
        <v>148</v>
      </c>
      <c r="C1340" s="18" t="s">
        <v>180</v>
      </c>
      <c r="D1340" s="20">
        <v>117</v>
      </c>
      <c r="E1340" s="17" t="s">
        <v>588</v>
      </c>
      <c r="F1340" s="19" t="s">
        <v>589</v>
      </c>
      <c r="G1340" s="19" t="s">
        <v>589</v>
      </c>
      <c r="H1340" s="19" t="s">
        <v>590</v>
      </c>
      <c r="I1340" s="21"/>
      <c r="J1340" s="21"/>
      <c r="K1340" s="22">
        <v>167598.54</v>
      </c>
      <c r="L1340" s="22">
        <v>173096.55</v>
      </c>
      <c r="M1340" s="22">
        <v>180294</v>
      </c>
      <c r="N1340" s="23">
        <v>-3.1762678112301997E-2</v>
      </c>
      <c r="O1340" s="23">
        <v>-7.0415321641319098E-2</v>
      </c>
      <c r="P1340" s="21"/>
      <c r="Q1340" s="22">
        <v>1432.4661538461501</v>
      </c>
    </row>
    <row r="1341" spans="1:17" ht="15" customHeight="1" x14ac:dyDescent="0.2">
      <c r="A1341" s="26" t="s">
        <v>190</v>
      </c>
      <c r="B1341" s="27" t="s">
        <v>148</v>
      </c>
      <c r="C1341" s="27" t="s">
        <v>180</v>
      </c>
      <c r="D1341" s="29">
        <v>75</v>
      </c>
      <c r="E1341" s="26" t="s">
        <v>588</v>
      </c>
      <c r="F1341" s="28" t="s">
        <v>589</v>
      </c>
      <c r="G1341" s="28" t="s">
        <v>589</v>
      </c>
      <c r="H1341" s="28" t="s">
        <v>590</v>
      </c>
      <c r="I1341" s="30"/>
      <c r="J1341" s="30"/>
      <c r="K1341" s="31">
        <v>127300.38</v>
      </c>
      <c r="L1341" s="31">
        <v>116594.16</v>
      </c>
      <c r="M1341" s="31">
        <v>119607.14</v>
      </c>
      <c r="N1341" s="32">
        <v>9.1824667719206499E-2</v>
      </c>
      <c r="O1341" s="32">
        <v>6.4320909270132301E-2</v>
      </c>
      <c r="P1341" s="30"/>
      <c r="Q1341" s="31">
        <v>1697.3384000000001</v>
      </c>
    </row>
    <row r="1342" spans="1:17" ht="15" customHeight="1" x14ac:dyDescent="0.2">
      <c r="A1342" s="17" t="s">
        <v>195</v>
      </c>
      <c r="B1342" s="18" t="s">
        <v>148</v>
      </c>
      <c r="C1342" s="18" t="s">
        <v>180</v>
      </c>
      <c r="D1342" s="20">
        <v>49</v>
      </c>
      <c r="E1342" s="17" t="s">
        <v>588</v>
      </c>
      <c r="F1342" s="19" t="s">
        <v>589</v>
      </c>
      <c r="G1342" s="19" t="s">
        <v>589</v>
      </c>
      <c r="H1342" s="19" t="s">
        <v>590</v>
      </c>
      <c r="I1342" s="21"/>
      <c r="J1342" s="21"/>
      <c r="K1342" s="22">
        <v>93383.48</v>
      </c>
      <c r="L1342" s="22">
        <v>83136.63</v>
      </c>
      <c r="M1342" s="22">
        <v>83200.08</v>
      </c>
      <c r="N1342" s="23">
        <v>0.123253131622006</v>
      </c>
      <c r="O1342" s="23">
        <v>0.122396516926426</v>
      </c>
      <c r="P1342" s="21"/>
      <c r="Q1342" s="22">
        <v>1905.78530612245</v>
      </c>
    </row>
    <row r="1343" spans="1:17" ht="15" customHeight="1" x14ac:dyDescent="0.2">
      <c r="A1343" s="26" t="s">
        <v>201</v>
      </c>
      <c r="B1343" s="27" t="s">
        <v>148</v>
      </c>
      <c r="C1343" s="27" t="s">
        <v>180</v>
      </c>
      <c r="D1343" s="29">
        <v>170</v>
      </c>
      <c r="E1343" s="26" t="s">
        <v>588</v>
      </c>
      <c r="F1343" s="28" t="s">
        <v>589</v>
      </c>
      <c r="G1343" s="28" t="s">
        <v>589</v>
      </c>
      <c r="H1343" s="28" t="s">
        <v>590</v>
      </c>
      <c r="I1343" s="30"/>
      <c r="J1343" s="30"/>
      <c r="K1343" s="31">
        <v>188248.16</v>
      </c>
      <c r="L1343" s="31">
        <v>208385</v>
      </c>
      <c r="M1343" s="31">
        <v>209087.09</v>
      </c>
      <c r="N1343" s="32">
        <v>-9.6632867048971796E-2</v>
      </c>
      <c r="O1343" s="32">
        <v>-9.96662682521431E-2</v>
      </c>
      <c r="P1343" s="30"/>
      <c r="Q1343" s="31">
        <v>1107.3421176470599</v>
      </c>
    </row>
    <row r="1344" spans="1:17" ht="15" customHeight="1" x14ac:dyDescent="0.2">
      <c r="A1344" s="17" t="s">
        <v>205</v>
      </c>
      <c r="B1344" s="18" t="s">
        <v>148</v>
      </c>
      <c r="C1344" s="18" t="s">
        <v>180</v>
      </c>
      <c r="D1344" s="20">
        <v>296</v>
      </c>
      <c r="E1344" s="17" t="s">
        <v>588</v>
      </c>
      <c r="F1344" s="19" t="s">
        <v>589</v>
      </c>
      <c r="G1344" s="19" t="s">
        <v>589</v>
      </c>
      <c r="H1344" s="19" t="s">
        <v>590</v>
      </c>
      <c r="I1344" s="21"/>
      <c r="J1344" s="21"/>
      <c r="K1344" s="22">
        <v>252329.63</v>
      </c>
      <c r="L1344" s="22">
        <v>352418.16</v>
      </c>
      <c r="M1344" s="22">
        <v>306897.99</v>
      </c>
      <c r="N1344" s="23">
        <v>-0.28400502970675501</v>
      </c>
      <c r="O1344" s="23">
        <v>-0.177806182438666</v>
      </c>
      <c r="P1344" s="21"/>
      <c r="Q1344" s="22">
        <v>852.464966216216</v>
      </c>
    </row>
    <row r="1345" spans="1:17" ht="15" customHeight="1" x14ac:dyDescent="0.2">
      <c r="A1345" s="26" t="s">
        <v>210</v>
      </c>
      <c r="B1345" s="27" t="s">
        <v>148</v>
      </c>
      <c r="C1345" s="27" t="s">
        <v>180</v>
      </c>
      <c r="D1345" s="29">
        <v>83</v>
      </c>
      <c r="E1345" s="26" t="s">
        <v>588</v>
      </c>
      <c r="F1345" s="28" t="s">
        <v>589</v>
      </c>
      <c r="G1345" s="28" t="s">
        <v>589</v>
      </c>
      <c r="H1345" s="28" t="s">
        <v>590</v>
      </c>
      <c r="I1345" s="30"/>
      <c r="J1345" s="30"/>
      <c r="K1345" s="31">
        <v>83396.479999999996</v>
      </c>
      <c r="L1345" s="31">
        <v>117128.35</v>
      </c>
      <c r="M1345" s="31">
        <v>118491.17</v>
      </c>
      <c r="N1345" s="32">
        <v>-0.287990652988794</v>
      </c>
      <c r="O1345" s="32">
        <v>-0.29617979128740202</v>
      </c>
      <c r="P1345" s="30"/>
      <c r="Q1345" s="31">
        <v>1004.77686746988</v>
      </c>
    </row>
    <row r="1346" spans="1:17" ht="15" customHeight="1" x14ac:dyDescent="0.2">
      <c r="A1346" s="17" t="s">
        <v>214</v>
      </c>
      <c r="B1346" s="18" t="s">
        <v>148</v>
      </c>
      <c r="C1346" s="18" t="s">
        <v>180</v>
      </c>
      <c r="D1346" s="20">
        <v>144</v>
      </c>
      <c r="E1346" s="17" t="s">
        <v>588</v>
      </c>
      <c r="F1346" s="19" t="s">
        <v>589</v>
      </c>
      <c r="G1346" s="19" t="s">
        <v>589</v>
      </c>
      <c r="H1346" s="19" t="s">
        <v>590</v>
      </c>
      <c r="I1346" s="21"/>
      <c r="J1346" s="21"/>
      <c r="K1346" s="22">
        <v>223564.72</v>
      </c>
      <c r="L1346" s="22">
        <v>245563.45</v>
      </c>
      <c r="M1346" s="22">
        <v>260718.15</v>
      </c>
      <c r="N1346" s="23">
        <v>-8.9584708147731298E-2</v>
      </c>
      <c r="O1346" s="23">
        <v>-0.142504194663854</v>
      </c>
      <c r="P1346" s="21"/>
      <c r="Q1346" s="22">
        <v>1552.53277777778</v>
      </c>
    </row>
    <row r="1347" spans="1:17" ht="15" customHeight="1" x14ac:dyDescent="0.2">
      <c r="A1347" s="26" t="s">
        <v>219</v>
      </c>
      <c r="B1347" s="27" t="s">
        <v>148</v>
      </c>
      <c r="C1347" s="27" t="s">
        <v>180</v>
      </c>
      <c r="D1347" s="29">
        <v>398</v>
      </c>
      <c r="E1347" s="26" t="s">
        <v>588</v>
      </c>
      <c r="F1347" s="28" t="s">
        <v>589</v>
      </c>
      <c r="G1347" s="28" t="s">
        <v>589</v>
      </c>
      <c r="H1347" s="28" t="s">
        <v>590</v>
      </c>
      <c r="I1347" s="30"/>
      <c r="J1347" s="30"/>
      <c r="K1347" s="31"/>
      <c r="L1347" s="31"/>
      <c r="M1347" s="31"/>
      <c r="N1347" s="32"/>
      <c r="O1347" s="32"/>
      <c r="P1347" s="30"/>
      <c r="Q1347" s="31"/>
    </row>
    <row r="1348" spans="1:17" ht="15" customHeight="1" x14ac:dyDescent="0.2">
      <c r="A1348" s="17" t="s">
        <v>224</v>
      </c>
      <c r="B1348" s="18" t="s">
        <v>148</v>
      </c>
      <c r="C1348" s="18" t="s">
        <v>180</v>
      </c>
      <c r="D1348" s="20">
        <v>71</v>
      </c>
      <c r="E1348" s="17" t="s">
        <v>588</v>
      </c>
      <c r="F1348" s="19" t="s">
        <v>589</v>
      </c>
      <c r="G1348" s="19" t="s">
        <v>589</v>
      </c>
      <c r="H1348" s="19" t="s">
        <v>590</v>
      </c>
      <c r="I1348" s="21"/>
      <c r="J1348" s="21"/>
      <c r="K1348" s="22">
        <v>59716.99</v>
      </c>
      <c r="L1348" s="22">
        <v>78153.570000000007</v>
      </c>
      <c r="M1348" s="22">
        <v>80584.7</v>
      </c>
      <c r="N1348" s="23">
        <v>-0.23590195559844601</v>
      </c>
      <c r="O1348" s="23">
        <v>-0.258953746803053</v>
      </c>
      <c r="P1348" s="21"/>
      <c r="Q1348" s="22">
        <v>841.08436619718304</v>
      </c>
    </row>
    <row r="1349" spans="1:17" ht="15" customHeight="1" x14ac:dyDescent="0.2">
      <c r="A1349" s="26" t="s">
        <v>230</v>
      </c>
      <c r="B1349" s="27" t="s">
        <v>148</v>
      </c>
      <c r="C1349" s="27" t="s">
        <v>180</v>
      </c>
      <c r="D1349" s="29">
        <v>139</v>
      </c>
      <c r="E1349" s="26" t="s">
        <v>588</v>
      </c>
      <c r="F1349" s="28" t="s">
        <v>589</v>
      </c>
      <c r="G1349" s="28" t="s">
        <v>589</v>
      </c>
      <c r="H1349" s="28" t="s">
        <v>590</v>
      </c>
      <c r="I1349" s="30"/>
      <c r="J1349" s="30"/>
      <c r="K1349" s="31">
        <v>209595.74</v>
      </c>
      <c r="L1349" s="31">
        <v>234571.61</v>
      </c>
      <c r="M1349" s="31">
        <v>218627.35</v>
      </c>
      <c r="N1349" s="32">
        <v>-0.106474393896175</v>
      </c>
      <c r="O1349" s="32">
        <v>-4.1310522219658301E-2</v>
      </c>
      <c r="P1349" s="30"/>
      <c r="Q1349" s="31">
        <v>1507.88302158273</v>
      </c>
    </row>
    <row r="1350" spans="1:17" ht="15" customHeight="1" x14ac:dyDescent="0.2">
      <c r="A1350" s="17" t="s">
        <v>236</v>
      </c>
      <c r="B1350" s="18" t="s">
        <v>148</v>
      </c>
      <c r="C1350" s="18" t="s">
        <v>180</v>
      </c>
      <c r="D1350" s="20">
        <v>128</v>
      </c>
      <c r="E1350" s="17" t="s">
        <v>588</v>
      </c>
      <c r="F1350" s="19" t="s">
        <v>589</v>
      </c>
      <c r="G1350" s="19" t="s">
        <v>589</v>
      </c>
      <c r="H1350" s="19" t="s">
        <v>590</v>
      </c>
      <c r="I1350" s="21"/>
      <c r="J1350" s="21"/>
      <c r="K1350" s="22">
        <v>216478.44</v>
      </c>
      <c r="L1350" s="22">
        <v>172076.45</v>
      </c>
      <c r="M1350" s="22">
        <v>183177.15</v>
      </c>
      <c r="N1350" s="23">
        <v>0.25803641346622402</v>
      </c>
      <c r="O1350" s="23">
        <v>0.18179827560369799</v>
      </c>
      <c r="P1350" s="21"/>
      <c r="Q1350" s="22">
        <v>1691.2378125</v>
      </c>
    </row>
    <row r="1351" spans="1:17" ht="15" customHeight="1" x14ac:dyDescent="0.2">
      <c r="A1351" s="26" t="s">
        <v>239</v>
      </c>
      <c r="B1351" s="27" t="s">
        <v>148</v>
      </c>
      <c r="C1351" s="27" t="s">
        <v>180</v>
      </c>
      <c r="D1351" s="29">
        <v>92</v>
      </c>
      <c r="E1351" s="26" t="s">
        <v>588</v>
      </c>
      <c r="F1351" s="28" t="s">
        <v>589</v>
      </c>
      <c r="G1351" s="28" t="s">
        <v>589</v>
      </c>
      <c r="H1351" s="28" t="s">
        <v>590</v>
      </c>
      <c r="I1351" s="30"/>
      <c r="J1351" s="30"/>
      <c r="K1351" s="31">
        <v>59186.15</v>
      </c>
      <c r="L1351" s="31">
        <v>81302.42</v>
      </c>
      <c r="M1351" s="31">
        <v>81925.22</v>
      </c>
      <c r="N1351" s="32">
        <v>-0.27202474415890698</v>
      </c>
      <c r="O1351" s="32">
        <v>-0.27755885184073997</v>
      </c>
      <c r="P1351" s="30"/>
      <c r="Q1351" s="31">
        <v>643.32771739130396</v>
      </c>
    </row>
    <row r="1352" spans="1:17" ht="15" customHeight="1" x14ac:dyDescent="0.2">
      <c r="A1352" s="17" t="s">
        <v>245</v>
      </c>
      <c r="B1352" s="18" t="s">
        <v>148</v>
      </c>
      <c r="C1352" s="18" t="s">
        <v>180</v>
      </c>
      <c r="D1352" s="20">
        <v>31</v>
      </c>
      <c r="E1352" s="17" t="s">
        <v>588</v>
      </c>
      <c r="F1352" s="19" t="s">
        <v>589</v>
      </c>
      <c r="G1352" s="19" t="s">
        <v>589</v>
      </c>
      <c r="H1352" s="19" t="s">
        <v>590</v>
      </c>
      <c r="I1352" s="21"/>
      <c r="J1352" s="21"/>
      <c r="K1352" s="22">
        <v>49931.78</v>
      </c>
      <c r="L1352" s="22">
        <v>48719.51</v>
      </c>
      <c r="M1352" s="22">
        <v>51014.51</v>
      </c>
      <c r="N1352" s="23">
        <v>2.4882639418992498E-2</v>
      </c>
      <c r="O1352" s="23">
        <v>-2.1223961574854001E-2</v>
      </c>
      <c r="P1352" s="21"/>
      <c r="Q1352" s="22">
        <v>1610.70258064516</v>
      </c>
    </row>
    <row r="1353" spans="1:17" ht="15" customHeight="1" x14ac:dyDescent="0.2">
      <c r="A1353" s="26" t="s">
        <v>249</v>
      </c>
      <c r="B1353" s="27" t="s">
        <v>148</v>
      </c>
      <c r="C1353" s="27" t="s">
        <v>180</v>
      </c>
      <c r="D1353" s="29">
        <v>122</v>
      </c>
      <c r="E1353" s="26" t="s">
        <v>588</v>
      </c>
      <c r="F1353" s="28" t="s">
        <v>589</v>
      </c>
      <c r="G1353" s="28" t="s">
        <v>589</v>
      </c>
      <c r="H1353" s="28" t="s">
        <v>590</v>
      </c>
      <c r="I1353" s="30"/>
      <c r="J1353" s="30"/>
      <c r="K1353" s="31">
        <v>196679.65</v>
      </c>
      <c r="L1353" s="31">
        <v>228804.89</v>
      </c>
      <c r="M1353" s="31">
        <v>240448.43</v>
      </c>
      <c r="N1353" s="32">
        <v>-0.14040451670416701</v>
      </c>
      <c r="O1353" s="32">
        <v>-0.18202980156701401</v>
      </c>
      <c r="P1353" s="30"/>
      <c r="Q1353" s="31">
        <v>1612.1282786885199</v>
      </c>
    </row>
    <row r="1354" spans="1:17" ht="15" customHeight="1" x14ac:dyDescent="0.2">
      <c r="A1354" s="17" t="s">
        <v>254</v>
      </c>
      <c r="B1354" s="18" t="s">
        <v>148</v>
      </c>
      <c r="C1354" s="18" t="s">
        <v>180</v>
      </c>
      <c r="D1354" s="20">
        <v>80</v>
      </c>
      <c r="E1354" s="17" t="s">
        <v>588</v>
      </c>
      <c r="F1354" s="19" t="s">
        <v>589</v>
      </c>
      <c r="G1354" s="19" t="s">
        <v>589</v>
      </c>
      <c r="H1354" s="19" t="s">
        <v>590</v>
      </c>
      <c r="I1354" s="21"/>
      <c r="J1354" s="21"/>
      <c r="K1354" s="22">
        <v>130913.02</v>
      </c>
      <c r="L1354" s="22">
        <v>112245.88</v>
      </c>
      <c r="M1354" s="22">
        <v>118365.88</v>
      </c>
      <c r="N1354" s="23">
        <v>0.166305792248232</v>
      </c>
      <c r="O1354" s="23">
        <v>0.106003013706315</v>
      </c>
      <c r="P1354" s="21"/>
      <c r="Q1354" s="22">
        <v>1636.41275</v>
      </c>
    </row>
    <row r="1355" spans="1:17" ht="15" customHeight="1" x14ac:dyDescent="0.2">
      <c r="A1355" s="26" t="s">
        <v>259</v>
      </c>
      <c r="B1355" s="27" t="s">
        <v>148</v>
      </c>
      <c r="C1355" s="27" t="s">
        <v>180</v>
      </c>
      <c r="D1355" s="29"/>
      <c r="E1355" s="26" t="s">
        <v>588</v>
      </c>
      <c r="F1355" s="28" t="s">
        <v>589</v>
      </c>
      <c r="G1355" s="28" t="s">
        <v>589</v>
      </c>
      <c r="H1355" s="28" t="s">
        <v>590</v>
      </c>
      <c r="I1355" s="30"/>
      <c r="J1355" s="30"/>
      <c r="K1355" s="31">
        <v>3703.52</v>
      </c>
      <c r="L1355" s="31">
        <v>4524.12</v>
      </c>
      <c r="M1355" s="31">
        <v>4524.12</v>
      </c>
      <c r="N1355" s="32">
        <v>-0.18138334084860699</v>
      </c>
      <c r="O1355" s="32">
        <v>-0.18138334084860699</v>
      </c>
      <c r="P1355" s="30"/>
      <c r="Q1355" s="31"/>
    </row>
    <row r="1356" spans="1:17" ht="15" customHeight="1" x14ac:dyDescent="0.2">
      <c r="A1356" s="17" t="s">
        <v>263</v>
      </c>
      <c r="B1356" s="18" t="s">
        <v>148</v>
      </c>
      <c r="C1356" s="18" t="s">
        <v>180</v>
      </c>
      <c r="D1356" s="20">
        <v>55</v>
      </c>
      <c r="E1356" s="17" t="s">
        <v>588</v>
      </c>
      <c r="F1356" s="19" t="s">
        <v>589</v>
      </c>
      <c r="G1356" s="19" t="s">
        <v>589</v>
      </c>
      <c r="H1356" s="19" t="s">
        <v>590</v>
      </c>
      <c r="I1356" s="21"/>
      <c r="J1356" s="21"/>
      <c r="K1356" s="22">
        <v>65061.2</v>
      </c>
      <c r="L1356" s="22">
        <v>70036.27</v>
      </c>
      <c r="M1356" s="22">
        <v>71174.77</v>
      </c>
      <c r="N1356" s="23">
        <v>-7.1035621971301505E-2</v>
      </c>
      <c r="O1356" s="23">
        <v>-8.5895184487424503E-2</v>
      </c>
      <c r="P1356" s="21"/>
      <c r="Q1356" s="22">
        <v>1182.9309090909101</v>
      </c>
    </row>
    <row r="1357" spans="1:17" ht="15" customHeight="1" x14ac:dyDescent="0.2">
      <c r="A1357" s="26" t="s">
        <v>266</v>
      </c>
      <c r="B1357" s="27" t="s">
        <v>148</v>
      </c>
      <c r="C1357" s="27" t="s">
        <v>267</v>
      </c>
      <c r="D1357" s="29">
        <v>108</v>
      </c>
      <c r="E1357" s="26" t="s">
        <v>588</v>
      </c>
      <c r="F1357" s="28" t="s">
        <v>589</v>
      </c>
      <c r="G1357" s="28" t="s">
        <v>589</v>
      </c>
      <c r="H1357" s="28" t="s">
        <v>590</v>
      </c>
      <c r="I1357" s="30"/>
      <c r="J1357" s="30"/>
      <c r="K1357" s="31">
        <v>211657.53</v>
      </c>
      <c r="L1357" s="31">
        <v>195957.35</v>
      </c>
      <c r="M1357" s="31">
        <v>203353.75</v>
      </c>
      <c r="N1357" s="32">
        <v>8.0120393544819798E-2</v>
      </c>
      <c r="O1357" s="32">
        <v>4.08341621435553E-2</v>
      </c>
      <c r="P1357" s="30"/>
      <c r="Q1357" s="31">
        <v>1959.7919444444401</v>
      </c>
    </row>
    <row r="1358" spans="1:17" ht="15" customHeight="1" x14ac:dyDescent="0.2">
      <c r="A1358" s="17" t="s">
        <v>270</v>
      </c>
      <c r="B1358" s="18" t="s">
        <v>148</v>
      </c>
      <c r="C1358" s="18" t="s">
        <v>267</v>
      </c>
      <c r="D1358" s="20">
        <v>75</v>
      </c>
      <c r="E1358" s="17" t="s">
        <v>588</v>
      </c>
      <c r="F1358" s="19" t="s">
        <v>589</v>
      </c>
      <c r="G1358" s="19" t="s">
        <v>589</v>
      </c>
      <c r="H1358" s="19" t="s">
        <v>590</v>
      </c>
      <c r="I1358" s="21"/>
      <c r="J1358" s="21"/>
      <c r="K1358" s="22">
        <v>86190.15</v>
      </c>
      <c r="L1358" s="22">
        <v>94526.7</v>
      </c>
      <c r="M1358" s="22">
        <v>95452.9</v>
      </c>
      <c r="N1358" s="23">
        <v>-8.8192542424521403E-2</v>
      </c>
      <c r="O1358" s="23">
        <v>-9.7040006118200697E-2</v>
      </c>
      <c r="P1358" s="21"/>
      <c r="Q1358" s="22">
        <v>1149.202</v>
      </c>
    </row>
    <row r="1359" spans="1:17" ht="15" customHeight="1" x14ac:dyDescent="0.2">
      <c r="A1359" s="26" t="s">
        <v>272</v>
      </c>
      <c r="B1359" s="27" t="s">
        <v>148</v>
      </c>
      <c r="C1359" s="27" t="s">
        <v>267</v>
      </c>
      <c r="D1359" s="29">
        <v>89</v>
      </c>
      <c r="E1359" s="26" t="s">
        <v>588</v>
      </c>
      <c r="F1359" s="28" t="s">
        <v>589</v>
      </c>
      <c r="G1359" s="28" t="s">
        <v>589</v>
      </c>
      <c r="H1359" s="28" t="s">
        <v>590</v>
      </c>
      <c r="I1359" s="30"/>
      <c r="J1359" s="30"/>
      <c r="K1359" s="31">
        <v>144149.07999999999</v>
      </c>
      <c r="L1359" s="31">
        <v>159145.54</v>
      </c>
      <c r="M1359" s="31">
        <v>163244.14000000001</v>
      </c>
      <c r="N1359" s="32">
        <v>-9.4231104434343696E-2</v>
      </c>
      <c r="O1359" s="32">
        <v>-0.116972407095287</v>
      </c>
      <c r="P1359" s="30"/>
      <c r="Q1359" s="31">
        <v>1619.6525842696601</v>
      </c>
    </row>
    <row r="1360" spans="1:17" ht="15" customHeight="1" x14ac:dyDescent="0.2">
      <c r="A1360" s="17" t="s">
        <v>275</v>
      </c>
      <c r="B1360" s="18" t="s">
        <v>148</v>
      </c>
      <c r="C1360" s="18" t="s">
        <v>267</v>
      </c>
      <c r="D1360" s="20">
        <v>78</v>
      </c>
      <c r="E1360" s="17" t="s">
        <v>588</v>
      </c>
      <c r="F1360" s="19" t="s">
        <v>589</v>
      </c>
      <c r="G1360" s="19" t="s">
        <v>589</v>
      </c>
      <c r="H1360" s="19" t="s">
        <v>590</v>
      </c>
      <c r="I1360" s="21"/>
      <c r="J1360" s="21"/>
      <c r="K1360" s="22">
        <v>97584.65</v>
      </c>
      <c r="L1360" s="22">
        <v>90717</v>
      </c>
      <c r="M1360" s="22">
        <v>91810.5</v>
      </c>
      <c r="N1360" s="23">
        <v>7.5704112790325906E-2</v>
      </c>
      <c r="O1360" s="23">
        <v>6.2892043938329395E-2</v>
      </c>
      <c r="P1360" s="21"/>
      <c r="Q1360" s="22">
        <v>1251.0852564102599</v>
      </c>
    </row>
    <row r="1361" spans="1:17" ht="15" customHeight="1" x14ac:dyDescent="0.2">
      <c r="A1361" s="26" t="s">
        <v>277</v>
      </c>
      <c r="B1361" s="27" t="s">
        <v>148</v>
      </c>
      <c r="C1361" s="27" t="s">
        <v>267</v>
      </c>
      <c r="D1361" s="29">
        <v>158</v>
      </c>
      <c r="E1361" s="26" t="s">
        <v>588</v>
      </c>
      <c r="F1361" s="28" t="s">
        <v>589</v>
      </c>
      <c r="G1361" s="28" t="s">
        <v>589</v>
      </c>
      <c r="H1361" s="28" t="s">
        <v>590</v>
      </c>
      <c r="I1361" s="30"/>
      <c r="J1361" s="30"/>
      <c r="K1361" s="31">
        <v>179641.55</v>
      </c>
      <c r="L1361" s="31">
        <v>242030.68</v>
      </c>
      <c r="M1361" s="31">
        <v>269409.24</v>
      </c>
      <c r="N1361" s="32">
        <v>-0.25777364258118002</v>
      </c>
      <c r="O1361" s="32">
        <v>-0.33320197184031303</v>
      </c>
      <c r="P1361" s="30"/>
      <c r="Q1361" s="31">
        <v>1136.9718354430399</v>
      </c>
    </row>
    <row r="1362" spans="1:17" ht="15" customHeight="1" x14ac:dyDescent="0.2">
      <c r="A1362" s="17" t="s">
        <v>280</v>
      </c>
      <c r="B1362" s="18" t="s">
        <v>148</v>
      </c>
      <c r="C1362" s="18" t="s">
        <v>267</v>
      </c>
      <c r="D1362" s="20">
        <v>110</v>
      </c>
      <c r="E1362" s="17" t="s">
        <v>588</v>
      </c>
      <c r="F1362" s="19" t="s">
        <v>589</v>
      </c>
      <c r="G1362" s="19" t="s">
        <v>589</v>
      </c>
      <c r="H1362" s="19" t="s">
        <v>590</v>
      </c>
      <c r="I1362" s="21"/>
      <c r="J1362" s="21"/>
      <c r="K1362" s="22">
        <v>155266.79</v>
      </c>
      <c r="L1362" s="22">
        <v>189319.06</v>
      </c>
      <c r="M1362" s="22">
        <v>194737.66</v>
      </c>
      <c r="N1362" s="23">
        <v>-0.179867098431611</v>
      </c>
      <c r="O1362" s="23">
        <v>-0.20268740006427099</v>
      </c>
      <c r="P1362" s="21"/>
      <c r="Q1362" s="22">
        <v>1411.51627272727</v>
      </c>
    </row>
    <row r="1363" spans="1:17" ht="15" customHeight="1" x14ac:dyDescent="0.2">
      <c r="A1363" s="26" t="s">
        <v>282</v>
      </c>
      <c r="B1363" s="27" t="s">
        <v>148</v>
      </c>
      <c r="C1363" s="27" t="s">
        <v>267</v>
      </c>
      <c r="D1363" s="29">
        <v>70</v>
      </c>
      <c r="E1363" s="26" t="s">
        <v>588</v>
      </c>
      <c r="F1363" s="28" t="s">
        <v>589</v>
      </c>
      <c r="G1363" s="28" t="s">
        <v>589</v>
      </c>
      <c r="H1363" s="28" t="s">
        <v>590</v>
      </c>
      <c r="I1363" s="30"/>
      <c r="J1363" s="30"/>
      <c r="K1363" s="31">
        <v>66831.47</v>
      </c>
      <c r="L1363" s="31">
        <v>57937.8</v>
      </c>
      <c r="M1363" s="31">
        <v>65669.48</v>
      </c>
      <c r="N1363" s="32">
        <v>0.153503757477847</v>
      </c>
      <c r="O1363" s="32">
        <v>1.76945211078267E-2</v>
      </c>
      <c r="P1363" s="30"/>
      <c r="Q1363" s="31">
        <v>954.73528571428596</v>
      </c>
    </row>
    <row r="1364" spans="1:17" ht="15" customHeight="1" x14ac:dyDescent="0.2">
      <c r="A1364" s="17" t="s">
        <v>284</v>
      </c>
      <c r="B1364" s="18" t="s">
        <v>148</v>
      </c>
      <c r="C1364" s="18" t="s">
        <v>267</v>
      </c>
      <c r="D1364" s="20">
        <v>72</v>
      </c>
      <c r="E1364" s="17" t="s">
        <v>588</v>
      </c>
      <c r="F1364" s="19" t="s">
        <v>589</v>
      </c>
      <c r="G1364" s="19" t="s">
        <v>589</v>
      </c>
      <c r="H1364" s="19" t="s">
        <v>590</v>
      </c>
      <c r="I1364" s="21"/>
      <c r="J1364" s="21"/>
      <c r="K1364" s="22">
        <v>52049.65</v>
      </c>
      <c r="L1364" s="22">
        <v>62565.31</v>
      </c>
      <c r="M1364" s="22">
        <v>66233.59</v>
      </c>
      <c r="N1364" s="23">
        <v>-0.16807492842279501</v>
      </c>
      <c r="O1364" s="23">
        <v>-0.21415025216057301</v>
      </c>
      <c r="P1364" s="21"/>
      <c r="Q1364" s="22">
        <v>722.91180555555604</v>
      </c>
    </row>
    <row r="1365" spans="1:17" ht="15" customHeight="1" x14ac:dyDescent="0.2">
      <c r="A1365" s="26" t="s">
        <v>285</v>
      </c>
      <c r="B1365" s="27" t="s">
        <v>148</v>
      </c>
      <c r="C1365" s="27" t="s">
        <v>267</v>
      </c>
      <c r="D1365" s="29">
        <v>296</v>
      </c>
      <c r="E1365" s="26" t="s">
        <v>588</v>
      </c>
      <c r="F1365" s="28" t="s">
        <v>589</v>
      </c>
      <c r="G1365" s="28" t="s">
        <v>589</v>
      </c>
      <c r="H1365" s="28" t="s">
        <v>590</v>
      </c>
      <c r="I1365" s="30"/>
      <c r="J1365" s="30"/>
      <c r="K1365" s="31">
        <v>253391.18</v>
      </c>
      <c r="L1365" s="31">
        <v>370110.42</v>
      </c>
      <c r="M1365" s="31">
        <v>387565.92</v>
      </c>
      <c r="N1365" s="32">
        <v>-0.31536329077144098</v>
      </c>
      <c r="O1365" s="32">
        <v>-0.34619849959975801</v>
      </c>
      <c r="P1365" s="30"/>
      <c r="Q1365" s="31">
        <v>856.05128378378402</v>
      </c>
    </row>
    <row r="1366" spans="1:17" ht="15" customHeight="1" x14ac:dyDescent="0.2">
      <c r="A1366" s="17" t="s">
        <v>286</v>
      </c>
      <c r="B1366" s="18" t="s">
        <v>148</v>
      </c>
      <c r="C1366" s="18" t="s">
        <v>267</v>
      </c>
      <c r="D1366" s="20">
        <v>50</v>
      </c>
      <c r="E1366" s="17" t="s">
        <v>588</v>
      </c>
      <c r="F1366" s="19" t="s">
        <v>589</v>
      </c>
      <c r="G1366" s="19" t="s">
        <v>589</v>
      </c>
      <c r="H1366" s="19" t="s">
        <v>590</v>
      </c>
      <c r="I1366" s="21"/>
      <c r="J1366" s="21"/>
      <c r="K1366" s="22">
        <v>72671.19</v>
      </c>
      <c r="L1366" s="22">
        <v>91167.11</v>
      </c>
      <c r="M1366" s="22">
        <v>94044.86</v>
      </c>
      <c r="N1366" s="23">
        <v>-0.20287930592513001</v>
      </c>
      <c r="O1366" s="23">
        <v>-0.22727100662385999</v>
      </c>
      <c r="P1366" s="21"/>
      <c r="Q1366" s="22">
        <v>1453.4238</v>
      </c>
    </row>
    <row r="1367" spans="1:17" ht="15" customHeight="1" x14ac:dyDescent="0.2">
      <c r="A1367" s="26" t="s">
        <v>287</v>
      </c>
      <c r="B1367" s="27" t="s">
        <v>148</v>
      </c>
      <c r="C1367" s="27" t="s">
        <v>267</v>
      </c>
      <c r="D1367" s="29">
        <v>163</v>
      </c>
      <c r="E1367" s="26" t="s">
        <v>588</v>
      </c>
      <c r="F1367" s="28" t="s">
        <v>589</v>
      </c>
      <c r="G1367" s="28" t="s">
        <v>589</v>
      </c>
      <c r="H1367" s="28" t="s">
        <v>590</v>
      </c>
      <c r="I1367" s="30"/>
      <c r="J1367" s="30"/>
      <c r="K1367" s="31">
        <v>230366.76</v>
      </c>
      <c r="L1367" s="31">
        <v>334376.89</v>
      </c>
      <c r="M1367" s="31">
        <v>298673.44</v>
      </c>
      <c r="N1367" s="32">
        <v>-0.31105657451386698</v>
      </c>
      <c r="O1367" s="32">
        <v>-0.22870021519154801</v>
      </c>
      <c r="P1367" s="30"/>
      <c r="Q1367" s="31">
        <v>1413.29300613497</v>
      </c>
    </row>
    <row r="1368" spans="1:17" ht="15" customHeight="1" x14ac:dyDescent="0.2">
      <c r="A1368" s="17" t="s">
        <v>289</v>
      </c>
      <c r="B1368" s="18" t="s">
        <v>148</v>
      </c>
      <c r="C1368" s="18" t="s">
        <v>267</v>
      </c>
      <c r="D1368" s="20">
        <v>107</v>
      </c>
      <c r="E1368" s="17" t="s">
        <v>588</v>
      </c>
      <c r="F1368" s="19" t="s">
        <v>589</v>
      </c>
      <c r="G1368" s="19" t="s">
        <v>589</v>
      </c>
      <c r="H1368" s="19" t="s">
        <v>590</v>
      </c>
      <c r="I1368" s="21"/>
      <c r="J1368" s="21"/>
      <c r="K1368" s="22">
        <v>196578.34</v>
      </c>
      <c r="L1368" s="22">
        <v>223194.56</v>
      </c>
      <c r="M1368" s="22">
        <v>236116.28</v>
      </c>
      <c r="N1368" s="23">
        <v>-0.119251203971997</v>
      </c>
      <c r="O1368" s="23">
        <v>-0.16745113890495</v>
      </c>
      <c r="P1368" s="21"/>
      <c r="Q1368" s="22">
        <v>1837.1807476635499</v>
      </c>
    </row>
    <row r="1369" spans="1:17" ht="15" customHeight="1" x14ac:dyDescent="0.2">
      <c r="A1369" s="26" t="s">
        <v>292</v>
      </c>
      <c r="B1369" s="27" t="s">
        <v>148</v>
      </c>
      <c r="C1369" s="27" t="s">
        <v>267</v>
      </c>
      <c r="D1369" s="29">
        <v>136</v>
      </c>
      <c r="E1369" s="26" t="s">
        <v>588</v>
      </c>
      <c r="F1369" s="28" t="s">
        <v>589</v>
      </c>
      <c r="G1369" s="28" t="s">
        <v>589</v>
      </c>
      <c r="H1369" s="28" t="s">
        <v>590</v>
      </c>
      <c r="I1369" s="30"/>
      <c r="J1369" s="30"/>
      <c r="K1369" s="31">
        <v>224915.87</v>
      </c>
      <c r="L1369" s="31">
        <v>206809.13</v>
      </c>
      <c r="M1369" s="31">
        <v>210032.29</v>
      </c>
      <c r="N1369" s="32">
        <v>8.7552904458328307E-2</v>
      </c>
      <c r="O1369" s="32">
        <v>7.0863294401065605E-2</v>
      </c>
      <c r="P1369" s="30"/>
      <c r="Q1369" s="31">
        <v>1653.79316176471</v>
      </c>
    </row>
    <row r="1370" spans="1:17" ht="15" customHeight="1" x14ac:dyDescent="0.2">
      <c r="A1370" s="17" t="s">
        <v>295</v>
      </c>
      <c r="B1370" s="18" t="s">
        <v>148</v>
      </c>
      <c r="C1370" s="18" t="s">
        <v>267</v>
      </c>
      <c r="D1370" s="20">
        <v>68</v>
      </c>
      <c r="E1370" s="17" t="s">
        <v>588</v>
      </c>
      <c r="F1370" s="19" t="s">
        <v>589</v>
      </c>
      <c r="G1370" s="19" t="s">
        <v>589</v>
      </c>
      <c r="H1370" s="19" t="s">
        <v>590</v>
      </c>
      <c r="I1370" s="21"/>
      <c r="J1370" s="21"/>
      <c r="K1370" s="22">
        <v>120818.93</v>
      </c>
      <c r="L1370" s="22">
        <v>89552.25</v>
      </c>
      <c r="M1370" s="22">
        <v>91307.25</v>
      </c>
      <c r="N1370" s="23">
        <v>0.34914454969026498</v>
      </c>
      <c r="O1370" s="23">
        <v>0.32321288835223899</v>
      </c>
      <c r="P1370" s="21"/>
      <c r="Q1370" s="22">
        <v>1776.7489705882399</v>
      </c>
    </row>
    <row r="1371" spans="1:17" ht="15" customHeight="1" x14ac:dyDescent="0.2">
      <c r="A1371" s="26" t="s">
        <v>298</v>
      </c>
      <c r="B1371" s="27" t="s">
        <v>148</v>
      </c>
      <c r="C1371" s="27" t="s">
        <v>267</v>
      </c>
      <c r="D1371" s="29">
        <v>98</v>
      </c>
      <c r="E1371" s="26" t="s">
        <v>588</v>
      </c>
      <c r="F1371" s="28" t="s">
        <v>589</v>
      </c>
      <c r="G1371" s="28" t="s">
        <v>589</v>
      </c>
      <c r="H1371" s="28" t="s">
        <v>590</v>
      </c>
      <c r="I1371" s="30"/>
      <c r="J1371" s="30"/>
      <c r="K1371" s="31">
        <v>139298.13</v>
      </c>
      <c r="L1371" s="31">
        <v>108867.78</v>
      </c>
      <c r="M1371" s="31">
        <v>130355.28</v>
      </c>
      <c r="N1371" s="32">
        <v>0.27951658424558701</v>
      </c>
      <c r="O1371" s="32">
        <v>6.8603665306077394E-2</v>
      </c>
      <c r="P1371" s="30"/>
      <c r="Q1371" s="31">
        <v>1421.4094897959201</v>
      </c>
    </row>
    <row r="1372" spans="1:17" ht="15" customHeight="1" x14ac:dyDescent="0.2">
      <c r="A1372" s="17" t="s">
        <v>300</v>
      </c>
      <c r="B1372" s="18" t="s">
        <v>148</v>
      </c>
      <c r="C1372" s="18" t="s">
        <v>267</v>
      </c>
      <c r="D1372" s="20">
        <v>321</v>
      </c>
      <c r="E1372" s="17" t="s">
        <v>588</v>
      </c>
      <c r="F1372" s="19" t="s">
        <v>589</v>
      </c>
      <c r="G1372" s="19" t="s">
        <v>589</v>
      </c>
      <c r="H1372" s="19" t="s">
        <v>590</v>
      </c>
      <c r="I1372" s="21"/>
      <c r="J1372" s="21"/>
      <c r="K1372" s="22">
        <v>510170.4</v>
      </c>
      <c r="L1372" s="22">
        <v>566393.59</v>
      </c>
      <c r="M1372" s="22">
        <v>575498.01</v>
      </c>
      <c r="N1372" s="23">
        <v>-9.9265230031999399E-2</v>
      </c>
      <c r="O1372" s="23">
        <v>-0.113514919017704</v>
      </c>
      <c r="P1372" s="21"/>
      <c r="Q1372" s="22">
        <v>1589.3158878504701</v>
      </c>
    </row>
    <row r="1373" spans="1:17" ht="15" customHeight="1" x14ac:dyDescent="0.2">
      <c r="A1373" s="26" t="s">
        <v>302</v>
      </c>
      <c r="B1373" s="27" t="s">
        <v>148</v>
      </c>
      <c r="C1373" s="27" t="s">
        <v>267</v>
      </c>
      <c r="D1373" s="29">
        <v>111</v>
      </c>
      <c r="E1373" s="26" t="s">
        <v>588</v>
      </c>
      <c r="F1373" s="28" t="s">
        <v>589</v>
      </c>
      <c r="G1373" s="28" t="s">
        <v>589</v>
      </c>
      <c r="H1373" s="28" t="s">
        <v>590</v>
      </c>
      <c r="I1373" s="30"/>
      <c r="J1373" s="30"/>
      <c r="K1373" s="31">
        <v>98191.39</v>
      </c>
      <c r="L1373" s="31">
        <v>113649.3</v>
      </c>
      <c r="M1373" s="31">
        <v>118231.65</v>
      </c>
      <c r="N1373" s="32">
        <v>-0.13601412415210701</v>
      </c>
      <c r="O1373" s="32">
        <v>-0.16949996045898</v>
      </c>
      <c r="P1373" s="30"/>
      <c r="Q1373" s="31">
        <v>884.60711711711701</v>
      </c>
    </row>
    <row r="1374" spans="1:17" ht="15" customHeight="1" x14ac:dyDescent="0.2">
      <c r="A1374" s="17" t="s">
        <v>304</v>
      </c>
      <c r="B1374" s="18" t="s">
        <v>148</v>
      </c>
      <c r="C1374" s="18" t="s">
        <v>267</v>
      </c>
      <c r="D1374" s="20">
        <v>77</v>
      </c>
      <c r="E1374" s="17" t="s">
        <v>588</v>
      </c>
      <c r="F1374" s="19" t="s">
        <v>589</v>
      </c>
      <c r="G1374" s="19" t="s">
        <v>589</v>
      </c>
      <c r="H1374" s="19" t="s">
        <v>590</v>
      </c>
      <c r="I1374" s="21"/>
      <c r="J1374" s="21"/>
      <c r="K1374" s="22">
        <v>117712.31</v>
      </c>
      <c r="L1374" s="22">
        <v>98551.8</v>
      </c>
      <c r="M1374" s="22">
        <v>103591.8</v>
      </c>
      <c r="N1374" s="23">
        <v>0.19442070058588501</v>
      </c>
      <c r="O1374" s="23">
        <v>0.13630914802136801</v>
      </c>
      <c r="P1374" s="21"/>
      <c r="Q1374" s="22">
        <v>1528.7312987012999</v>
      </c>
    </row>
    <row r="1375" spans="1:17" ht="15" customHeight="1" x14ac:dyDescent="0.2">
      <c r="A1375" s="26" t="s">
        <v>306</v>
      </c>
      <c r="B1375" s="27" t="s">
        <v>148</v>
      </c>
      <c r="C1375" s="27" t="s">
        <v>267</v>
      </c>
      <c r="D1375" s="29">
        <v>365</v>
      </c>
      <c r="E1375" s="26" t="s">
        <v>588</v>
      </c>
      <c r="F1375" s="28" t="s">
        <v>589</v>
      </c>
      <c r="G1375" s="28" t="s">
        <v>589</v>
      </c>
      <c r="H1375" s="28" t="s">
        <v>590</v>
      </c>
      <c r="I1375" s="30"/>
      <c r="J1375" s="30"/>
      <c r="K1375" s="31">
        <v>527700.4</v>
      </c>
      <c r="L1375" s="31">
        <v>462438.71</v>
      </c>
      <c r="M1375" s="31">
        <v>483842.07</v>
      </c>
      <c r="N1375" s="32">
        <v>0.14112505849694101</v>
      </c>
      <c r="O1375" s="32">
        <v>9.0645962224822699E-2</v>
      </c>
      <c r="P1375" s="30"/>
      <c r="Q1375" s="31">
        <v>1445.7545205479501</v>
      </c>
    </row>
    <row r="1376" spans="1:17" ht="15" customHeight="1" x14ac:dyDescent="0.2">
      <c r="A1376" s="17" t="s">
        <v>309</v>
      </c>
      <c r="B1376" s="18" t="s">
        <v>148</v>
      </c>
      <c r="C1376" s="18" t="s">
        <v>267</v>
      </c>
      <c r="D1376" s="20">
        <v>270</v>
      </c>
      <c r="E1376" s="17" t="s">
        <v>588</v>
      </c>
      <c r="F1376" s="19" t="s">
        <v>589</v>
      </c>
      <c r="G1376" s="19" t="s">
        <v>589</v>
      </c>
      <c r="H1376" s="19" t="s">
        <v>590</v>
      </c>
      <c r="I1376" s="21"/>
      <c r="J1376" s="21"/>
      <c r="K1376" s="22">
        <v>385611.57</v>
      </c>
      <c r="L1376" s="22">
        <v>499229.44</v>
      </c>
      <c r="M1376" s="22">
        <v>590721.42000000004</v>
      </c>
      <c r="N1376" s="23">
        <v>-0.22758647807308799</v>
      </c>
      <c r="O1376" s="23">
        <v>-0.34721925268936399</v>
      </c>
      <c r="P1376" s="21"/>
      <c r="Q1376" s="22">
        <v>1428.191</v>
      </c>
    </row>
    <row r="1377" spans="1:17" ht="15" customHeight="1" x14ac:dyDescent="0.2">
      <c r="A1377" s="35" t="s">
        <v>312</v>
      </c>
      <c r="B1377" s="36" t="s">
        <v>313</v>
      </c>
      <c r="C1377" s="36" t="s">
        <v>267</v>
      </c>
      <c r="D1377" s="38">
        <v>170</v>
      </c>
      <c r="E1377" s="35" t="s">
        <v>588</v>
      </c>
      <c r="F1377" s="37" t="s">
        <v>589</v>
      </c>
      <c r="G1377" s="37" t="s">
        <v>589</v>
      </c>
      <c r="H1377" s="37" t="s">
        <v>590</v>
      </c>
      <c r="I1377" s="39"/>
      <c r="J1377" s="39"/>
      <c r="K1377" s="40">
        <v>662213.84</v>
      </c>
      <c r="L1377" s="40">
        <v>733502.32</v>
      </c>
      <c r="M1377" s="40">
        <v>749404.3</v>
      </c>
      <c r="N1377" s="41">
        <v>-9.7189167717969802E-2</v>
      </c>
      <c r="O1377" s="41">
        <v>-0.116346356699581</v>
      </c>
      <c r="P1377" s="39"/>
      <c r="Q1377" s="40">
        <v>3895.37552941177</v>
      </c>
    </row>
    <row r="1378" spans="1:17" ht="15" customHeight="1" x14ac:dyDescent="0.2">
      <c r="A1378" s="35" t="s">
        <v>316</v>
      </c>
      <c r="B1378" s="36" t="s">
        <v>313</v>
      </c>
      <c r="C1378" s="36" t="s">
        <v>267</v>
      </c>
      <c r="D1378" s="38">
        <v>234</v>
      </c>
      <c r="E1378" s="35" t="s">
        <v>588</v>
      </c>
      <c r="F1378" s="37" t="s">
        <v>589</v>
      </c>
      <c r="G1378" s="37" t="s">
        <v>589</v>
      </c>
      <c r="H1378" s="37" t="s">
        <v>590</v>
      </c>
      <c r="I1378" s="39"/>
      <c r="J1378" s="39"/>
      <c r="K1378" s="40">
        <v>809708.06</v>
      </c>
      <c r="L1378" s="40">
        <v>613551.26</v>
      </c>
      <c r="M1378" s="40">
        <v>686429.56</v>
      </c>
      <c r="N1378" s="41">
        <v>0.31970727270611399</v>
      </c>
      <c r="O1378" s="41">
        <v>0.179593810033472</v>
      </c>
      <c r="P1378" s="39"/>
      <c r="Q1378" s="40">
        <v>3460.2908547008601</v>
      </c>
    </row>
    <row r="1379" spans="1:17" ht="15" customHeight="1" x14ac:dyDescent="0.2">
      <c r="A1379" s="35" t="s">
        <v>319</v>
      </c>
      <c r="B1379" s="36" t="s">
        <v>313</v>
      </c>
      <c r="C1379" s="36" t="s">
        <v>267</v>
      </c>
      <c r="D1379" s="38">
        <v>24</v>
      </c>
      <c r="E1379" s="35" t="s">
        <v>588</v>
      </c>
      <c r="F1379" s="37" t="s">
        <v>589</v>
      </c>
      <c r="G1379" s="37" t="s">
        <v>589</v>
      </c>
      <c r="H1379" s="37" t="s">
        <v>590</v>
      </c>
      <c r="I1379" s="39"/>
      <c r="J1379" s="39"/>
      <c r="K1379" s="40">
        <v>93452.29</v>
      </c>
      <c r="L1379" s="40">
        <v>76820.47</v>
      </c>
      <c r="M1379" s="40">
        <v>80714.75</v>
      </c>
      <c r="N1379" s="41">
        <v>0.216502450453636</v>
      </c>
      <c r="O1379" s="41">
        <v>0.15780932233575601</v>
      </c>
      <c r="P1379" s="39"/>
      <c r="Q1379" s="40">
        <v>3893.8454166666702</v>
      </c>
    </row>
    <row r="1380" spans="1:17" ht="15" customHeight="1" x14ac:dyDescent="0.2">
      <c r="A1380" s="35" t="s">
        <v>322</v>
      </c>
      <c r="B1380" s="36" t="s">
        <v>313</v>
      </c>
      <c r="C1380" s="36" t="s">
        <v>267</v>
      </c>
      <c r="D1380" s="38">
        <v>219</v>
      </c>
      <c r="E1380" s="35" t="s">
        <v>588</v>
      </c>
      <c r="F1380" s="37" t="s">
        <v>589</v>
      </c>
      <c r="G1380" s="37" t="s">
        <v>589</v>
      </c>
      <c r="H1380" s="37" t="s">
        <v>590</v>
      </c>
      <c r="I1380" s="39"/>
      <c r="J1380" s="39"/>
      <c r="K1380" s="40">
        <v>1665.94</v>
      </c>
      <c r="L1380" s="40"/>
      <c r="M1380" s="40"/>
      <c r="N1380" s="41"/>
      <c r="O1380" s="41"/>
      <c r="P1380" s="39"/>
      <c r="Q1380" s="40">
        <v>7.6070319634703196</v>
      </c>
    </row>
    <row r="1381" spans="1:17" ht="15" customHeight="1" x14ac:dyDescent="0.2">
      <c r="A1381" s="35" t="s">
        <v>325</v>
      </c>
      <c r="B1381" s="36" t="s">
        <v>313</v>
      </c>
      <c r="C1381" s="36" t="s">
        <v>267</v>
      </c>
      <c r="D1381" s="38">
        <v>146</v>
      </c>
      <c r="E1381" s="35" t="s">
        <v>588</v>
      </c>
      <c r="F1381" s="37" t="s">
        <v>589</v>
      </c>
      <c r="G1381" s="37" t="s">
        <v>589</v>
      </c>
      <c r="H1381" s="37" t="s">
        <v>590</v>
      </c>
      <c r="I1381" s="39"/>
      <c r="J1381" s="39"/>
      <c r="K1381" s="40">
        <v>4780.75</v>
      </c>
      <c r="L1381" s="40"/>
      <c r="M1381" s="40"/>
      <c r="N1381" s="41"/>
      <c r="O1381" s="41"/>
      <c r="P1381" s="39"/>
      <c r="Q1381" s="40">
        <v>32.744863013698598</v>
      </c>
    </row>
    <row r="1382" spans="1:17" ht="15" customHeight="1" x14ac:dyDescent="0.2">
      <c r="A1382" s="35" t="s">
        <v>327</v>
      </c>
      <c r="B1382" s="36" t="s">
        <v>313</v>
      </c>
      <c r="C1382" s="36" t="s">
        <v>267</v>
      </c>
      <c r="D1382" s="38">
        <v>244</v>
      </c>
      <c r="E1382" s="35" t="s">
        <v>588</v>
      </c>
      <c r="F1382" s="37" t="s">
        <v>589</v>
      </c>
      <c r="G1382" s="37" t="s">
        <v>589</v>
      </c>
      <c r="H1382" s="37" t="s">
        <v>590</v>
      </c>
      <c r="I1382" s="39"/>
      <c r="J1382" s="39"/>
      <c r="K1382" s="40">
        <v>532803.31999999995</v>
      </c>
      <c r="L1382" s="40">
        <v>487836.01</v>
      </c>
      <c r="M1382" s="40">
        <v>514607.79</v>
      </c>
      <c r="N1382" s="41">
        <v>9.2177102711216305E-2</v>
      </c>
      <c r="O1382" s="41">
        <v>3.5358053946287903E-2</v>
      </c>
      <c r="P1382" s="39"/>
      <c r="Q1382" s="40">
        <v>2183.6201639344299</v>
      </c>
    </row>
    <row r="1383" spans="1:17" ht="15" customHeight="1" x14ac:dyDescent="0.2">
      <c r="A1383" s="35" t="s">
        <v>329</v>
      </c>
      <c r="B1383" s="36" t="s">
        <v>313</v>
      </c>
      <c r="C1383" s="36" t="s">
        <v>330</v>
      </c>
      <c r="D1383" s="38">
        <v>186</v>
      </c>
      <c r="E1383" s="35" t="s">
        <v>588</v>
      </c>
      <c r="F1383" s="37" t="s">
        <v>589</v>
      </c>
      <c r="G1383" s="37" t="s">
        <v>589</v>
      </c>
      <c r="H1383" s="37" t="s">
        <v>590</v>
      </c>
      <c r="I1383" s="39"/>
      <c r="J1383" s="39"/>
      <c r="K1383" s="40">
        <v>166948.96</v>
      </c>
      <c r="L1383" s="40">
        <v>459591.02</v>
      </c>
      <c r="M1383" s="40">
        <v>469357.02</v>
      </c>
      <c r="N1383" s="41">
        <v>-0.63674451254508901</v>
      </c>
      <c r="O1383" s="41">
        <v>-0.64430283795478305</v>
      </c>
      <c r="P1383" s="39"/>
      <c r="Q1383" s="40">
        <v>897.57505376344102</v>
      </c>
    </row>
    <row r="1384" spans="1:17" ht="15" customHeight="1" x14ac:dyDescent="0.2">
      <c r="A1384" s="35" t="s">
        <v>334</v>
      </c>
      <c r="B1384" s="36" t="s">
        <v>313</v>
      </c>
      <c r="C1384" s="36" t="s">
        <v>330</v>
      </c>
      <c r="D1384" s="38">
        <v>20</v>
      </c>
      <c r="E1384" s="35" t="s">
        <v>588</v>
      </c>
      <c r="F1384" s="37" t="s">
        <v>589</v>
      </c>
      <c r="G1384" s="37" t="s">
        <v>589</v>
      </c>
      <c r="H1384" s="37" t="s">
        <v>590</v>
      </c>
      <c r="I1384" s="39"/>
      <c r="J1384" s="39"/>
      <c r="K1384" s="40">
        <v>49964.42</v>
      </c>
      <c r="L1384" s="40">
        <v>57228.41</v>
      </c>
      <c r="M1384" s="40">
        <v>60539.59</v>
      </c>
      <c r="N1384" s="41">
        <v>-0.12692978889331399</v>
      </c>
      <c r="O1384" s="41">
        <v>-0.174681889983067</v>
      </c>
      <c r="P1384" s="39"/>
      <c r="Q1384" s="40">
        <v>2498.221</v>
      </c>
    </row>
    <row r="1385" spans="1:17" ht="15" customHeight="1" x14ac:dyDescent="0.2">
      <c r="A1385" s="35" t="s">
        <v>338</v>
      </c>
      <c r="B1385" s="36" t="s">
        <v>313</v>
      </c>
      <c r="C1385" s="36" t="s">
        <v>267</v>
      </c>
      <c r="D1385" s="38">
        <v>239</v>
      </c>
      <c r="E1385" s="35" t="s">
        <v>588</v>
      </c>
      <c r="F1385" s="37" t="s">
        <v>589</v>
      </c>
      <c r="G1385" s="37" t="s">
        <v>589</v>
      </c>
      <c r="H1385" s="37" t="s">
        <v>590</v>
      </c>
      <c r="I1385" s="39"/>
      <c r="J1385" s="39"/>
      <c r="K1385" s="40">
        <v>3419.25</v>
      </c>
      <c r="L1385" s="40"/>
      <c r="M1385" s="40"/>
      <c r="N1385" s="41"/>
      <c r="O1385" s="41"/>
      <c r="P1385" s="39"/>
      <c r="Q1385" s="40">
        <v>14.306485355648499</v>
      </c>
    </row>
    <row r="1386" spans="1:17" ht="15" customHeight="1" x14ac:dyDescent="0.2">
      <c r="A1386" s="35" t="s">
        <v>341</v>
      </c>
      <c r="B1386" s="36" t="s">
        <v>313</v>
      </c>
      <c r="C1386" s="36" t="s">
        <v>267</v>
      </c>
      <c r="D1386" s="38">
        <v>201</v>
      </c>
      <c r="E1386" s="35" t="s">
        <v>588</v>
      </c>
      <c r="F1386" s="37" t="s">
        <v>589</v>
      </c>
      <c r="G1386" s="37" t="s">
        <v>589</v>
      </c>
      <c r="H1386" s="37" t="s">
        <v>590</v>
      </c>
      <c r="I1386" s="39"/>
      <c r="J1386" s="39"/>
      <c r="K1386" s="40">
        <v>789.15</v>
      </c>
      <c r="L1386" s="40"/>
      <c r="M1386" s="40"/>
      <c r="N1386" s="41"/>
      <c r="O1386" s="41"/>
      <c r="P1386" s="39"/>
      <c r="Q1386" s="40">
        <v>3.9261194029850799</v>
      </c>
    </row>
    <row r="1387" spans="1:17" ht="15" customHeight="1" x14ac:dyDescent="0.2">
      <c r="A1387" s="35" t="s">
        <v>343</v>
      </c>
      <c r="B1387" s="36" t="s">
        <v>313</v>
      </c>
      <c r="C1387" s="36" t="s">
        <v>267</v>
      </c>
      <c r="D1387" s="38">
        <v>166</v>
      </c>
      <c r="E1387" s="35" t="s">
        <v>588</v>
      </c>
      <c r="F1387" s="37" t="s">
        <v>589</v>
      </c>
      <c r="G1387" s="37" t="s">
        <v>589</v>
      </c>
      <c r="H1387" s="37" t="s">
        <v>590</v>
      </c>
      <c r="I1387" s="39"/>
      <c r="J1387" s="39"/>
      <c r="K1387" s="40">
        <v>3106.5</v>
      </c>
      <c r="L1387" s="40">
        <v>364765.86</v>
      </c>
      <c r="M1387" s="40">
        <v>364765.86</v>
      </c>
      <c r="N1387" s="41">
        <v>-0.99148357798616404</v>
      </c>
      <c r="O1387" s="41">
        <v>-0.99148357798616404</v>
      </c>
      <c r="P1387" s="39"/>
      <c r="Q1387" s="40">
        <v>18.713855421686802</v>
      </c>
    </row>
    <row r="1388" spans="1:17" ht="15" customHeight="1" x14ac:dyDescent="0.2">
      <c r="A1388" s="35" t="s">
        <v>346</v>
      </c>
      <c r="B1388" s="36" t="s">
        <v>313</v>
      </c>
      <c r="C1388" s="36" t="s">
        <v>267</v>
      </c>
      <c r="D1388" s="38">
        <v>104</v>
      </c>
      <c r="E1388" s="35" t="s">
        <v>588</v>
      </c>
      <c r="F1388" s="37" t="s">
        <v>589</v>
      </c>
      <c r="G1388" s="37" t="s">
        <v>589</v>
      </c>
      <c r="H1388" s="37" t="s">
        <v>590</v>
      </c>
      <c r="I1388" s="39"/>
      <c r="J1388" s="39"/>
      <c r="K1388" s="40">
        <v>93.93</v>
      </c>
      <c r="L1388" s="40"/>
      <c r="M1388" s="40"/>
      <c r="N1388" s="41"/>
      <c r="O1388" s="41"/>
      <c r="P1388" s="39"/>
      <c r="Q1388" s="40">
        <v>0.90317307692307702</v>
      </c>
    </row>
    <row r="1389" spans="1:17" ht="15" customHeight="1" x14ac:dyDescent="0.2">
      <c r="A1389" s="26" t="s">
        <v>147</v>
      </c>
      <c r="B1389" s="27" t="s">
        <v>148</v>
      </c>
      <c r="C1389" s="27" t="s">
        <v>149</v>
      </c>
      <c r="D1389" s="29">
        <v>234</v>
      </c>
      <c r="E1389" s="26" t="s">
        <v>591</v>
      </c>
      <c r="F1389" s="28" t="s">
        <v>592</v>
      </c>
      <c r="G1389" s="28" t="s">
        <v>592</v>
      </c>
      <c r="H1389" s="28" t="s">
        <v>593</v>
      </c>
      <c r="I1389" s="30"/>
      <c r="J1389" s="30"/>
      <c r="K1389" s="31">
        <v>35009.629999999997</v>
      </c>
      <c r="L1389" s="31">
        <v>31773.74</v>
      </c>
      <c r="M1389" s="31">
        <v>31773.74</v>
      </c>
      <c r="N1389" s="32">
        <v>0.101841646592438</v>
      </c>
      <c r="O1389" s="32">
        <v>0.101841646592438</v>
      </c>
      <c r="P1389" s="30"/>
      <c r="Q1389" s="31">
        <v>149.613803418803</v>
      </c>
    </row>
    <row r="1390" spans="1:17" ht="15" customHeight="1" x14ac:dyDescent="0.2">
      <c r="A1390" s="17" t="s">
        <v>152</v>
      </c>
      <c r="B1390" s="18" t="s">
        <v>148</v>
      </c>
      <c r="C1390" s="18" t="s">
        <v>149</v>
      </c>
      <c r="D1390" s="20">
        <v>258</v>
      </c>
      <c r="E1390" s="17" t="s">
        <v>591</v>
      </c>
      <c r="F1390" s="19" t="s">
        <v>592</v>
      </c>
      <c r="G1390" s="19" t="s">
        <v>592</v>
      </c>
      <c r="H1390" s="19" t="s">
        <v>593</v>
      </c>
      <c r="I1390" s="21"/>
      <c r="J1390" s="21"/>
      <c r="K1390" s="22">
        <v>47960.74</v>
      </c>
      <c r="L1390" s="22">
        <v>43743.47</v>
      </c>
      <c r="M1390" s="22">
        <v>44946.82</v>
      </c>
      <c r="N1390" s="23">
        <v>9.6409132608821294E-2</v>
      </c>
      <c r="O1390" s="23">
        <v>6.7055244397712599E-2</v>
      </c>
      <c r="P1390" s="21"/>
      <c r="Q1390" s="22">
        <v>185.89434108527101</v>
      </c>
    </row>
    <row r="1391" spans="1:17" ht="15" customHeight="1" x14ac:dyDescent="0.2">
      <c r="A1391" s="26" t="s">
        <v>154</v>
      </c>
      <c r="B1391" s="27" t="s">
        <v>148</v>
      </c>
      <c r="C1391" s="27" t="s">
        <v>149</v>
      </c>
      <c r="D1391" s="29">
        <v>56</v>
      </c>
      <c r="E1391" s="26" t="s">
        <v>591</v>
      </c>
      <c r="F1391" s="28" t="s">
        <v>592</v>
      </c>
      <c r="G1391" s="28" t="s">
        <v>592</v>
      </c>
      <c r="H1391" s="28" t="s">
        <v>593</v>
      </c>
      <c r="I1391" s="30"/>
      <c r="J1391" s="30"/>
      <c r="K1391" s="31">
        <v>6479.41</v>
      </c>
      <c r="L1391" s="31">
        <v>5532.48</v>
      </c>
      <c r="M1391" s="31">
        <v>5769.64</v>
      </c>
      <c r="N1391" s="32">
        <v>0.17115832321129101</v>
      </c>
      <c r="O1391" s="32">
        <v>0.12301807391795699</v>
      </c>
      <c r="P1391" s="30"/>
      <c r="Q1391" s="31">
        <v>115.70375</v>
      </c>
    </row>
    <row r="1392" spans="1:17" ht="15" customHeight="1" x14ac:dyDescent="0.2">
      <c r="A1392" s="17" t="s">
        <v>157</v>
      </c>
      <c r="B1392" s="18" t="s">
        <v>148</v>
      </c>
      <c r="C1392" s="18" t="s">
        <v>149</v>
      </c>
      <c r="D1392" s="20">
        <v>149</v>
      </c>
      <c r="E1392" s="17" t="s">
        <v>591</v>
      </c>
      <c r="F1392" s="19" t="s">
        <v>592</v>
      </c>
      <c r="G1392" s="19" t="s">
        <v>592</v>
      </c>
      <c r="H1392" s="19" t="s">
        <v>593</v>
      </c>
      <c r="I1392" s="21"/>
      <c r="J1392" s="21"/>
      <c r="K1392" s="22">
        <v>15530.57</v>
      </c>
      <c r="L1392" s="22">
        <v>26232.23</v>
      </c>
      <c r="M1392" s="22">
        <v>24250.880000000001</v>
      </c>
      <c r="N1392" s="23">
        <v>-0.40795845416116</v>
      </c>
      <c r="O1392" s="23">
        <v>-0.35958736342763697</v>
      </c>
      <c r="P1392" s="21"/>
      <c r="Q1392" s="22">
        <v>104.23201342281899</v>
      </c>
    </row>
    <row r="1393" spans="1:17" ht="15" customHeight="1" x14ac:dyDescent="0.2">
      <c r="A1393" s="26" t="s">
        <v>159</v>
      </c>
      <c r="B1393" s="27" t="s">
        <v>148</v>
      </c>
      <c r="C1393" s="27" t="s">
        <v>149</v>
      </c>
      <c r="D1393" s="29">
        <v>117</v>
      </c>
      <c r="E1393" s="26" t="s">
        <v>591</v>
      </c>
      <c r="F1393" s="28" t="s">
        <v>592</v>
      </c>
      <c r="G1393" s="28" t="s">
        <v>592</v>
      </c>
      <c r="H1393" s="28" t="s">
        <v>593</v>
      </c>
      <c r="I1393" s="30"/>
      <c r="J1393" s="30"/>
      <c r="K1393" s="31">
        <v>10930.61</v>
      </c>
      <c r="L1393" s="31">
        <v>12905.93</v>
      </c>
      <c r="M1393" s="31">
        <v>13338.16</v>
      </c>
      <c r="N1393" s="32">
        <v>-0.15305522345154501</v>
      </c>
      <c r="O1393" s="32">
        <v>-0.180500908671061</v>
      </c>
      <c r="P1393" s="30"/>
      <c r="Q1393" s="31">
        <v>93.424017094017103</v>
      </c>
    </row>
    <row r="1394" spans="1:17" ht="15" customHeight="1" x14ac:dyDescent="0.2">
      <c r="A1394" s="17" t="s">
        <v>161</v>
      </c>
      <c r="B1394" s="18" t="s">
        <v>148</v>
      </c>
      <c r="C1394" s="18" t="s">
        <v>149</v>
      </c>
      <c r="D1394" s="20">
        <v>162</v>
      </c>
      <c r="E1394" s="17" t="s">
        <v>591</v>
      </c>
      <c r="F1394" s="19" t="s">
        <v>592</v>
      </c>
      <c r="G1394" s="19" t="s">
        <v>592</v>
      </c>
      <c r="H1394" s="19" t="s">
        <v>593</v>
      </c>
      <c r="I1394" s="21"/>
      <c r="J1394" s="21"/>
      <c r="K1394" s="22">
        <v>22289.38</v>
      </c>
      <c r="L1394" s="22">
        <v>22067.57</v>
      </c>
      <c r="M1394" s="22">
        <v>22067.57</v>
      </c>
      <c r="N1394" s="23">
        <v>1.0051401219074E-2</v>
      </c>
      <c r="O1394" s="23">
        <v>1.0051401219074E-2</v>
      </c>
      <c r="P1394" s="21"/>
      <c r="Q1394" s="22">
        <v>137.588765432099</v>
      </c>
    </row>
    <row r="1395" spans="1:17" ht="15" customHeight="1" x14ac:dyDescent="0.2">
      <c r="A1395" s="26" t="s">
        <v>165</v>
      </c>
      <c r="B1395" s="27" t="s">
        <v>148</v>
      </c>
      <c r="C1395" s="27" t="s">
        <v>149</v>
      </c>
      <c r="D1395" s="29">
        <v>197</v>
      </c>
      <c r="E1395" s="26" t="s">
        <v>591</v>
      </c>
      <c r="F1395" s="28" t="s">
        <v>592</v>
      </c>
      <c r="G1395" s="28" t="s">
        <v>592</v>
      </c>
      <c r="H1395" s="28" t="s">
        <v>593</v>
      </c>
      <c r="I1395" s="30"/>
      <c r="J1395" s="30"/>
      <c r="K1395" s="31">
        <v>44881.34</v>
      </c>
      <c r="L1395" s="31">
        <v>32468.9</v>
      </c>
      <c r="M1395" s="31">
        <v>36371.93</v>
      </c>
      <c r="N1395" s="32">
        <v>0.38228705006945102</v>
      </c>
      <c r="O1395" s="32">
        <v>0.23395541561858299</v>
      </c>
      <c r="P1395" s="30"/>
      <c r="Q1395" s="31">
        <v>227.82406091370601</v>
      </c>
    </row>
    <row r="1396" spans="1:17" ht="15" customHeight="1" x14ac:dyDescent="0.2">
      <c r="A1396" s="17" t="s">
        <v>167</v>
      </c>
      <c r="B1396" s="18" t="s">
        <v>148</v>
      </c>
      <c r="C1396" s="18" t="s">
        <v>149</v>
      </c>
      <c r="D1396" s="20">
        <v>119</v>
      </c>
      <c r="E1396" s="17" t="s">
        <v>591</v>
      </c>
      <c r="F1396" s="19" t="s">
        <v>592</v>
      </c>
      <c r="G1396" s="19" t="s">
        <v>592</v>
      </c>
      <c r="H1396" s="19" t="s">
        <v>593</v>
      </c>
      <c r="I1396" s="21"/>
      <c r="J1396" s="21"/>
      <c r="K1396" s="22">
        <v>23153.01</v>
      </c>
      <c r="L1396" s="22">
        <v>20702.43</v>
      </c>
      <c r="M1396" s="22">
        <v>21109.42</v>
      </c>
      <c r="N1396" s="23">
        <v>0.11837161144851099</v>
      </c>
      <c r="O1396" s="23">
        <v>9.6809386520330803E-2</v>
      </c>
      <c r="P1396" s="21"/>
      <c r="Q1396" s="22">
        <v>194.56310924369799</v>
      </c>
    </row>
    <row r="1397" spans="1:17" ht="15" customHeight="1" x14ac:dyDescent="0.2">
      <c r="A1397" s="26" t="s">
        <v>169</v>
      </c>
      <c r="B1397" s="27" t="s">
        <v>148</v>
      </c>
      <c r="C1397" s="27" t="s">
        <v>149</v>
      </c>
      <c r="D1397" s="29">
        <v>211</v>
      </c>
      <c r="E1397" s="26" t="s">
        <v>591</v>
      </c>
      <c r="F1397" s="28" t="s">
        <v>592</v>
      </c>
      <c r="G1397" s="28" t="s">
        <v>592</v>
      </c>
      <c r="H1397" s="28" t="s">
        <v>593</v>
      </c>
      <c r="I1397" s="30"/>
      <c r="J1397" s="30"/>
      <c r="K1397" s="31">
        <v>34525.129999999997</v>
      </c>
      <c r="L1397" s="31">
        <v>36206</v>
      </c>
      <c r="M1397" s="31">
        <v>36585.440000000002</v>
      </c>
      <c r="N1397" s="32">
        <v>-4.64251781472685E-2</v>
      </c>
      <c r="O1397" s="32">
        <v>-5.6315025868214401E-2</v>
      </c>
      <c r="P1397" s="30"/>
      <c r="Q1397" s="31">
        <v>163.626208530806</v>
      </c>
    </row>
    <row r="1398" spans="1:17" ht="15" customHeight="1" x14ac:dyDescent="0.2">
      <c r="A1398" s="17" t="s">
        <v>171</v>
      </c>
      <c r="B1398" s="18" t="s">
        <v>148</v>
      </c>
      <c r="C1398" s="18" t="s">
        <v>149</v>
      </c>
      <c r="D1398" s="20">
        <v>211</v>
      </c>
      <c r="E1398" s="17" t="s">
        <v>591</v>
      </c>
      <c r="F1398" s="19" t="s">
        <v>592</v>
      </c>
      <c r="G1398" s="19" t="s">
        <v>592</v>
      </c>
      <c r="H1398" s="19" t="s">
        <v>593</v>
      </c>
      <c r="I1398" s="21"/>
      <c r="J1398" s="21"/>
      <c r="K1398" s="22">
        <v>42749.09</v>
      </c>
      <c r="L1398" s="22">
        <v>46381.95</v>
      </c>
      <c r="M1398" s="22">
        <v>49285.97</v>
      </c>
      <c r="N1398" s="23">
        <v>-7.8324865599656804E-2</v>
      </c>
      <c r="O1398" s="23">
        <v>-0.132631659679215</v>
      </c>
      <c r="P1398" s="21"/>
      <c r="Q1398" s="22">
        <v>202.602322274882</v>
      </c>
    </row>
    <row r="1399" spans="1:17" ht="15" customHeight="1" x14ac:dyDescent="0.2">
      <c r="A1399" s="26" t="s">
        <v>173</v>
      </c>
      <c r="B1399" s="27" t="s">
        <v>148</v>
      </c>
      <c r="C1399" s="27" t="s">
        <v>149</v>
      </c>
      <c r="D1399" s="29">
        <v>256</v>
      </c>
      <c r="E1399" s="26" t="s">
        <v>591</v>
      </c>
      <c r="F1399" s="28" t="s">
        <v>592</v>
      </c>
      <c r="G1399" s="28" t="s">
        <v>592</v>
      </c>
      <c r="H1399" s="28" t="s">
        <v>593</v>
      </c>
      <c r="I1399" s="30"/>
      <c r="J1399" s="30"/>
      <c r="K1399" s="31">
        <v>59950.63</v>
      </c>
      <c r="L1399" s="31">
        <v>54692.15</v>
      </c>
      <c r="M1399" s="31">
        <v>46511.34</v>
      </c>
      <c r="N1399" s="32">
        <v>9.6146887624640798E-2</v>
      </c>
      <c r="O1399" s="32">
        <v>0.28894652357898098</v>
      </c>
      <c r="P1399" s="30"/>
      <c r="Q1399" s="31">
        <v>234.18214843749999</v>
      </c>
    </row>
    <row r="1400" spans="1:17" ht="15" customHeight="1" x14ac:dyDescent="0.2">
      <c r="A1400" s="17" t="s">
        <v>175</v>
      </c>
      <c r="B1400" s="18" t="s">
        <v>148</v>
      </c>
      <c r="C1400" s="18" t="s">
        <v>149</v>
      </c>
      <c r="D1400" s="20">
        <v>136</v>
      </c>
      <c r="E1400" s="17" t="s">
        <v>591</v>
      </c>
      <c r="F1400" s="19" t="s">
        <v>592</v>
      </c>
      <c r="G1400" s="19" t="s">
        <v>592</v>
      </c>
      <c r="H1400" s="19" t="s">
        <v>593</v>
      </c>
      <c r="I1400" s="21"/>
      <c r="J1400" s="21"/>
      <c r="K1400" s="22">
        <v>34939.519999999997</v>
      </c>
      <c r="L1400" s="22">
        <v>28904</v>
      </c>
      <c r="M1400" s="22">
        <v>31252.44</v>
      </c>
      <c r="N1400" s="23">
        <v>0.208812621090506</v>
      </c>
      <c r="O1400" s="23">
        <v>0.117977348328642</v>
      </c>
      <c r="P1400" s="21"/>
      <c r="Q1400" s="22">
        <v>256.90823529411801</v>
      </c>
    </row>
    <row r="1401" spans="1:17" ht="15" customHeight="1" x14ac:dyDescent="0.2">
      <c r="A1401" s="26" t="s">
        <v>177</v>
      </c>
      <c r="B1401" s="27" t="s">
        <v>148</v>
      </c>
      <c r="C1401" s="27" t="s">
        <v>149</v>
      </c>
      <c r="D1401" s="29">
        <v>18</v>
      </c>
      <c r="E1401" s="26" t="s">
        <v>591</v>
      </c>
      <c r="F1401" s="28" t="s">
        <v>592</v>
      </c>
      <c r="G1401" s="28" t="s">
        <v>592</v>
      </c>
      <c r="H1401" s="28" t="s">
        <v>593</v>
      </c>
      <c r="I1401" s="30"/>
      <c r="J1401" s="30"/>
      <c r="K1401" s="31">
        <v>4430.68</v>
      </c>
      <c r="L1401" s="31">
        <v>3989.48</v>
      </c>
      <c r="M1401" s="31">
        <v>4069.81</v>
      </c>
      <c r="N1401" s="32">
        <v>0.110590853945878</v>
      </c>
      <c r="O1401" s="32">
        <v>8.8669987050992605E-2</v>
      </c>
      <c r="P1401" s="30"/>
      <c r="Q1401" s="31">
        <v>246.14888888888899</v>
      </c>
    </row>
    <row r="1402" spans="1:17" ht="15" customHeight="1" x14ac:dyDescent="0.2">
      <c r="A1402" s="17" t="s">
        <v>179</v>
      </c>
      <c r="B1402" s="18" t="s">
        <v>148</v>
      </c>
      <c r="C1402" s="18" t="s">
        <v>180</v>
      </c>
      <c r="D1402" s="20">
        <v>209</v>
      </c>
      <c r="E1402" s="17" t="s">
        <v>591</v>
      </c>
      <c r="F1402" s="19" t="s">
        <v>592</v>
      </c>
      <c r="G1402" s="19" t="s">
        <v>592</v>
      </c>
      <c r="H1402" s="19" t="s">
        <v>593</v>
      </c>
      <c r="I1402" s="21"/>
      <c r="J1402" s="21"/>
      <c r="K1402" s="22">
        <v>54627.81</v>
      </c>
      <c r="L1402" s="22">
        <v>38699.06</v>
      </c>
      <c r="M1402" s="22">
        <v>46110.400000000001</v>
      </c>
      <c r="N1402" s="23">
        <v>0.411605604890661</v>
      </c>
      <c r="O1402" s="23">
        <v>0.18471776432214901</v>
      </c>
      <c r="P1402" s="21"/>
      <c r="Q1402" s="22">
        <v>261.37708133971302</v>
      </c>
    </row>
    <row r="1403" spans="1:17" ht="15" customHeight="1" x14ac:dyDescent="0.2">
      <c r="A1403" s="26" t="s">
        <v>185</v>
      </c>
      <c r="B1403" s="27" t="s">
        <v>148</v>
      </c>
      <c r="C1403" s="27" t="s">
        <v>180</v>
      </c>
      <c r="D1403" s="29">
        <v>117</v>
      </c>
      <c r="E1403" s="26" t="s">
        <v>591</v>
      </c>
      <c r="F1403" s="28" t="s">
        <v>592</v>
      </c>
      <c r="G1403" s="28" t="s">
        <v>592</v>
      </c>
      <c r="H1403" s="28" t="s">
        <v>593</v>
      </c>
      <c r="I1403" s="30"/>
      <c r="J1403" s="30"/>
      <c r="K1403" s="31">
        <v>29136.68</v>
      </c>
      <c r="L1403" s="31">
        <v>30546.45</v>
      </c>
      <c r="M1403" s="31">
        <v>31729</v>
      </c>
      <c r="N1403" s="32">
        <v>-4.61516804735084E-2</v>
      </c>
      <c r="O1403" s="32">
        <v>-8.1701913076365498E-2</v>
      </c>
      <c r="P1403" s="30"/>
      <c r="Q1403" s="31">
        <v>249.03145299145299</v>
      </c>
    </row>
    <row r="1404" spans="1:17" ht="15" customHeight="1" x14ac:dyDescent="0.2">
      <c r="A1404" s="17" t="s">
        <v>190</v>
      </c>
      <c r="B1404" s="18" t="s">
        <v>148</v>
      </c>
      <c r="C1404" s="18" t="s">
        <v>180</v>
      </c>
      <c r="D1404" s="20">
        <v>75</v>
      </c>
      <c r="E1404" s="17" t="s">
        <v>591</v>
      </c>
      <c r="F1404" s="19" t="s">
        <v>592</v>
      </c>
      <c r="G1404" s="19" t="s">
        <v>592</v>
      </c>
      <c r="H1404" s="19" t="s">
        <v>593</v>
      </c>
      <c r="I1404" s="21"/>
      <c r="J1404" s="21"/>
      <c r="K1404" s="22">
        <v>21978.6</v>
      </c>
      <c r="L1404" s="22">
        <v>20575.439999999999</v>
      </c>
      <c r="M1404" s="22">
        <v>21087.65</v>
      </c>
      <c r="N1404" s="23">
        <v>6.8195868472314597E-2</v>
      </c>
      <c r="O1404" s="23">
        <v>4.2249847659649002E-2</v>
      </c>
      <c r="P1404" s="21"/>
      <c r="Q1404" s="22">
        <v>293.048</v>
      </c>
    </row>
    <row r="1405" spans="1:17" ht="15" customHeight="1" x14ac:dyDescent="0.2">
      <c r="A1405" s="26" t="s">
        <v>195</v>
      </c>
      <c r="B1405" s="27" t="s">
        <v>148</v>
      </c>
      <c r="C1405" s="27" t="s">
        <v>180</v>
      </c>
      <c r="D1405" s="29">
        <v>49</v>
      </c>
      <c r="E1405" s="26" t="s">
        <v>591</v>
      </c>
      <c r="F1405" s="28" t="s">
        <v>592</v>
      </c>
      <c r="G1405" s="28" t="s">
        <v>592</v>
      </c>
      <c r="H1405" s="28" t="s">
        <v>593</v>
      </c>
      <c r="I1405" s="30"/>
      <c r="J1405" s="30"/>
      <c r="K1405" s="31">
        <v>16119.9</v>
      </c>
      <c r="L1405" s="31">
        <v>14671.17</v>
      </c>
      <c r="M1405" s="31">
        <v>14681.96</v>
      </c>
      <c r="N1405" s="32">
        <v>9.8746725721261502E-2</v>
      </c>
      <c r="O1405" s="32">
        <v>9.7939239720037402E-2</v>
      </c>
      <c r="P1405" s="30"/>
      <c r="Q1405" s="31">
        <v>328.97755102040799</v>
      </c>
    </row>
    <row r="1406" spans="1:17" ht="15" customHeight="1" x14ac:dyDescent="0.2">
      <c r="A1406" s="17" t="s">
        <v>201</v>
      </c>
      <c r="B1406" s="18" t="s">
        <v>148</v>
      </c>
      <c r="C1406" s="18" t="s">
        <v>180</v>
      </c>
      <c r="D1406" s="20">
        <v>170</v>
      </c>
      <c r="E1406" s="17" t="s">
        <v>591</v>
      </c>
      <c r="F1406" s="19" t="s">
        <v>592</v>
      </c>
      <c r="G1406" s="19" t="s">
        <v>592</v>
      </c>
      <c r="H1406" s="19" t="s">
        <v>593</v>
      </c>
      <c r="I1406" s="21"/>
      <c r="J1406" s="21"/>
      <c r="K1406" s="22">
        <v>37580.97</v>
      </c>
      <c r="L1406" s="22">
        <v>42681.26</v>
      </c>
      <c r="M1406" s="22">
        <v>42817.2</v>
      </c>
      <c r="N1406" s="23">
        <v>-0.119497175106827</v>
      </c>
      <c r="O1406" s="23">
        <v>-0.122292676774754</v>
      </c>
      <c r="P1406" s="21"/>
      <c r="Q1406" s="22">
        <v>221.06452941176499</v>
      </c>
    </row>
    <row r="1407" spans="1:17" ht="15" customHeight="1" x14ac:dyDescent="0.2">
      <c r="A1407" s="26" t="s">
        <v>205</v>
      </c>
      <c r="B1407" s="27" t="s">
        <v>148</v>
      </c>
      <c r="C1407" s="27" t="s">
        <v>180</v>
      </c>
      <c r="D1407" s="29">
        <v>296</v>
      </c>
      <c r="E1407" s="26" t="s">
        <v>591</v>
      </c>
      <c r="F1407" s="28" t="s">
        <v>592</v>
      </c>
      <c r="G1407" s="28" t="s">
        <v>592</v>
      </c>
      <c r="H1407" s="28" t="s">
        <v>593</v>
      </c>
      <c r="I1407" s="30"/>
      <c r="J1407" s="30"/>
      <c r="K1407" s="31">
        <v>43634.33</v>
      </c>
      <c r="L1407" s="31">
        <v>62191.44</v>
      </c>
      <c r="M1407" s="31">
        <v>54147.360000000001</v>
      </c>
      <c r="N1407" s="32">
        <v>-0.29838688411138298</v>
      </c>
      <c r="O1407" s="32">
        <v>-0.194155910832957</v>
      </c>
      <c r="P1407" s="30"/>
      <c r="Q1407" s="31">
        <v>147.41327702702699</v>
      </c>
    </row>
    <row r="1408" spans="1:17" ht="15" customHeight="1" x14ac:dyDescent="0.2">
      <c r="A1408" s="17" t="s">
        <v>210</v>
      </c>
      <c r="B1408" s="18" t="s">
        <v>148</v>
      </c>
      <c r="C1408" s="18" t="s">
        <v>180</v>
      </c>
      <c r="D1408" s="20">
        <v>83</v>
      </c>
      <c r="E1408" s="17" t="s">
        <v>591</v>
      </c>
      <c r="F1408" s="19" t="s">
        <v>592</v>
      </c>
      <c r="G1408" s="19" t="s">
        <v>592</v>
      </c>
      <c r="H1408" s="19" t="s">
        <v>593</v>
      </c>
      <c r="I1408" s="21"/>
      <c r="J1408" s="21"/>
      <c r="K1408" s="22">
        <v>14385.7</v>
      </c>
      <c r="L1408" s="22">
        <v>20203.650000000001</v>
      </c>
      <c r="M1408" s="22">
        <v>20435.34</v>
      </c>
      <c r="N1408" s="23">
        <v>-0.28796529339995502</v>
      </c>
      <c r="O1408" s="23">
        <v>-0.29603813785334598</v>
      </c>
      <c r="P1408" s="21"/>
      <c r="Q1408" s="22">
        <v>173.32168674698801</v>
      </c>
    </row>
    <row r="1409" spans="1:17" ht="15" customHeight="1" x14ac:dyDescent="0.2">
      <c r="A1409" s="26" t="s">
        <v>214</v>
      </c>
      <c r="B1409" s="27" t="s">
        <v>148</v>
      </c>
      <c r="C1409" s="27" t="s">
        <v>180</v>
      </c>
      <c r="D1409" s="29">
        <v>144</v>
      </c>
      <c r="E1409" s="26" t="s">
        <v>591</v>
      </c>
      <c r="F1409" s="28" t="s">
        <v>592</v>
      </c>
      <c r="G1409" s="28" t="s">
        <v>592</v>
      </c>
      <c r="H1409" s="28" t="s">
        <v>593</v>
      </c>
      <c r="I1409" s="30"/>
      <c r="J1409" s="30"/>
      <c r="K1409" s="31">
        <v>38563.39</v>
      </c>
      <c r="L1409" s="31">
        <v>41423.599999999999</v>
      </c>
      <c r="M1409" s="31">
        <v>44035.78</v>
      </c>
      <c r="N1409" s="32">
        <v>-6.9047837464633693E-2</v>
      </c>
      <c r="O1409" s="32">
        <v>-0.12427144472063401</v>
      </c>
      <c r="P1409" s="30"/>
      <c r="Q1409" s="31">
        <v>267.80131944444503</v>
      </c>
    </row>
    <row r="1410" spans="1:17" ht="15" customHeight="1" x14ac:dyDescent="0.2">
      <c r="A1410" s="17" t="s">
        <v>219</v>
      </c>
      <c r="B1410" s="18" t="s">
        <v>148</v>
      </c>
      <c r="C1410" s="18" t="s">
        <v>180</v>
      </c>
      <c r="D1410" s="20">
        <v>398</v>
      </c>
      <c r="E1410" s="17" t="s">
        <v>591</v>
      </c>
      <c r="F1410" s="19" t="s">
        <v>592</v>
      </c>
      <c r="G1410" s="19" t="s">
        <v>592</v>
      </c>
      <c r="H1410" s="19" t="s">
        <v>593</v>
      </c>
      <c r="I1410" s="21"/>
      <c r="J1410" s="21"/>
      <c r="K1410" s="22"/>
      <c r="L1410" s="22"/>
      <c r="M1410" s="22"/>
      <c r="N1410" s="23"/>
      <c r="O1410" s="23"/>
      <c r="P1410" s="21"/>
      <c r="Q1410" s="22"/>
    </row>
    <row r="1411" spans="1:17" ht="15" customHeight="1" x14ac:dyDescent="0.2">
      <c r="A1411" s="26" t="s">
        <v>224</v>
      </c>
      <c r="B1411" s="27" t="s">
        <v>148</v>
      </c>
      <c r="C1411" s="27" t="s">
        <v>180</v>
      </c>
      <c r="D1411" s="29">
        <v>71</v>
      </c>
      <c r="E1411" s="26" t="s">
        <v>591</v>
      </c>
      <c r="F1411" s="28" t="s">
        <v>592</v>
      </c>
      <c r="G1411" s="28" t="s">
        <v>592</v>
      </c>
      <c r="H1411" s="28" t="s">
        <v>593</v>
      </c>
      <c r="I1411" s="30"/>
      <c r="J1411" s="30"/>
      <c r="K1411" s="31">
        <v>10300.89</v>
      </c>
      <c r="L1411" s="31">
        <v>13480.83</v>
      </c>
      <c r="M1411" s="31">
        <v>13894.12</v>
      </c>
      <c r="N1411" s="32">
        <v>-0.23588606932955899</v>
      </c>
      <c r="O1411" s="32">
        <v>-0.25861515518794997</v>
      </c>
      <c r="P1411" s="30"/>
      <c r="Q1411" s="31">
        <v>145.082957746479</v>
      </c>
    </row>
    <row r="1412" spans="1:17" ht="15" customHeight="1" x14ac:dyDescent="0.2">
      <c r="A1412" s="17" t="s">
        <v>230</v>
      </c>
      <c r="B1412" s="18" t="s">
        <v>148</v>
      </c>
      <c r="C1412" s="18" t="s">
        <v>180</v>
      </c>
      <c r="D1412" s="20">
        <v>139</v>
      </c>
      <c r="E1412" s="17" t="s">
        <v>591</v>
      </c>
      <c r="F1412" s="19" t="s">
        <v>592</v>
      </c>
      <c r="G1412" s="19" t="s">
        <v>592</v>
      </c>
      <c r="H1412" s="19" t="s">
        <v>593</v>
      </c>
      <c r="I1412" s="21"/>
      <c r="J1412" s="21"/>
      <c r="K1412" s="22">
        <v>40260.5</v>
      </c>
      <c r="L1412" s="22">
        <v>46791.99</v>
      </c>
      <c r="M1412" s="22">
        <v>43548.160000000003</v>
      </c>
      <c r="N1412" s="23">
        <v>-0.139585642756378</v>
      </c>
      <c r="O1412" s="23">
        <v>-7.5494808506260697E-2</v>
      </c>
      <c r="P1412" s="21"/>
      <c r="Q1412" s="22">
        <v>289.64388489208602</v>
      </c>
    </row>
    <row r="1413" spans="1:17" ht="15" customHeight="1" x14ac:dyDescent="0.2">
      <c r="A1413" s="26" t="s">
        <v>236</v>
      </c>
      <c r="B1413" s="27" t="s">
        <v>148</v>
      </c>
      <c r="C1413" s="27" t="s">
        <v>180</v>
      </c>
      <c r="D1413" s="29">
        <v>128</v>
      </c>
      <c r="E1413" s="26" t="s">
        <v>591</v>
      </c>
      <c r="F1413" s="28" t="s">
        <v>592</v>
      </c>
      <c r="G1413" s="28" t="s">
        <v>592</v>
      </c>
      <c r="H1413" s="28" t="s">
        <v>593</v>
      </c>
      <c r="I1413" s="30"/>
      <c r="J1413" s="30"/>
      <c r="K1413" s="31">
        <v>41269.5</v>
      </c>
      <c r="L1413" s="31">
        <v>34325.550000000003</v>
      </c>
      <c r="M1413" s="31">
        <v>36504.120000000003</v>
      </c>
      <c r="N1413" s="32">
        <v>0.20229683136905299</v>
      </c>
      <c r="O1413" s="32">
        <v>0.13054362082964899</v>
      </c>
      <c r="P1413" s="30"/>
      <c r="Q1413" s="31">
        <v>322.41796875</v>
      </c>
    </row>
    <row r="1414" spans="1:17" ht="15" customHeight="1" x14ac:dyDescent="0.2">
      <c r="A1414" s="17" t="s">
        <v>239</v>
      </c>
      <c r="B1414" s="18" t="s">
        <v>148</v>
      </c>
      <c r="C1414" s="18" t="s">
        <v>180</v>
      </c>
      <c r="D1414" s="20">
        <v>92</v>
      </c>
      <c r="E1414" s="17" t="s">
        <v>591</v>
      </c>
      <c r="F1414" s="19" t="s">
        <v>592</v>
      </c>
      <c r="G1414" s="19" t="s">
        <v>592</v>
      </c>
      <c r="H1414" s="19" t="s">
        <v>593</v>
      </c>
      <c r="I1414" s="21"/>
      <c r="J1414" s="21"/>
      <c r="K1414" s="22">
        <v>10209.450000000001</v>
      </c>
      <c r="L1414" s="22">
        <v>14023.98</v>
      </c>
      <c r="M1414" s="22">
        <v>14129.86</v>
      </c>
      <c r="N1414" s="23">
        <v>-0.272000530519867</v>
      </c>
      <c r="O1414" s="23">
        <v>-0.27745568604359799</v>
      </c>
      <c r="P1414" s="21"/>
      <c r="Q1414" s="22">
        <v>110.97228260869601</v>
      </c>
    </row>
    <row r="1415" spans="1:17" ht="15" customHeight="1" x14ac:dyDescent="0.2">
      <c r="A1415" s="26" t="s">
        <v>245</v>
      </c>
      <c r="B1415" s="27" t="s">
        <v>148</v>
      </c>
      <c r="C1415" s="27" t="s">
        <v>180</v>
      </c>
      <c r="D1415" s="29">
        <v>31</v>
      </c>
      <c r="E1415" s="26" t="s">
        <v>591</v>
      </c>
      <c r="F1415" s="28" t="s">
        <v>592</v>
      </c>
      <c r="G1415" s="28" t="s">
        <v>592</v>
      </c>
      <c r="H1415" s="28" t="s">
        <v>593</v>
      </c>
      <c r="I1415" s="30"/>
      <c r="J1415" s="30"/>
      <c r="K1415" s="31">
        <v>8613.1</v>
      </c>
      <c r="L1415" s="31">
        <v>8218.4</v>
      </c>
      <c r="M1415" s="31">
        <v>8608.5499999999993</v>
      </c>
      <c r="N1415" s="32">
        <v>4.8026379830624098E-2</v>
      </c>
      <c r="O1415" s="32">
        <v>5.2854429607786398E-4</v>
      </c>
      <c r="P1415" s="30"/>
      <c r="Q1415" s="31">
        <v>277.841935483871</v>
      </c>
    </row>
    <row r="1416" spans="1:17" ht="15" customHeight="1" x14ac:dyDescent="0.2">
      <c r="A1416" s="17" t="s">
        <v>249</v>
      </c>
      <c r="B1416" s="18" t="s">
        <v>148</v>
      </c>
      <c r="C1416" s="18" t="s">
        <v>180</v>
      </c>
      <c r="D1416" s="20">
        <v>122</v>
      </c>
      <c r="E1416" s="17" t="s">
        <v>591</v>
      </c>
      <c r="F1416" s="19" t="s">
        <v>592</v>
      </c>
      <c r="G1416" s="19" t="s">
        <v>592</v>
      </c>
      <c r="H1416" s="19" t="s">
        <v>593</v>
      </c>
      <c r="I1416" s="21"/>
      <c r="J1416" s="21"/>
      <c r="K1416" s="22">
        <v>33926.120000000003</v>
      </c>
      <c r="L1416" s="22">
        <v>38601.519999999997</v>
      </c>
      <c r="M1416" s="22">
        <v>40602.379999999997</v>
      </c>
      <c r="N1416" s="23">
        <v>-0.121119582855805</v>
      </c>
      <c r="O1416" s="23">
        <v>-0.16443026246244699</v>
      </c>
      <c r="P1416" s="21"/>
      <c r="Q1416" s="22">
        <v>278.08295081967202</v>
      </c>
    </row>
    <row r="1417" spans="1:17" ht="15" customHeight="1" x14ac:dyDescent="0.2">
      <c r="A1417" s="26" t="s">
        <v>254</v>
      </c>
      <c r="B1417" s="27" t="s">
        <v>148</v>
      </c>
      <c r="C1417" s="27" t="s">
        <v>180</v>
      </c>
      <c r="D1417" s="29">
        <v>80</v>
      </c>
      <c r="E1417" s="26" t="s">
        <v>591</v>
      </c>
      <c r="F1417" s="28" t="s">
        <v>592</v>
      </c>
      <c r="G1417" s="28" t="s">
        <v>592</v>
      </c>
      <c r="H1417" s="28" t="s">
        <v>593</v>
      </c>
      <c r="I1417" s="30"/>
      <c r="J1417" s="30"/>
      <c r="K1417" s="31">
        <v>24849.39</v>
      </c>
      <c r="L1417" s="31">
        <v>21821.63</v>
      </c>
      <c r="M1417" s="31">
        <v>22992.11</v>
      </c>
      <c r="N1417" s="32">
        <v>0.138750404988078</v>
      </c>
      <c r="O1417" s="32">
        <v>8.0779015062123399E-2</v>
      </c>
      <c r="P1417" s="30"/>
      <c r="Q1417" s="31">
        <v>310.61737499999998</v>
      </c>
    </row>
    <row r="1418" spans="1:17" ht="15" customHeight="1" x14ac:dyDescent="0.2">
      <c r="A1418" s="17" t="s">
        <v>259</v>
      </c>
      <c r="B1418" s="18" t="s">
        <v>148</v>
      </c>
      <c r="C1418" s="18" t="s">
        <v>180</v>
      </c>
      <c r="D1418" s="20"/>
      <c r="E1418" s="17" t="s">
        <v>591</v>
      </c>
      <c r="F1418" s="19" t="s">
        <v>592</v>
      </c>
      <c r="G1418" s="19" t="s">
        <v>592</v>
      </c>
      <c r="H1418" s="19" t="s">
        <v>593</v>
      </c>
      <c r="I1418" s="21"/>
      <c r="J1418" s="21"/>
      <c r="K1418" s="22">
        <v>638.79999999999995</v>
      </c>
      <c r="L1418" s="22">
        <v>763.16</v>
      </c>
      <c r="M1418" s="22">
        <v>763.16</v>
      </c>
      <c r="N1418" s="23">
        <v>-0.16295403323025301</v>
      </c>
      <c r="O1418" s="23">
        <v>-0.16295403323025301</v>
      </c>
      <c r="P1418" s="21"/>
      <c r="Q1418" s="22"/>
    </row>
    <row r="1419" spans="1:17" ht="15" customHeight="1" x14ac:dyDescent="0.2">
      <c r="A1419" s="26" t="s">
        <v>263</v>
      </c>
      <c r="B1419" s="27" t="s">
        <v>148</v>
      </c>
      <c r="C1419" s="27" t="s">
        <v>180</v>
      </c>
      <c r="D1419" s="29">
        <v>55</v>
      </c>
      <c r="E1419" s="26" t="s">
        <v>591</v>
      </c>
      <c r="F1419" s="28" t="s">
        <v>592</v>
      </c>
      <c r="G1419" s="28" t="s">
        <v>592</v>
      </c>
      <c r="H1419" s="28" t="s">
        <v>593</v>
      </c>
      <c r="I1419" s="30"/>
      <c r="J1419" s="30"/>
      <c r="K1419" s="31">
        <v>11222.94</v>
      </c>
      <c r="L1419" s="31">
        <v>11814.28</v>
      </c>
      <c r="M1419" s="31">
        <v>12007.83</v>
      </c>
      <c r="N1419" s="32">
        <v>-5.0052986724540102E-2</v>
      </c>
      <c r="O1419" s="32">
        <v>-6.5364849435743097E-2</v>
      </c>
      <c r="P1419" s="30"/>
      <c r="Q1419" s="31">
        <v>204.053454545455</v>
      </c>
    </row>
    <row r="1420" spans="1:17" ht="15" customHeight="1" x14ac:dyDescent="0.2">
      <c r="A1420" s="17" t="s">
        <v>266</v>
      </c>
      <c r="B1420" s="18" t="s">
        <v>148</v>
      </c>
      <c r="C1420" s="18" t="s">
        <v>267</v>
      </c>
      <c r="D1420" s="20">
        <v>108</v>
      </c>
      <c r="E1420" s="17" t="s">
        <v>591</v>
      </c>
      <c r="F1420" s="19" t="s">
        <v>592</v>
      </c>
      <c r="G1420" s="19" t="s">
        <v>592</v>
      </c>
      <c r="H1420" s="19" t="s">
        <v>593</v>
      </c>
      <c r="I1420" s="21"/>
      <c r="J1420" s="21"/>
      <c r="K1420" s="22">
        <v>36509.629999999997</v>
      </c>
      <c r="L1420" s="22">
        <v>33055.65</v>
      </c>
      <c r="M1420" s="22">
        <v>34341.65</v>
      </c>
      <c r="N1420" s="23">
        <v>0.104489852718068</v>
      </c>
      <c r="O1420" s="23">
        <v>6.3129756432786302E-2</v>
      </c>
      <c r="P1420" s="21"/>
      <c r="Q1420" s="22">
        <v>338.05212962962997</v>
      </c>
    </row>
    <row r="1421" spans="1:17" ht="15" customHeight="1" x14ac:dyDescent="0.2">
      <c r="A1421" s="26" t="s">
        <v>270</v>
      </c>
      <c r="B1421" s="27" t="s">
        <v>148</v>
      </c>
      <c r="C1421" s="27" t="s">
        <v>267</v>
      </c>
      <c r="D1421" s="29">
        <v>75</v>
      </c>
      <c r="E1421" s="26" t="s">
        <v>591</v>
      </c>
      <c r="F1421" s="28" t="s">
        <v>592</v>
      </c>
      <c r="G1421" s="28" t="s">
        <v>592</v>
      </c>
      <c r="H1421" s="28" t="s">
        <v>593</v>
      </c>
      <c r="I1421" s="30"/>
      <c r="J1421" s="30"/>
      <c r="K1421" s="31">
        <v>14867.27</v>
      </c>
      <c r="L1421" s="31">
        <v>16305.06</v>
      </c>
      <c r="M1421" s="31">
        <v>16466.099999999999</v>
      </c>
      <c r="N1421" s="32">
        <v>-8.8180601604655198E-2</v>
      </c>
      <c r="O1421" s="32">
        <v>-9.7098280710064794E-2</v>
      </c>
      <c r="P1421" s="30"/>
      <c r="Q1421" s="31">
        <v>198.23026666666701</v>
      </c>
    </row>
    <row r="1422" spans="1:17" ht="15" customHeight="1" x14ac:dyDescent="0.2">
      <c r="A1422" s="17" t="s">
        <v>272</v>
      </c>
      <c r="B1422" s="18" t="s">
        <v>148</v>
      </c>
      <c r="C1422" s="18" t="s">
        <v>267</v>
      </c>
      <c r="D1422" s="20">
        <v>89</v>
      </c>
      <c r="E1422" s="17" t="s">
        <v>591</v>
      </c>
      <c r="F1422" s="19" t="s">
        <v>592</v>
      </c>
      <c r="G1422" s="19" t="s">
        <v>592</v>
      </c>
      <c r="H1422" s="19" t="s">
        <v>593</v>
      </c>
      <c r="I1422" s="21"/>
      <c r="J1422" s="21"/>
      <c r="K1422" s="22">
        <v>24864.98</v>
      </c>
      <c r="L1422" s="22">
        <v>27451.26</v>
      </c>
      <c r="M1422" s="22">
        <v>28163.89</v>
      </c>
      <c r="N1422" s="23">
        <v>-9.4213526082227203E-2</v>
      </c>
      <c r="O1422" s="23">
        <v>-0.117132612007787</v>
      </c>
      <c r="P1422" s="21"/>
      <c r="Q1422" s="22">
        <v>279.38179775280901</v>
      </c>
    </row>
    <row r="1423" spans="1:17" ht="15" customHeight="1" x14ac:dyDescent="0.2">
      <c r="A1423" s="26" t="s">
        <v>275</v>
      </c>
      <c r="B1423" s="27" t="s">
        <v>148</v>
      </c>
      <c r="C1423" s="27" t="s">
        <v>267</v>
      </c>
      <c r="D1423" s="29">
        <v>78</v>
      </c>
      <c r="E1423" s="26" t="s">
        <v>591</v>
      </c>
      <c r="F1423" s="28" t="s">
        <v>592</v>
      </c>
      <c r="G1423" s="28" t="s">
        <v>592</v>
      </c>
      <c r="H1423" s="28" t="s">
        <v>593</v>
      </c>
      <c r="I1423" s="30"/>
      <c r="J1423" s="30"/>
      <c r="K1423" s="31">
        <v>16832.740000000002</v>
      </c>
      <c r="L1423" s="31">
        <v>15772.39</v>
      </c>
      <c r="M1423" s="31">
        <v>15958.29</v>
      </c>
      <c r="N1423" s="32">
        <v>6.7228238713346697E-2</v>
      </c>
      <c r="O1423" s="32">
        <v>5.4795971247546003E-2</v>
      </c>
      <c r="P1423" s="30"/>
      <c r="Q1423" s="31">
        <v>215.80435897435899</v>
      </c>
    </row>
    <row r="1424" spans="1:17" ht="15" customHeight="1" x14ac:dyDescent="0.2">
      <c r="A1424" s="17" t="s">
        <v>277</v>
      </c>
      <c r="B1424" s="18" t="s">
        <v>148</v>
      </c>
      <c r="C1424" s="18" t="s">
        <v>267</v>
      </c>
      <c r="D1424" s="20">
        <v>158</v>
      </c>
      <c r="E1424" s="17" t="s">
        <v>591</v>
      </c>
      <c r="F1424" s="19" t="s">
        <v>592</v>
      </c>
      <c r="G1424" s="19" t="s">
        <v>592</v>
      </c>
      <c r="H1424" s="19" t="s">
        <v>593</v>
      </c>
      <c r="I1424" s="21"/>
      <c r="J1424" s="21"/>
      <c r="K1424" s="22">
        <v>30987.05</v>
      </c>
      <c r="L1424" s="22">
        <v>40827.67</v>
      </c>
      <c r="M1424" s="22">
        <v>45587.82</v>
      </c>
      <c r="N1424" s="23">
        <v>-0.24102820464650601</v>
      </c>
      <c r="O1424" s="23">
        <v>-0.320277872466812</v>
      </c>
      <c r="P1424" s="21"/>
      <c r="Q1424" s="22">
        <v>196.12056962025301</v>
      </c>
    </row>
    <row r="1425" spans="1:17" ht="15" customHeight="1" x14ac:dyDescent="0.2">
      <c r="A1425" s="26" t="s">
        <v>280</v>
      </c>
      <c r="B1425" s="27" t="s">
        <v>148</v>
      </c>
      <c r="C1425" s="27" t="s">
        <v>267</v>
      </c>
      <c r="D1425" s="29">
        <v>110</v>
      </c>
      <c r="E1425" s="26" t="s">
        <v>591</v>
      </c>
      <c r="F1425" s="28" t="s">
        <v>592</v>
      </c>
      <c r="G1425" s="28" t="s">
        <v>592</v>
      </c>
      <c r="H1425" s="28" t="s">
        <v>593</v>
      </c>
      <c r="I1425" s="30"/>
      <c r="J1425" s="30"/>
      <c r="K1425" s="31">
        <v>26782.71</v>
      </c>
      <c r="L1425" s="31">
        <v>32655.94</v>
      </c>
      <c r="M1425" s="31">
        <v>33598.050000000003</v>
      </c>
      <c r="N1425" s="32">
        <v>-0.179851812564575</v>
      </c>
      <c r="O1425" s="32">
        <v>-0.20284927250242199</v>
      </c>
      <c r="P1425" s="30"/>
      <c r="Q1425" s="31">
        <v>243.47918181818201</v>
      </c>
    </row>
    <row r="1426" spans="1:17" ht="15" customHeight="1" x14ac:dyDescent="0.2">
      <c r="A1426" s="17" t="s">
        <v>282</v>
      </c>
      <c r="B1426" s="18" t="s">
        <v>148</v>
      </c>
      <c r="C1426" s="18" t="s">
        <v>267</v>
      </c>
      <c r="D1426" s="20">
        <v>70</v>
      </c>
      <c r="E1426" s="17" t="s">
        <v>591</v>
      </c>
      <c r="F1426" s="19" t="s">
        <v>592</v>
      </c>
      <c r="G1426" s="19" t="s">
        <v>592</v>
      </c>
      <c r="H1426" s="19" t="s">
        <v>593</v>
      </c>
      <c r="I1426" s="21"/>
      <c r="J1426" s="21"/>
      <c r="K1426" s="22">
        <v>11528.09</v>
      </c>
      <c r="L1426" s="22">
        <v>9773.41</v>
      </c>
      <c r="M1426" s="22">
        <v>11117.69</v>
      </c>
      <c r="N1426" s="23">
        <v>0.179536108686733</v>
      </c>
      <c r="O1426" s="23">
        <v>3.6914143135849203E-2</v>
      </c>
      <c r="P1426" s="21"/>
      <c r="Q1426" s="22">
        <v>164.68700000000001</v>
      </c>
    </row>
    <row r="1427" spans="1:17" ht="15" customHeight="1" x14ac:dyDescent="0.2">
      <c r="A1427" s="26" t="s">
        <v>284</v>
      </c>
      <c r="B1427" s="27" t="s">
        <v>148</v>
      </c>
      <c r="C1427" s="27" t="s">
        <v>267</v>
      </c>
      <c r="D1427" s="29">
        <v>72</v>
      </c>
      <c r="E1427" s="26" t="s">
        <v>591</v>
      </c>
      <c r="F1427" s="28" t="s">
        <v>592</v>
      </c>
      <c r="G1427" s="28" t="s">
        <v>592</v>
      </c>
      <c r="H1427" s="28" t="s">
        <v>593</v>
      </c>
      <c r="I1427" s="30"/>
      <c r="J1427" s="30"/>
      <c r="K1427" s="31">
        <v>8978.19</v>
      </c>
      <c r="L1427" s="31">
        <v>10554.02</v>
      </c>
      <c r="M1427" s="31">
        <v>11191.8</v>
      </c>
      <c r="N1427" s="32">
        <v>-0.14931087869835399</v>
      </c>
      <c r="O1427" s="32">
        <v>-0.19778855948104901</v>
      </c>
      <c r="P1427" s="30"/>
      <c r="Q1427" s="31">
        <v>124.697083333333</v>
      </c>
    </row>
    <row r="1428" spans="1:17" ht="15" customHeight="1" x14ac:dyDescent="0.2">
      <c r="A1428" s="17" t="s">
        <v>285</v>
      </c>
      <c r="B1428" s="18" t="s">
        <v>148</v>
      </c>
      <c r="C1428" s="18" t="s">
        <v>267</v>
      </c>
      <c r="D1428" s="20">
        <v>296</v>
      </c>
      <c r="E1428" s="17" t="s">
        <v>591</v>
      </c>
      <c r="F1428" s="19" t="s">
        <v>592</v>
      </c>
      <c r="G1428" s="19" t="s">
        <v>592</v>
      </c>
      <c r="H1428" s="19" t="s">
        <v>593</v>
      </c>
      <c r="I1428" s="21"/>
      <c r="J1428" s="21"/>
      <c r="K1428" s="22">
        <v>43708.18</v>
      </c>
      <c r="L1428" s="22">
        <v>62433.18</v>
      </c>
      <c r="M1428" s="22">
        <v>65400.62</v>
      </c>
      <c r="N1428" s="23">
        <v>-0.29992065116657501</v>
      </c>
      <c r="O1428" s="23">
        <v>-0.33168554059579303</v>
      </c>
      <c r="P1428" s="21"/>
      <c r="Q1428" s="22">
        <v>147.66277027026999</v>
      </c>
    </row>
    <row r="1429" spans="1:17" ht="15" customHeight="1" x14ac:dyDescent="0.2">
      <c r="A1429" s="26" t="s">
        <v>286</v>
      </c>
      <c r="B1429" s="27" t="s">
        <v>148</v>
      </c>
      <c r="C1429" s="27" t="s">
        <v>267</v>
      </c>
      <c r="D1429" s="29">
        <v>50</v>
      </c>
      <c r="E1429" s="26" t="s">
        <v>591</v>
      </c>
      <c r="F1429" s="28" t="s">
        <v>592</v>
      </c>
      <c r="G1429" s="28" t="s">
        <v>592</v>
      </c>
      <c r="H1429" s="28" t="s">
        <v>593</v>
      </c>
      <c r="I1429" s="30"/>
      <c r="J1429" s="30"/>
      <c r="K1429" s="31">
        <v>12535.41</v>
      </c>
      <c r="L1429" s="31">
        <v>15378.8</v>
      </c>
      <c r="M1429" s="31">
        <v>15868.03</v>
      </c>
      <c r="N1429" s="32">
        <v>-0.18489023851015701</v>
      </c>
      <c r="O1429" s="32">
        <v>-0.21002102970564099</v>
      </c>
      <c r="P1429" s="30"/>
      <c r="Q1429" s="31">
        <v>250.70820000000001</v>
      </c>
    </row>
    <row r="1430" spans="1:17" ht="15" customHeight="1" x14ac:dyDescent="0.2">
      <c r="A1430" s="17" t="s">
        <v>287</v>
      </c>
      <c r="B1430" s="18" t="s">
        <v>148</v>
      </c>
      <c r="C1430" s="18" t="s">
        <v>267</v>
      </c>
      <c r="D1430" s="20">
        <v>163</v>
      </c>
      <c r="E1430" s="17" t="s">
        <v>591</v>
      </c>
      <c r="F1430" s="19" t="s">
        <v>592</v>
      </c>
      <c r="G1430" s="19" t="s">
        <v>592</v>
      </c>
      <c r="H1430" s="19" t="s">
        <v>593</v>
      </c>
      <c r="I1430" s="21"/>
      <c r="J1430" s="21"/>
      <c r="K1430" s="22">
        <v>41157.17</v>
      </c>
      <c r="L1430" s="22">
        <v>56405.36</v>
      </c>
      <c r="M1430" s="22">
        <v>50335.78</v>
      </c>
      <c r="N1430" s="23">
        <v>-0.27033228756983402</v>
      </c>
      <c r="O1430" s="23">
        <v>-0.182347626280948</v>
      </c>
      <c r="P1430" s="21"/>
      <c r="Q1430" s="22">
        <v>252.497975460123</v>
      </c>
    </row>
    <row r="1431" spans="1:17" ht="15" customHeight="1" x14ac:dyDescent="0.2">
      <c r="A1431" s="26" t="s">
        <v>289</v>
      </c>
      <c r="B1431" s="27" t="s">
        <v>148</v>
      </c>
      <c r="C1431" s="27" t="s">
        <v>267</v>
      </c>
      <c r="D1431" s="29">
        <v>107</v>
      </c>
      <c r="E1431" s="26" t="s">
        <v>591</v>
      </c>
      <c r="F1431" s="28" t="s">
        <v>592</v>
      </c>
      <c r="G1431" s="28" t="s">
        <v>592</v>
      </c>
      <c r="H1431" s="28" t="s">
        <v>593</v>
      </c>
      <c r="I1431" s="30"/>
      <c r="J1431" s="30"/>
      <c r="K1431" s="31">
        <v>33908.51</v>
      </c>
      <c r="L1431" s="31">
        <v>37650.239999999998</v>
      </c>
      <c r="M1431" s="31">
        <v>39853.83</v>
      </c>
      <c r="N1431" s="32">
        <v>-9.9381305404693199E-2</v>
      </c>
      <c r="O1431" s="32">
        <v>-0.149178134196889</v>
      </c>
      <c r="P1431" s="30"/>
      <c r="Q1431" s="31">
        <v>316.90196261682303</v>
      </c>
    </row>
    <row r="1432" spans="1:17" ht="15" customHeight="1" x14ac:dyDescent="0.2">
      <c r="A1432" s="17" t="s">
        <v>292</v>
      </c>
      <c r="B1432" s="18" t="s">
        <v>148</v>
      </c>
      <c r="C1432" s="18" t="s">
        <v>267</v>
      </c>
      <c r="D1432" s="20">
        <v>136</v>
      </c>
      <c r="E1432" s="17" t="s">
        <v>591</v>
      </c>
      <c r="F1432" s="19" t="s">
        <v>592</v>
      </c>
      <c r="G1432" s="19" t="s">
        <v>592</v>
      </c>
      <c r="H1432" s="19" t="s">
        <v>593</v>
      </c>
      <c r="I1432" s="21"/>
      <c r="J1432" s="21"/>
      <c r="K1432" s="22">
        <v>42642.55</v>
      </c>
      <c r="L1432" s="22">
        <v>39552.25</v>
      </c>
      <c r="M1432" s="22">
        <v>40201.129999999997</v>
      </c>
      <c r="N1432" s="23">
        <v>7.8132091094691297E-2</v>
      </c>
      <c r="O1432" s="23">
        <v>6.0730133705196997E-2</v>
      </c>
      <c r="P1432" s="21"/>
      <c r="Q1432" s="22">
        <v>313.54816176470598</v>
      </c>
    </row>
    <row r="1433" spans="1:17" ht="15" customHeight="1" x14ac:dyDescent="0.2">
      <c r="A1433" s="26" t="s">
        <v>295</v>
      </c>
      <c r="B1433" s="27" t="s">
        <v>148</v>
      </c>
      <c r="C1433" s="27" t="s">
        <v>267</v>
      </c>
      <c r="D1433" s="29">
        <v>68</v>
      </c>
      <c r="E1433" s="26" t="s">
        <v>591</v>
      </c>
      <c r="F1433" s="28" t="s">
        <v>592</v>
      </c>
      <c r="G1433" s="28" t="s">
        <v>592</v>
      </c>
      <c r="H1433" s="28" t="s">
        <v>593</v>
      </c>
      <c r="I1433" s="30"/>
      <c r="J1433" s="30"/>
      <c r="K1433" s="31">
        <v>21641.82</v>
      </c>
      <c r="L1433" s="31">
        <v>15223.88</v>
      </c>
      <c r="M1433" s="31">
        <v>15522.24</v>
      </c>
      <c r="N1433" s="32">
        <v>0.42157058515963097</v>
      </c>
      <c r="O1433" s="32">
        <v>0.39424593357659699</v>
      </c>
      <c r="P1433" s="30"/>
      <c r="Q1433" s="31">
        <v>318.262058823529</v>
      </c>
    </row>
    <row r="1434" spans="1:17" ht="15" customHeight="1" x14ac:dyDescent="0.2">
      <c r="A1434" s="17" t="s">
        <v>298</v>
      </c>
      <c r="B1434" s="18" t="s">
        <v>148</v>
      </c>
      <c r="C1434" s="18" t="s">
        <v>267</v>
      </c>
      <c r="D1434" s="20">
        <v>98</v>
      </c>
      <c r="E1434" s="17" t="s">
        <v>591</v>
      </c>
      <c r="F1434" s="19" t="s">
        <v>592</v>
      </c>
      <c r="G1434" s="19" t="s">
        <v>592</v>
      </c>
      <c r="H1434" s="19" t="s">
        <v>593</v>
      </c>
      <c r="I1434" s="21"/>
      <c r="J1434" s="21"/>
      <c r="K1434" s="22">
        <v>25582.99</v>
      </c>
      <c r="L1434" s="22">
        <v>22298.22</v>
      </c>
      <c r="M1434" s="22">
        <v>25951.1</v>
      </c>
      <c r="N1434" s="23">
        <v>0.14731086158446699</v>
      </c>
      <c r="O1434" s="23">
        <v>-1.41847551741544E-2</v>
      </c>
      <c r="P1434" s="21"/>
      <c r="Q1434" s="22">
        <v>261.05091836734698</v>
      </c>
    </row>
    <row r="1435" spans="1:17" ht="15" customHeight="1" x14ac:dyDescent="0.2">
      <c r="A1435" s="26" t="s">
        <v>300</v>
      </c>
      <c r="B1435" s="27" t="s">
        <v>148</v>
      </c>
      <c r="C1435" s="27" t="s">
        <v>267</v>
      </c>
      <c r="D1435" s="29">
        <v>321</v>
      </c>
      <c r="E1435" s="26" t="s">
        <v>591</v>
      </c>
      <c r="F1435" s="28" t="s">
        <v>592</v>
      </c>
      <c r="G1435" s="28" t="s">
        <v>592</v>
      </c>
      <c r="H1435" s="28" t="s">
        <v>593</v>
      </c>
      <c r="I1435" s="30"/>
      <c r="J1435" s="30"/>
      <c r="K1435" s="31">
        <v>104250.16</v>
      </c>
      <c r="L1435" s="31">
        <v>113575.65</v>
      </c>
      <c r="M1435" s="31">
        <v>115408.52</v>
      </c>
      <c r="N1435" s="32">
        <v>-8.2108180758815805E-2</v>
      </c>
      <c r="O1435" s="32">
        <v>-9.66857559563193E-2</v>
      </c>
      <c r="P1435" s="30"/>
      <c r="Q1435" s="31">
        <v>324.76685358255497</v>
      </c>
    </row>
    <row r="1436" spans="1:17" ht="15" customHeight="1" x14ac:dyDescent="0.2">
      <c r="A1436" s="17" t="s">
        <v>302</v>
      </c>
      <c r="B1436" s="18" t="s">
        <v>148</v>
      </c>
      <c r="C1436" s="18" t="s">
        <v>267</v>
      </c>
      <c r="D1436" s="20">
        <v>111</v>
      </c>
      <c r="E1436" s="17" t="s">
        <v>591</v>
      </c>
      <c r="F1436" s="19" t="s">
        <v>592</v>
      </c>
      <c r="G1436" s="19" t="s">
        <v>592</v>
      </c>
      <c r="H1436" s="19" t="s">
        <v>593</v>
      </c>
      <c r="I1436" s="21"/>
      <c r="J1436" s="21"/>
      <c r="K1436" s="22">
        <v>16937.47</v>
      </c>
      <c r="L1436" s="22">
        <v>19320.38</v>
      </c>
      <c r="M1436" s="22">
        <v>20099.39</v>
      </c>
      <c r="N1436" s="23">
        <v>-0.123336601039938</v>
      </c>
      <c r="O1436" s="23">
        <v>-0.15731422694917599</v>
      </c>
      <c r="P1436" s="21"/>
      <c r="Q1436" s="22">
        <v>152.58981981982001</v>
      </c>
    </row>
    <row r="1437" spans="1:17" ht="15" customHeight="1" x14ac:dyDescent="0.2">
      <c r="A1437" s="26" t="s">
        <v>304</v>
      </c>
      <c r="B1437" s="27" t="s">
        <v>148</v>
      </c>
      <c r="C1437" s="27" t="s">
        <v>267</v>
      </c>
      <c r="D1437" s="29">
        <v>77</v>
      </c>
      <c r="E1437" s="26" t="s">
        <v>591</v>
      </c>
      <c r="F1437" s="28" t="s">
        <v>592</v>
      </c>
      <c r="G1437" s="28" t="s">
        <v>592</v>
      </c>
      <c r="H1437" s="28" t="s">
        <v>593</v>
      </c>
      <c r="I1437" s="30"/>
      <c r="J1437" s="30"/>
      <c r="K1437" s="31">
        <v>21237</v>
      </c>
      <c r="L1437" s="31">
        <v>16753.810000000001</v>
      </c>
      <c r="M1437" s="31">
        <v>17610.62</v>
      </c>
      <c r="N1437" s="32">
        <v>0.26759226707238498</v>
      </c>
      <c r="O1437" s="32">
        <v>0.20592006414311401</v>
      </c>
      <c r="P1437" s="30"/>
      <c r="Q1437" s="31">
        <v>275.80519480519501</v>
      </c>
    </row>
    <row r="1438" spans="1:17" ht="15" customHeight="1" x14ac:dyDescent="0.2">
      <c r="A1438" s="17" t="s">
        <v>306</v>
      </c>
      <c r="B1438" s="18" t="s">
        <v>148</v>
      </c>
      <c r="C1438" s="18" t="s">
        <v>267</v>
      </c>
      <c r="D1438" s="20">
        <v>365</v>
      </c>
      <c r="E1438" s="17" t="s">
        <v>591</v>
      </c>
      <c r="F1438" s="19" t="s">
        <v>592</v>
      </c>
      <c r="G1438" s="19" t="s">
        <v>592</v>
      </c>
      <c r="H1438" s="19" t="s">
        <v>593</v>
      </c>
      <c r="I1438" s="21"/>
      <c r="J1438" s="21"/>
      <c r="K1438" s="22">
        <v>95203.34</v>
      </c>
      <c r="L1438" s="22">
        <v>83533.789999999994</v>
      </c>
      <c r="M1438" s="22">
        <v>87255.07</v>
      </c>
      <c r="N1438" s="23">
        <v>0.139698557912912</v>
      </c>
      <c r="O1438" s="23">
        <v>9.1092357154718806E-2</v>
      </c>
      <c r="P1438" s="21"/>
      <c r="Q1438" s="22">
        <v>260.83106849315101</v>
      </c>
    </row>
    <row r="1439" spans="1:17" ht="15" customHeight="1" x14ac:dyDescent="0.2">
      <c r="A1439" s="26" t="s">
        <v>309</v>
      </c>
      <c r="B1439" s="27" t="s">
        <v>148</v>
      </c>
      <c r="C1439" s="27" t="s">
        <v>267</v>
      </c>
      <c r="D1439" s="29">
        <v>270</v>
      </c>
      <c r="E1439" s="26" t="s">
        <v>591</v>
      </c>
      <c r="F1439" s="28" t="s">
        <v>592</v>
      </c>
      <c r="G1439" s="28" t="s">
        <v>592</v>
      </c>
      <c r="H1439" s="28" t="s">
        <v>593</v>
      </c>
      <c r="I1439" s="30"/>
      <c r="J1439" s="30"/>
      <c r="K1439" s="31">
        <v>70655.820000000007</v>
      </c>
      <c r="L1439" s="31">
        <v>102251.81</v>
      </c>
      <c r="M1439" s="31">
        <v>117805.26</v>
      </c>
      <c r="N1439" s="32">
        <v>-0.30900176730367901</v>
      </c>
      <c r="O1439" s="32">
        <v>-0.40023204396815598</v>
      </c>
      <c r="P1439" s="30"/>
      <c r="Q1439" s="31">
        <v>261.68822222222201</v>
      </c>
    </row>
    <row r="1440" spans="1:17" ht="15" customHeight="1" x14ac:dyDescent="0.2">
      <c r="A1440" s="35" t="s">
        <v>312</v>
      </c>
      <c r="B1440" s="36" t="s">
        <v>313</v>
      </c>
      <c r="C1440" s="36" t="s">
        <v>267</v>
      </c>
      <c r="D1440" s="38">
        <v>170</v>
      </c>
      <c r="E1440" s="35" t="s">
        <v>591</v>
      </c>
      <c r="F1440" s="37" t="s">
        <v>592</v>
      </c>
      <c r="G1440" s="37" t="s">
        <v>592</v>
      </c>
      <c r="H1440" s="37" t="s">
        <v>593</v>
      </c>
      <c r="I1440" s="39"/>
      <c r="J1440" s="39"/>
      <c r="K1440" s="40">
        <v>118832.01</v>
      </c>
      <c r="L1440" s="40">
        <v>134724.92000000001</v>
      </c>
      <c r="M1440" s="40">
        <v>137645.70000000001</v>
      </c>
      <c r="N1440" s="41">
        <v>-0.11796562952125</v>
      </c>
      <c r="O1440" s="41">
        <v>-0.136682003142852</v>
      </c>
      <c r="P1440" s="39"/>
      <c r="Q1440" s="40">
        <v>699.01182352941203</v>
      </c>
    </row>
    <row r="1441" spans="1:17" ht="15" customHeight="1" x14ac:dyDescent="0.2">
      <c r="A1441" s="35" t="s">
        <v>316</v>
      </c>
      <c r="B1441" s="36" t="s">
        <v>313</v>
      </c>
      <c r="C1441" s="36" t="s">
        <v>267</v>
      </c>
      <c r="D1441" s="38">
        <v>234</v>
      </c>
      <c r="E1441" s="35" t="s">
        <v>591</v>
      </c>
      <c r="F1441" s="37" t="s">
        <v>592</v>
      </c>
      <c r="G1441" s="37" t="s">
        <v>592</v>
      </c>
      <c r="H1441" s="37" t="s">
        <v>593</v>
      </c>
      <c r="I1441" s="39"/>
      <c r="J1441" s="39"/>
      <c r="K1441" s="40">
        <v>139063</v>
      </c>
      <c r="L1441" s="40">
        <v>121440.29</v>
      </c>
      <c r="M1441" s="40">
        <v>136111.89000000001</v>
      </c>
      <c r="N1441" s="41">
        <v>0.14511419562650901</v>
      </c>
      <c r="O1441" s="41">
        <v>2.1681500418515898E-2</v>
      </c>
      <c r="P1441" s="39"/>
      <c r="Q1441" s="40">
        <v>594.28632478632505</v>
      </c>
    </row>
    <row r="1442" spans="1:17" ht="15" customHeight="1" x14ac:dyDescent="0.2">
      <c r="A1442" s="35" t="s">
        <v>319</v>
      </c>
      <c r="B1442" s="36" t="s">
        <v>313</v>
      </c>
      <c r="C1442" s="36" t="s">
        <v>267</v>
      </c>
      <c r="D1442" s="38">
        <v>24</v>
      </c>
      <c r="E1442" s="35" t="s">
        <v>591</v>
      </c>
      <c r="F1442" s="37" t="s">
        <v>592</v>
      </c>
      <c r="G1442" s="37" t="s">
        <v>592</v>
      </c>
      <c r="H1442" s="37" t="s">
        <v>593</v>
      </c>
      <c r="I1442" s="39"/>
      <c r="J1442" s="39"/>
      <c r="K1442" s="40">
        <v>15459.34</v>
      </c>
      <c r="L1442" s="40">
        <v>14386.21</v>
      </c>
      <c r="M1442" s="40">
        <v>15101.49</v>
      </c>
      <c r="N1442" s="41">
        <v>7.4594351118189003E-2</v>
      </c>
      <c r="O1442" s="41">
        <v>2.3696337248841001E-2</v>
      </c>
      <c r="P1442" s="39"/>
      <c r="Q1442" s="40">
        <v>644.13916666666705</v>
      </c>
    </row>
    <row r="1443" spans="1:17" ht="15" customHeight="1" x14ac:dyDescent="0.2">
      <c r="A1443" s="35" t="s">
        <v>322</v>
      </c>
      <c r="B1443" s="36" t="s">
        <v>313</v>
      </c>
      <c r="C1443" s="36" t="s">
        <v>267</v>
      </c>
      <c r="D1443" s="38">
        <v>219</v>
      </c>
      <c r="E1443" s="35" t="s">
        <v>591</v>
      </c>
      <c r="F1443" s="37" t="s">
        <v>592</v>
      </c>
      <c r="G1443" s="37" t="s">
        <v>592</v>
      </c>
      <c r="H1443" s="37" t="s">
        <v>593</v>
      </c>
      <c r="I1443" s="39"/>
      <c r="J1443" s="39"/>
      <c r="K1443" s="40">
        <v>261.8</v>
      </c>
      <c r="L1443" s="40"/>
      <c r="M1443" s="40"/>
      <c r="N1443" s="41"/>
      <c r="O1443" s="41"/>
      <c r="P1443" s="39"/>
      <c r="Q1443" s="40">
        <v>1.1954337899543399</v>
      </c>
    </row>
    <row r="1444" spans="1:17" ht="15" customHeight="1" x14ac:dyDescent="0.2">
      <c r="A1444" s="35" t="s">
        <v>325</v>
      </c>
      <c r="B1444" s="36" t="s">
        <v>313</v>
      </c>
      <c r="C1444" s="36" t="s">
        <v>267</v>
      </c>
      <c r="D1444" s="38">
        <v>146</v>
      </c>
      <c r="E1444" s="35" t="s">
        <v>591</v>
      </c>
      <c r="F1444" s="37" t="s">
        <v>592</v>
      </c>
      <c r="G1444" s="37" t="s">
        <v>592</v>
      </c>
      <c r="H1444" s="37" t="s">
        <v>593</v>
      </c>
      <c r="I1444" s="39"/>
      <c r="J1444" s="39"/>
      <c r="K1444" s="40">
        <v>763.76</v>
      </c>
      <c r="L1444" s="40"/>
      <c r="M1444" s="40"/>
      <c r="N1444" s="41"/>
      <c r="O1444" s="41"/>
      <c r="P1444" s="39"/>
      <c r="Q1444" s="40">
        <v>5.2312328767123297</v>
      </c>
    </row>
    <row r="1445" spans="1:17" ht="15" customHeight="1" x14ac:dyDescent="0.2">
      <c r="A1445" s="35" t="s">
        <v>327</v>
      </c>
      <c r="B1445" s="36" t="s">
        <v>313</v>
      </c>
      <c r="C1445" s="36" t="s">
        <v>267</v>
      </c>
      <c r="D1445" s="38">
        <v>244</v>
      </c>
      <c r="E1445" s="35" t="s">
        <v>591</v>
      </c>
      <c r="F1445" s="37" t="s">
        <v>592</v>
      </c>
      <c r="G1445" s="37" t="s">
        <v>592</v>
      </c>
      <c r="H1445" s="37" t="s">
        <v>593</v>
      </c>
      <c r="I1445" s="39"/>
      <c r="J1445" s="39"/>
      <c r="K1445" s="40">
        <v>84211.38</v>
      </c>
      <c r="L1445" s="40">
        <v>91357.29</v>
      </c>
      <c r="M1445" s="40">
        <v>96280.07</v>
      </c>
      <c r="N1445" s="41">
        <v>-7.8219373626341002E-2</v>
      </c>
      <c r="O1445" s="41">
        <v>-0.12534982577391199</v>
      </c>
      <c r="P1445" s="39"/>
      <c r="Q1445" s="40">
        <v>345.128606557377</v>
      </c>
    </row>
    <row r="1446" spans="1:17" ht="15" customHeight="1" x14ac:dyDescent="0.2">
      <c r="A1446" s="35" t="s">
        <v>329</v>
      </c>
      <c r="B1446" s="36" t="s">
        <v>313</v>
      </c>
      <c r="C1446" s="36" t="s">
        <v>330</v>
      </c>
      <c r="D1446" s="38">
        <v>186</v>
      </c>
      <c r="E1446" s="35" t="s">
        <v>591</v>
      </c>
      <c r="F1446" s="37" t="s">
        <v>592</v>
      </c>
      <c r="G1446" s="37" t="s">
        <v>592</v>
      </c>
      <c r="H1446" s="37" t="s">
        <v>593</v>
      </c>
      <c r="I1446" s="39"/>
      <c r="J1446" s="39"/>
      <c r="K1446" s="40">
        <v>29028.34</v>
      </c>
      <c r="L1446" s="40">
        <v>90966.92</v>
      </c>
      <c r="M1446" s="40">
        <v>92932.97</v>
      </c>
      <c r="N1446" s="41">
        <v>-0.68089125145712304</v>
      </c>
      <c r="O1446" s="41">
        <v>-0.68764217908886405</v>
      </c>
      <c r="P1446" s="39"/>
      <c r="Q1446" s="40">
        <v>156.06634408602201</v>
      </c>
    </row>
    <row r="1447" spans="1:17" ht="15" customHeight="1" x14ac:dyDescent="0.2">
      <c r="A1447" s="35" t="s">
        <v>334</v>
      </c>
      <c r="B1447" s="36" t="s">
        <v>313</v>
      </c>
      <c r="C1447" s="36" t="s">
        <v>330</v>
      </c>
      <c r="D1447" s="38">
        <v>20</v>
      </c>
      <c r="E1447" s="35" t="s">
        <v>591</v>
      </c>
      <c r="F1447" s="37" t="s">
        <v>592</v>
      </c>
      <c r="G1447" s="37" t="s">
        <v>592</v>
      </c>
      <c r="H1447" s="37" t="s">
        <v>593</v>
      </c>
      <c r="I1447" s="39"/>
      <c r="J1447" s="39"/>
      <c r="K1447" s="40">
        <v>7919.25</v>
      </c>
      <c r="L1447" s="40">
        <v>10850</v>
      </c>
      <c r="M1447" s="40">
        <v>11458.18</v>
      </c>
      <c r="N1447" s="41">
        <v>-0.27011520737327199</v>
      </c>
      <c r="O1447" s="41">
        <v>-0.308856205784863</v>
      </c>
      <c r="P1447" s="39"/>
      <c r="Q1447" s="40">
        <v>395.96249999999998</v>
      </c>
    </row>
    <row r="1448" spans="1:17" ht="15" customHeight="1" x14ac:dyDescent="0.2">
      <c r="A1448" s="35" t="s">
        <v>338</v>
      </c>
      <c r="B1448" s="36" t="s">
        <v>313</v>
      </c>
      <c r="C1448" s="36" t="s">
        <v>267</v>
      </c>
      <c r="D1448" s="38">
        <v>239</v>
      </c>
      <c r="E1448" s="35" t="s">
        <v>591</v>
      </c>
      <c r="F1448" s="37" t="s">
        <v>592</v>
      </c>
      <c r="G1448" s="37" t="s">
        <v>592</v>
      </c>
      <c r="H1448" s="37" t="s">
        <v>593</v>
      </c>
      <c r="I1448" s="39"/>
      <c r="J1448" s="39"/>
      <c r="K1448" s="40">
        <v>564.08000000000004</v>
      </c>
      <c r="L1448" s="40"/>
      <c r="M1448" s="40"/>
      <c r="N1448" s="41"/>
      <c r="O1448" s="41"/>
      <c r="P1448" s="39"/>
      <c r="Q1448" s="40">
        <v>2.36016736401674</v>
      </c>
    </row>
    <row r="1449" spans="1:17" ht="15" customHeight="1" x14ac:dyDescent="0.2">
      <c r="A1449" s="35" t="s">
        <v>341</v>
      </c>
      <c r="B1449" s="36" t="s">
        <v>313</v>
      </c>
      <c r="C1449" s="36" t="s">
        <v>267</v>
      </c>
      <c r="D1449" s="38">
        <v>201</v>
      </c>
      <c r="E1449" s="35" t="s">
        <v>591</v>
      </c>
      <c r="F1449" s="37" t="s">
        <v>592</v>
      </c>
      <c r="G1449" s="37" t="s">
        <v>592</v>
      </c>
      <c r="H1449" s="37" t="s">
        <v>593</v>
      </c>
      <c r="I1449" s="39"/>
      <c r="J1449" s="39"/>
      <c r="K1449" s="40">
        <v>126.52</v>
      </c>
      <c r="L1449" s="40"/>
      <c r="M1449" s="40"/>
      <c r="N1449" s="41"/>
      <c r="O1449" s="41"/>
      <c r="P1449" s="39"/>
      <c r="Q1449" s="40">
        <v>0.62945273631840803</v>
      </c>
    </row>
    <row r="1450" spans="1:17" ht="15" customHeight="1" x14ac:dyDescent="0.2">
      <c r="A1450" s="35" t="s">
        <v>343</v>
      </c>
      <c r="B1450" s="36" t="s">
        <v>313</v>
      </c>
      <c r="C1450" s="36" t="s">
        <v>267</v>
      </c>
      <c r="D1450" s="38">
        <v>166</v>
      </c>
      <c r="E1450" s="35" t="s">
        <v>591</v>
      </c>
      <c r="F1450" s="37" t="s">
        <v>592</v>
      </c>
      <c r="G1450" s="37" t="s">
        <v>592</v>
      </c>
      <c r="H1450" s="37" t="s">
        <v>593</v>
      </c>
      <c r="I1450" s="39"/>
      <c r="J1450" s="39"/>
      <c r="K1450" s="40">
        <v>496.52</v>
      </c>
      <c r="L1450" s="40">
        <v>68645.97</v>
      </c>
      <c r="M1450" s="40">
        <v>68645.97</v>
      </c>
      <c r="N1450" s="41">
        <v>-0.99276694611497196</v>
      </c>
      <c r="O1450" s="41">
        <v>-0.99276694611497196</v>
      </c>
      <c r="P1450" s="39"/>
      <c r="Q1450" s="40">
        <v>2.9910843373493998</v>
      </c>
    </row>
    <row r="1451" spans="1:17" ht="15" customHeight="1" x14ac:dyDescent="0.2">
      <c r="A1451" s="35" t="s">
        <v>346</v>
      </c>
      <c r="B1451" s="36" t="s">
        <v>313</v>
      </c>
      <c r="C1451" s="36" t="s">
        <v>267</v>
      </c>
      <c r="D1451" s="38">
        <v>104</v>
      </c>
      <c r="E1451" s="35" t="s">
        <v>591</v>
      </c>
      <c r="F1451" s="37" t="s">
        <v>592</v>
      </c>
      <c r="G1451" s="37" t="s">
        <v>592</v>
      </c>
      <c r="H1451" s="37" t="s">
        <v>593</v>
      </c>
      <c r="I1451" s="39"/>
      <c r="J1451" s="39"/>
      <c r="K1451" s="40">
        <v>15.07</v>
      </c>
      <c r="L1451" s="40"/>
      <c r="M1451" s="40"/>
      <c r="N1451" s="41"/>
      <c r="O1451" s="41"/>
      <c r="P1451" s="39"/>
      <c r="Q1451" s="40">
        <v>0.14490384615384599</v>
      </c>
    </row>
    <row r="1452" spans="1:17" ht="15" customHeight="1" x14ac:dyDescent="0.2">
      <c r="A1452" s="17" t="s">
        <v>179</v>
      </c>
      <c r="B1452" s="18" t="s">
        <v>148</v>
      </c>
      <c r="C1452" s="18" t="s">
        <v>180</v>
      </c>
      <c r="D1452" s="20">
        <v>209</v>
      </c>
      <c r="E1452" s="17" t="s">
        <v>594</v>
      </c>
      <c r="F1452" s="19" t="s">
        <v>595</v>
      </c>
      <c r="G1452" s="19" t="s">
        <v>595</v>
      </c>
      <c r="H1452" s="19" t="s">
        <v>596</v>
      </c>
      <c r="I1452" s="21"/>
      <c r="J1452" s="21"/>
      <c r="K1452" s="22">
        <v>-2771369</v>
      </c>
      <c r="L1452" s="22">
        <v>-2469500</v>
      </c>
      <c r="M1452" s="22">
        <v>-2771369</v>
      </c>
      <c r="N1452" s="23">
        <v>0.12223891476007299</v>
      </c>
      <c r="O1452" s="23">
        <v>0</v>
      </c>
      <c r="P1452" s="21"/>
      <c r="Q1452" s="22">
        <v>-13260.138755980901</v>
      </c>
    </row>
    <row r="1453" spans="1:17" ht="15" customHeight="1" x14ac:dyDescent="0.2">
      <c r="A1453" s="26" t="s">
        <v>185</v>
      </c>
      <c r="B1453" s="27" t="s">
        <v>148</v>
      </c>
      <c r="C1453" s="27" t="s">
        <v>180</v>
      </c>
      <c r="D1453" s="29">
        <v>117</v>
      </c>
      <c r="E1453" s="26" t="s">
        <v>594</v>
      </c>
      <c r="F1453" s="28" t="s">
        <v>595</v>
      </c>
      <c r="G1453" s="28" t="s">
        <v>595</v>
      </c>
      <c r="H1453" s="28" t="s">
        <v>596</v>
      </c>
      <c r="I1453" s="30"/>
      <c r="J1453" s="30"/>
      <c r="K1453" s="31">
        <v>-1811843</v>
      </c>
      <c r="L1453" s="31">
        <v>-1763480</v>
      </c>
      <c r="M1453" s="31">
        <v>-1811843</v>
      </c>
      <c r="N1453" s="32">
        <v>2.7424751060403301E-2</v>
      </c>
      <c r="O1453" s="32">
        <v>0</v>
      </c>
      <c r="P1453" s="30"/>
      <c r="Q1453" s="31">
        <v>-15485.8376068376</v>
      </c>
    </row>
    <row r="1454" spans="1:17" ht="15" customHeight="1" x14ac:dyDescent="0.2">
      <c r="A1454" s="17" t="s">
        <v>190</v>
      </c>
      <c r="B1454" s="18" t="s">
        <v>148</v>
      </c>
      <c r="C1454" s="18" t="s">
        <v>180</v>
      </c>
      <c r="D1454" s="20">
        <v>75</v>
      </c>
      <c r="E1454" s="17" t="s">
        <v>594</v>
      </c>
      <c r="F1454" s="19" t="s">
        <v>595</v>
      </c>
      <c r="G1454" s="19" t="s">
        <v>595</v>
      </c>
      <c r="H1454" s="19" t="s">
        <v>596</v>
      </c>
      <c r="I1454" s="21"/>
      <c r="J1454" s="21"/>
      <c r="K1454" s="22">
        <v>-1208338</v>
      </c>
      <c r="L1454" s="22">
        <v>-1179300</v>
      </c>
      <c r="M1454" s="22">
        <v>-1208338</v>
      </c>
      <c r="N1454" s="23">
        <v>2.46230814890189E-2</v>
      </c>
      <c r="O1454" s="23">
        <v>0</v>
      </c>
      <c r="P1454" s="21"/>
      <c r="Q1454" s="22">
        <v>-16111.1733333333</v>
      </c>
    </row>
    <row r="1455" spans="1:17" ht="15" customHeight="1" x14ac:dyDescent="0.2">
      <c r="A1455" s="26" t="s">
        <v>195</v>
      </c>
      <c r="B1455" s="27" t="s">
        <v>148</v>
      </c>
      <c r="C1455" s="27" t="s">
        <v>180</v>
      </c>
      <c r="D1455" s="29">
        <v>49</v>
      </c>
      <c r="E1455" s="26" t="s">
        <v>594</v>
      </c>
      <c r="F1455" s="28" t="s">
        <v>595</v>
      </c>
      <c r="G1455" s="28" t="s">
        <v>595</v>
      </c>
      <c r="H1455" s="28" t="s">
        <v>596</v>
      </c>
      <c r="I1455" s="30"/>
      <c r="J1455" s="30"/>
      <c r="K1455" s="31">
        <v>-830667</v>
      </c>
      <c r="L1455" s="31">
        <v>-825370</v>
      </c>
      <c r="M1455" s="31">
        <v>-830667</v>
      </c>
      <c r="N1455" s="32">
        <v>6.4177278069229597E-3</v>
      </c>
      <c r="O1455" s="32">
        <v>0</v>
      </c>
      <c r="P1455" s="30"/>
      <c r="Q1455" s="31">
        <v>-16952.387755102001</v>
      </c>
    </row>
    <row r="1456" spans="1:17" ht="15" customHeight="1" x14ac:dyDescent="0.2">
      <c r="A1456" s="17" t="s">
        <v>201</v>
      </c>
      <c r="B1456" s="18" t="s">
        <v>148</v>
      </c>
      <c r="C1456" s="18" t="s">
        <v>180</v>
      </c>
      <c r="D1456" s="20">
        <v>170</v>
      </c>
      <c r="E1456" s="17" t="s">
        <v>594</v>
      </c>
      <c r="F1456" s="19" t="s">
        <v>595</v>
      </c>
      <c r="G1456" s="19" t="s">
        <v>595</v>
      </c>
      <c r="H1456" s="19" t="s">
        <v>596</v>
      </c>
      <c r="I1456" s="21"/>
      <c r="J1456" s="21"/>
      <c r="K1456" s="22">
        <v>-2275444</v>
      </c>
      <c r="L1456" s="22">
        <v>-2230810</v>
      </c>
      <c r="M1456" s="22">
        <v>-2275444</v>
      </c>
      <c r="N1456" s="23">
        <v>2.0007979164518699E-2</v>
      </c>
      <c r="O1456" s="23">
        <v>0</v>
      </c>
      <c r="P1456" s="21"/>
      <c r="Q1456" s="22">
        <v>-13384.964705882399</v>
      </c>
    </row>
    <row r="1457" spans="1:17" ht="15" customHeight="1" x14ac:dyDescent="0.2">
      <c r="A1457" s="26" t="s">
        <v>205</v>
      </c>
      <c r="B1457" s="27" t="s">
        <v>148</v>
      </c>
      <c r="C1457" s="27" t="s">
        <v>180</v>
      </c>
      <c r="D1457" s="29">
        <v>296</v>
      </c>
      <c r="E1457" s="26" t="s">
        <v>594</v>
      </c>
      <c r="F1457" s="28" t="s">
        <v>595</v>
      </c>
      <c r="G1457" s="28" t="s">
        <v>595</v>
      </c>
      <c r="H1457" s="28" t="s">
        <v>596</v>
      </c>
      <c r="I1457" s="30"/>
      <c r="J1457" s="30"/>
      <c r="K1457" s="31">
        <v>-2684887</v>
      </c>
      <c r="L1457" s="31">
        <v>-2979880</v>
      </c>
      <c r="M1457" s="31">
        <v>-2684887</v>
      </c>
      <c r="N1457" s="32">
        <v>-9.89949259701733E-2</v>
      </c>
      <c r="O1457" s="32">
        <v>0</v>
      </c>
      <c r="P1457" s="30"/>
      <c r="Q1457" s="31">
        <v>-9070.5641891891901</v>
      </c>
    </row>
    <row r="1458" spans="1:17" ht="15" customHeight="1" x14ac:dyDescent="0.2">
      <c r="A1458" s="17" t="s">
        <v>210</v>
      </c>
      <c r="B1458" s="18" t="s">
        <v>148</v>
      </c>
      <c r="C1458" s="18" t="s">
        <v>180</v>
      </c>
      <c r="D1458" s="20">
        <v>83</v>
      </c>
      <c r="E1458" s="17" t="s">
        <v>594</v>
      </c>
      <c r="F1458" s="19" t="s">
        <v>595</v>
      </c>
      <c r="G1458" s="19" t="s">
        <v>595</v>
      </c>
      <c r="H1458" s="19" t="s">
        <v>596</v>
      </c>
      <c r="I1458" s="21"/>
      <c r="J1458" s="21"/>
      <c r="K1458" s="22">
        <v>-1123747</v>
      </c>
      <c r="L1458" s="22">
        <v>-1113220</v>
      </c>
      <c r="M1458" s="22">
        <v>-1123747</v>
      </c>
      <c r="N1458" s="23">
        <v>9.4563518441997101E-3</v>
      </c>
      <c r="O1458" s="23">
        <v>0</v>
      </c>
      <c r="P1458" s="21"/>
      <c r="Q1458" s="22">
        <v>-13539.120481927701</v>
      </c>
    </row>
    <row r="1459" spans="1:17" ht="15" customHeight="1" x14ac:dyDescent="0.2">
      <c r="A1459" s="26" t="s">
        <v>214</v>
      </c>
      <c r="B1459" s="27" t="s">
        <v>148</v>
      </c>
      <c r="C1459" s="27" t="s">
        <v>180</v>
      </c>
      <c r="D1459" s="29">
        <v>144</v>
      </c>
      <c r="E1459" s="26" t="s">
        <v>594</v>
      </c>
      <c r="F1459" s="28" t="s">
        <v>595</v>
      </c>
      <c r="G1459" s="28" t="s">
        <v>595</v>
      </c>
      <c r="H1459" s="28" t="s">
        <v>596</v>
      </c>
      <c r="I1459" s="30"/>
      <c r="J1459" s="30"/>
      <c r="K1459" s="31">
        <v>-2322781</v>
      </c>
      <c r="L1459" s="31">
        <v>-2135080</v>
      </c>
      <c r="M1459" s="31">
        <v>-2322781</v>
      </c>
      <c r="N1459" s="32">
        <v>8.7912865091706205E-2</v>
      </c>
      <c r="O1459" s="32">
        <v>0</v>
      </c>
      <c r="P1459" s="30"/>
      <c r="Q1459" s="31">
        <v>-16130.4236111111</v>
      </c>
    </row>
    <row r="1460" spans="1:17" ht="15" customHeight="1" x14ac:dyDescent="0.2">
      <c r="A1460" s="17" t="s">
        <v>219</v>
      </c>
      <c r="B1460" s="18" t="s">
        <v>148</v>
      </c>
      <c r="C1460" s="18" t="s">
        <v>180</v>
      </c>
      <c r="D1460" s="20">
        <v>398</v>
      </c>
      <c r="E1460" s="17" t="s">
        <v>594</v>
      </c>
      <c r="F1460" s="19" t="s">
        <v>595</v>
      </c>
      <c r="G1460" s="19" t="s">
        <v>595</v>
      </c>
      <c r="H1460" s="19" t="s">
        <v>596</v>
      </c>
      <c r="I1460" s="21"/>
      <c r="J1460" s="21"/>
      <c r="K1460" s="22">
        <v>-5187754</v>
      </c>
      <c r="L1460" s="22">
        <v>-5051600</v>
      </c>
      <c r="M1460" s="22">
        <v>-5187754</v>
      </c>
      <c r="N1460" s="23">
        <v>2.69526486657693E-2</v>
      </c>
      <c r="O1460" s="23">
        <v>0</v>
      </c>
      <c r="P1460" s="21"/>
      <c r="Q1460" s="22">
        <v>-13034.557788944699</v>
      </c>
    </row>
    <row r="1461" spans="1:17" ht="15" customHeight="1" x14ac:dyDescent="0.2">
      <c r="A1461" s="26" t="s">
        <v>224</v>
      </c>
      <c r="B1461" s="27" t="s">
        <v>148</v>
      </c>
      <c r="C1461" s="27" t="s">
        <v>180</v>
      </c>
      <c r="D1461" s="29">
        <v>71</v>
      </c>
      <c r="E1461" s="26" t="s">
        <v>594</v>
      </c>
      <c r="F1461" s="28" t="s">
        <v>595</v>
      </c>
      <c r="G1461" s="28" t="s">
        <v>595</v>
      </c>
      <c r="H1461" s="28" t="s">
        <v>596</v>
      </c>
      <c r="I1461" s="30"/>
      <c r="J1461" s="30"/>
      <c r="K1461" s="31">
        <v>-726403</v>
      </c>
      <c r="L1461" s="31">
        <v>-685300</v>
      </c>
      <c r="M1461" s="31">
        <v>-726403</v>
      </c>
      <c r="N1461" s="32">
        <v>5.9978111775864602E-2</v>
      </c>
      <c r="O1461" s="32">
        <v>0</v>
      </c>
      <c r="P1461" s="30"/>
      <c r="Q1461" s="31">
        <v>-10231.0281690141</v>
      </c>
    </row>
    <row r="1462" spans="1:17" ht="15" customHeight="1" x14ac:dyDescent="0.2">
      <c r="A1462" s="17" t="s">
        <v>230</v>
      </c>
      <c r="B1462" s="18" t="s">
        <v>148</v>
      </c>
      <c r="C1462" s="18" t="s">
        <v>180</v>
      </c>
      <c r="D1462" s="20">
        <v>139</v>
      </c>
      <c r="E1462" s="17" t="s">
        <v>594</v>
      </c>
      <c r="F1462" s="19" t="s">
        <v>595</v>
      </c>
      <c r="G1462" s="19" t="s">
        <v>595</v>
      </c>
      <c r="H1462" s="19" t="s">
        <v>596</v>
      </c>
      <c r="I1462" s="21"/>
      <c r="J1462" s="21"/>
      <c r="K1462" s="22">
        <v>-2343188</v>
      </c>
      <c r="L1462" s="22">
        <v>-2504600</v>
      </c>
      <c r="M1462" s="22">
        <v>-2343188</v>
      </c>
      <c r="N1462" s="23">
        <v>-6.4446218957118898E-2</v>
      </c>
      <c r="O1462" s="23">
        <v>0</v>
      </c>
      <c r="P1462" s="21"/>
      <c r="Q1462" s="22">
        <v>-16857.467625899299</v>
      </c>
    </row>
    <row r="1463" spans="1:17" ht="15" customHeight="1" x14ac:dyDescent="0.2">
      <c r="A1463" s="26" t="s">
        <v>236</v>
      </c>
      <c r="B1463" s="27" t="s">
        <v>148</v>
      </c>
      <c r="C1463" s="27" t="s">
        <v>180</v>
      </c>
      <c r="D1463" s="29">
        <v>128</v>
      </c>
      <c r="E1463" s="26" t="s">
        <v>594</v>
      </c>
      <c r="F1463" s="28" t="s">
        <v>595</v>
      </c>
      <c r="G1463" s="28" t="s">
        <v>595</v>
      </c>
      <c r="H1463" s="28" t="s">
        <v>596</v>
      </c>
      <c r="I1463" s="30"/>
      <c r="J1463" s="30"/>
      <c r="K1463" s="31">
        <v>-1897650.9</v>
      </c>
      <c r="L1463" s="31">
        <v>-1839000</v>
      </c>
      <c r="M1463" s="31">
        <v>-1897650.9</v>
      </c>
      <c r="N1463" s="32">
        <v>3.1892822185970601E-2</v>
      </c>
      <c r="O1463" s="32">
        <v>0</v>
      </c>
      <c r="P1463" s="30"/>
      <c r="Q1463" s="31">
        <v>-14825.397656249999</v>
      </c>
    </row>
    <row r="1464" spans="1:17" ht="15" customHeight="1" x14ac:dyDescent="0.2">
      <c r="A1464" s="17" t="s">
        <v>239</v>
      </c>
      <c r="B1464" s="18" t="s">
        <v>148</v>
      </c>
      <c r="C1464" s="18" t="s">
        <v>180</v>
      </c>
      <c r="D1464" s="20">
        <v>92</v>
      </c>
      <c r="E1464" s="17" t="s">
        <v>594</v>
      </c>
      <c r="F1464" s="19" t="s">
        <v>595</v>
      </c>
      <c r="G1464" s="19" t="s">
        <v>595</v>
      </c>
      <c r="H1464" s="19" t="s">
        <v>596</v>
      </c>
      <c r="I1464" s="21"/>
      <c r="J1464" s="21"/>
      <c r="K1464" s="22">
        <v>-722290</v>
      </c>
      <c r="L1464" s="22">
        <v>-717400</v>
      </c>
      <c r="M1464" s="22">
        <v>-722290</v>
      </c>
      <c r="N1464" s="23">
        <v>6.8162810147755796E-3</v>
      </c>
      <c r="O1464" s="23">
        <v>0</v>
      </c>
      <c r="P1464" s="21"/>
      <c r="Q1464" s="22">
        <v>-7850.9782608695696</v>
      </c>
    </row>
    <row r="1465" spans="1:17" ht="15" customHeight="1" x14ac:dyDescent="0.2">
      <c r="A1465" s="26" t="s">
        <v>245</v>
      </c>
      <c r="B1465" s="27" t="s">
        <v>148</v>
      </c>
      <c r="C1465" s="27" t="s">
        <v>180</v>
      </c>
      <c r="D1465" s="29">
        <v>31</v>
      </c>
      <c r="E1465" s="26" t="s">
        <v>594</v>
      </c>
      <c r="F1465" s="28" t="s">
        <v>595</v>
      </c>
      <c r="G1465" s="28" t="s">
        <v>595</v>
      </c>
      <c r="H1465" s="28" t="s">
        <v>596</v>
      </c>
      <c r="I1465" s="30"/>
      <c r="J1465" s="30"/>
      <c r="K1465" s="31">
        <v>-418677</v>
      </c>
      <c r="L1465" s="31">
        <v>-388515</v>
      </c>
      <c r="M1465" s="31">
        <v>-418677</v>
      </c>
      <c r="N1465" s="32">
        <v>7.7634068182695706E-2</v>
      </c>
      <c r="O1465" s="32">
        <v>0</v>
      </c>
      <c r="P1465" s="30"/>
      <c r="Q1465" s="31">
        <v>-13505.7096774194</v>
      </c>
    </row>
    <row r="1466" spans="1:17" ht="15" customHeight="1" x14ac:dyDescent="0.2">
      <c r="A1466" s="17" t="s">
        <v>249</v>
      </c>
      <c r="B1466" s="18" t="s">
        <v>148</v>
      </c>
      <c r="C1466" s="18" t="s">
        <v>180</v>
      </c>
      <c r="D1466" s="20">
        <v>122</v>
      </c>
      <c r="E1466" s="17" t="s">
        <v>594</v>
      </c>
      <c r="F1466" s="19" t="s">
        <v>595</v>
      </c>
      <c r="G1466" s="19" t="s">
        <v>595</v>
      </c>
      <c r="H1466" s="19" t="s">
        <v>596</v>
      </c>
      <c r="I1466" s="21"/>
      <c r="J1466" s="21"/>
      <c r="K1466" s="22">
        <v>-2076783</v>
      </c>
      <c r="L1466" s="22">
        <v>-1920850</v>
      </c>
      <c r="M1466" s="22">
        <v>-2076783</v>
      </c>
      <c r="N1466" s="23">
        <v>8.1179165473618503E-2</v>
      </c>
      <c r="O1466" s="23">
        <v>0</v>
      </c>
      <c r="P1466" s="21"/>
      <c r="Q1466" s="22">
        <v>-17022.811475409799</v>
      </c>
    </row>
    <row r="1467" spans="1:17" ht="15" customHeight="1" x14ac:dyDescent="0.2">
      <c r="A1467" s="26" t="s">
        <v>254</v>
      </c>
      <c r="B1467" s="27" t="s">
        <v>148</v>
      </c>
      <c r="C1467" s="27" t="s">
        <v>180</v>
      </c>
      <c r="D1467" s="29">
        <v>80</v>
      </c>
      <c r="E1467" s="26" t="s">
        <v>594</v>
      </c>
      <c r="F1467" s="28" t="s">
        <v>595</v>
      </c>
      <c r="G1467" s="28" t="s">
        <v>595</v>
      </c>
      <c r="H1467" s="28" t="s">
        <v>596</v>
      </c>
      <c r="I1467" s="30"/>
      <c r="J1467" s="30"/>
      <c r="K1467" s="31">
        <v>-1229419</v>
      </c>
      <c r="L1467" s="31">
        <v>-1210378</v>
      </c>
      <c r="M1467" s="31">
        <v>-1229419</v>
      </c>
      <c r="N1467" s="32">
        <v>1.5731449183643501E-2</v>
      </c>
      <c r="O1467" s="32">
        <v>0</v>
      </c>
      <c r="P1467" s="30"/>
      <c r="Q1467" s="31">
        <v>-15367.737499999999</v>
      </c>
    </row>
    <row r="1468" spans="1:17" ht="15" customHeight="1" x14ac:dyDescent="0.2">
      <c r="A1468" s="17" t="s">
        <v>259</v>
      </c>
      <c r="B1468" s="18" t="s">
        <v>148</v>
      </c>
      <c r="C1468" s="18" t="s">
        <v>180</v>
      </c>
      <c r="D1468" s="20"/>
      <c r="E1468" s="17" t="s">
        <v>594</v>
      </c>
      <c r="F1468" s="19" t="s">
        <v>595</v>
      </c>
      <c r="G1468" s="19" t="s">
        <v>595</v>
      </c>
      <c r="H1468" s="19" t="s">
        <v>596</v>
      </c>
      <c r="I1468" s="21"/>
      <c r="J1468" s="21"/>
      <c r="K1468" s="22">
        <v>-54900</v>
      </c>
      <c r="L1468" s="22">
        <v>-54900</v>
      </c>
      <c r="M1468" s="22">
        <v>-54900</v>
      </c>
      <c r="N1468" s="23">
        <v>0</v>
      </c>
      <c r="O1468" s="23">
        <v>0</v>
      </c>
      <c r="P1468" s="21"/>
      <c r="Q1468" s="22"/>
    </row>
    <row r="1469" spans="1:17" ht="15" customHeight="1" x14ac:dyDescent="0.2">
      <c r="A1469" s="26" t="s">
        <v>263</v>
      </c>
      <c r="B1469" s="27" t="s">
        <v>148</v>
      </c>
      <c r="C1469" s="27" t="s">
        <v>180</v>
      </c>
      <c r="D1469" s="29">
        <v>55</v>
      </c>
      <c r="E1469" s="26" t="s">
        <v>594</v>
      </c>
      <c r="F1469" s="28" t="s">
        <v>595</v>
      </c>
      <c r="G1469" s="28" t="s">
        <v>595</v>
      </c>
      <c r="H1469" s="28" t="s">
        <v>596</v>
      </c>
      <c r="I1469" s="30"/>
      <c r="J1469" s="30"/>
      <c r="K1469" s="31">
        <v>-624171</v>
      </c>
      <c r="L1469" s="31">
        <v>-604000</v>
      </c>
      <c r="M1469" s="31">
        <v>-624171</v>
      </c>
      <c r="N1469" s="32">
        <v>3.3395695364238399E-2</v>
      </c>
      <c r="O1469" s="32">
        <v>0</v>
      </c>
      <c r="P1469" s="30"/>
      <c r="Q1469" s="31">
        <v>-11348.5636363636</v>
      </c>
    </row>
    <row r="1470" spans="1:17" ht="15" customHeight="1" x14ac:dyDescent="0.2">
      <c r="A1470" s="17" t="s">
        <v>266</v>
      </c>
      <c r="B1470" s="18" t="s">
        <v>148</v>
      </c>
      <c r="C1470" s="18" t="s">
        <v>267</v>
      </c>
      <c r="D1470" s="20">
        <v>108</v>
      </c>
      <c r="E1470" s="17" t="s">
        <v>594</v>
      </c>
      <c r="F1470" s="19" t="s">
        <v>595</v>
      </c>
      <c r="G1470" s="19" t="s">
        <v>595</v>
      </c>
      <c r="H1470" s="19" t="s">
        <v>596</v>
      </c>
      <c r="I1470" s="21"/>
      <c r="J1470" s="21"/>
      <c r="K1470" s="22">
        <v>-1883761</v>
      </c>
      <c r="L1470" s="22">
        <v>-1766205</v>
      </c>
      <c r="M1470" s="22">
        <v>-1883761</v>
      </c>
      <c r="N1470" s="23">
        <v>6.6558525199509694E-2</v>
      </c>
      <c r="O1470" s="23">
        <v>0</v>
      </c>
      <c r="P1470" s="21"/>
      <c r="Q1470" s="22">
        <v>-17442.2314814815</v>
      </c>
    </row>
    <row r="1471" spans="1:17" ht="15" customHeight="1" x14ac:dyDescent="0.2">
      <c r="A1471" s="26" t="s">
        <v>270</v>
      </c>
      <c r="B1471" s="27" t="s">
        <v>148</v>
      </c>
      <c r="C1471" s="27" t="s">
        <v>267</v>
      </c>
      <c r="D1471" s="29">
        <v>75</v>
      </c>
      <c r="E1471" s="26" t="s">
        <v>594</v>
      </c>
      <c r="F1471" s="28" t="s">
        <v>595</v>
      </c>
      <c r="G1471" s="28" t="s">
        <v>595</v>
      </c>
      <c r="H1471" s="28" t="s">
        <v>596</v>
      </c>
      <c r="I1471" s="30"/>
      <c r="J1471" s="30"/>
      <c r="K1471" s="31">
        <v>-922104</v>
      </c>
      <c r="L1471" s="31">
        <v>-906587</v>
      </c>
      <c r="M1471" s="31">
        <v>-922104</v>
      </c>
      <c r="N1471" s="32">
        <v>1.7115842164072501E-2</v>
      </c>
      <c r="O1471" s="32">
        <v>0</v>
      </c>
      <c r="P1471" s="30"/>
      <c r="Q1471" s="31">
        <v>-12294.72</v>
      </c>
    </row>
    <row r="1472" spans="1:17" ht="15" customHeight="1" x14ac:dyDescent="0.2">
      <c r="A1472" s="17" t="s">
        <v>272</v>
      </c>
      <c r="B1472" s="18" t="s">
        <v>148</v>
      </c>
      <c r="C1472" s="18" t="s">
        <v>267</v>
      </c>
      <c r="D1472" s="20">
        <v>89</v>
      </c>
      <c r="E1472" s="17" t="s">
        <v>594</v>
      </c>
      <c r="F1472" s="19" t="s">
        <v>595</v>
      </c>
      <c r="G1472" s="19" t="s">
        <v>595</v>
      </c>
      <c r="H1472" s="19" t="s">
        <v>596</v>
      </c>
      <c r="I1472" s="21"/>
      <c r="J1472" s="21"/>
      <c r="K1472" s="22">
        <v>-1583445</v>
      </c>
      <c r="L1472" s="22">
        <v>-1576200</v>
      </c>
      <c r="M1472" s="22">
        <v>-1583445</v>
      </c>
      <c r="N1472" s="23">
        <v>4.5964979063570603E-3</v>
      </c>
      <c r="O1472" s="23">
        <v>0</v>
      </c>
      <c r="P1472" s="21"/>
      <c r="Q1472" s="22">
        <v>-17791.5168539326</v>
      </c>
    </row>
    <row r="1473" spans="1:17" ht="15" customHeight="1" x14ac:dyDescent="0.2">
      <c r="A1473" s="26" t="s">
        <v>275</v>
      </c>
      <c r="B1473" s="27" t="s">
        <v>148</v>
      </c>
      <c r="C1473" s="27" t="s">
        <v>267</v>
      </c>
      <c r="D1473" s="29">
        <v>78</v>
      </c>
      <c r="E1473" s="26" t="s">
        <v>594</v>
      </c>
      <c r="F1473" s="28" t="s">
        <v>595</v>
      </c>
      <c r="G1473" s="28" t="s">
        <v>595</v>
      </c>
      <c r="H1473" s="28" t="s">
        <v>596</v>
      </c>
      <c r="I1473" s="30"/>
      <c r="J1473" s="30"/>
      <c r="K1473" s="31">
        <v>-855264</v>
      </c>
      <c r="L1473" s="31">
        <v>-832900</v>
      </c>
      <c r="M1473" s="31">
        <v>-855264</v>
      </c>
      <c r="N1473" s="32">
        <v>2.6850762396446199E-2</v>
      </c>
      <c r="O1473" s="32">
        <v>0</v>
      </c>
      <c r="P1473" s="30"/>
      <c r="Q1473" s="31">
        <v>-10964.9230769231</v>
      </c>
    </row>
    <row r="1474" spans="1:17" ht="15" customHeight="1" x14ac:dyDescent="0.2">
      <c r="A1474" s="17" t="s">
        <v>277</v>
      </c>
      <c r="B1474" s="18" t="s">
        <v>148</v>
      </c>
      <c r="C1474" s="18" t="s">
        <v>267</v>
      </c>
      <c r="D1474" s="20">
        <v>158</v>
      </c>
      <c r="E1474" s="17" t="s">
        <v>594</v>
      </c>
      <c r="F1474" s="19" t="s">
        <v>595</v>
      </c>
      <c r="G1474" s="19" t="s">
        <v>595</v>
      </c>
      <c r="H1474" s="19" t="s">
        <v>596</v>
      </c>
      <c r="I1474" s="21"/>
      <c r="J1474" s="21"/>
      <c r="K1474" s="22">
        <v>-2110205</v>
      </c>
      <c r="L1474" s="22">
        <v>-1898200</v>
      </c>
      <c r="M1474" s="22">
        <v>-2110205</v>
      </c>
      <c r="N1474" s="23">
        <v>0.111687388051839</v>
      </c>
      <c r="O1474" s="23">
        <v>0</v>
      </c>
      <c r="P1474" s="21"/>
      <c r="Q1474" s="22">
        <v>-13355.7278481013</v>
      </c>
    </row>
    <row r="1475" spans="1:17" ht="15" customHeight="1" x14ac:dyDescent="0.2">
      <c r="A1475" s="26" t="s">
        <v>280</v>
      </c>
      <c r="B1475" s="27" t="s">
        <v>148</v>
      </c>
      <c r="C1475" s="27" t="s">
        <v>267</v>
      </c>
      <c r="D1475" s="29">
        <v>110</v>
      </c>
      <c r="E1475" s="26" t="s">
        <v>594</v>
      </c>
      <c r="F1475" s="28" t="s">
        <v>595</v>
      </c>
      <c r="G1475" s="28" t="s">
        <v>595</v>
      </c>
      <c r="H1475" s="28" t="s">
        <v>596</v>
      </c>
      <c r="I1475" s="30"/>
      <c r="J1475" s="30"/>
      <c r="K1475" s="31">
        <v>-1721867</v>
      </c>
      <c r="L1475" s="31">
        <v>-1648500</v>
      </c>
      <c r="M1475" s="31">
        <v>-1721867</v>
      </c>
      <c r="N1475" s="32">
        <v>4.45053078556263E-2</v>
      </c>
      <c r="O1475" s="32">
        <v>0</v>
      </c>
      <c r="P1475" s="30"/>
      <c r="Q1475" s="31">
        <v>-15653.336363636399</v>
      </c>
    </row>
    <row r="1476" spans="1:17" ht="15" customHeight="1" x14ac:dyDescent="0.2">
      <c r="A1476" s="17" t="s">
        <v>282</v>
      </c>
      <c r="B1476" s="18" t="s">
        <v>148</v>
      </c>
      <c r="C1476" s="18" t="s">
        <v>267</v>
      </c>
      <c r="D1476" s="20">
        <v>70</v>
      </c>
      <c r="E1476" s="17" t="s">
        <v>594</v>
      </c>
      <c r="F1476" s="19" t="s">
        <v>595</v>
      </c>
      <c r="G1476" s="19" t="s">
        <v>595</v>
      </c>
      <c r="H1476" s="19" t="s">
        <v>596</v>
      </c>
      <c r="I1476" s="21"/>
      <c r="J1476" s="21"/>
      <c r="K1476" s="22">
        <v>-553189</v>
      </c>
      <c r="L1476" s="22">
        <v>-475800</v>
      </c>
      <c r="M1476" s="22">
        <v>-553189</v>
      </c>
      <c r="N1476" s="23">
        <v>0.16265027322404399</v>
      </c>
      <c r="O1476" s="23">
        <v>0</v>
      </c>
      <c r="P1476" s="21"/>
      <c r="Q1476" s="22">
        <v>-7902.7</v>
      </c>
    </row>
    <row r="1477" spans="1:17" ht="15" customHeight="1" x14ac:dyDescent="0.2">
      <c r="A1477" s="26" t="s">
        <v>284</v>
      </c>
      <c r="B1477" s="27" t="s">
        <v>148</v>
      </c>
      <c r="C1477" s="27" t="s">
        <v>267</v>
      </c>
      <c r="D1477" s="29">
        <v>72</v>
      </c>
      <c r="E1477" s="26" t="s">
        <v>594</v>
      </c>
      <c r="F1477" s="28" t="s">
        <v>595</v>
      </c>
      <c r="G1477" s="28" t="s">
        <v>595</v>
      </c>
      <c r="H1477" s="28" t="s">
        <v>596</v>
      </c>
      <c r="I1477" s="30"/>
      <c r="J1477" s="30"/>
      <c r="K1477" s="31">
        <v>-517068</v>
      </c>
      <c r="L1477" s="31">
        <v>-498700</v>
      </c>
      <c r="M1477" s="31">
        <v>-517068</v>
      </c>
      <c r="N1477" s="32">
        <v>3.6831762582715102E-2</v>
      </c>
      <c r="O1477" s="32">
        <v>0</v>
      </c>
      <c r="P1477" s="30"/>
      <c r="Q1477" s="31">
        <v>-7181.5</v>
      </c>
    </row>
    <row r="1478" spans="1:17" ht="15" customHeight="1" x14ac:dyDescent="0.2">
      <c r="A1478" s="17" t="s">
        <v>285</v>
      </c>
      <c r="B1478" s="18" t="s">
        <v>148</v>
      </c>
      <c r="C1478" s="18" t="s">
        <v>267</v>
      </c>
      <c r="D1478" s="20">
        <v>296</v>
      </c>
      <c r="E1478" s="17" t="s">
        <v>594</v>
      </c>
      <c r="F1478" s="19" t="s">
        <v>595</v>
      </c>
      <c r="G1478" s="19" t="s">
        <v>595</v>
      </c>
      <c r="H1478" s="19" t="s">
        <v>596</v>
      </c>
      <c r="I1478" s="21"/>
      <c r="J1478" s="21"/>
      <c r="K1478" s="22">
        <v>-2999780</v>
      </c>
      <c r="L1478" s="22">
        <v>-2898965</v>
      </c>
      <c r="M1478" s="22">
        <v>-2999780</v>
      </c>
      <c r="N1478" s="23">
        <v>3.4776204610955999E-2</v>
      </c>
      <c r="O1478" s="23">
        <v>0</v>
      </c>
      <c r="P1478" s="21"/>
      <c r="Q1478" s="22">
        <v>-10134.391891891901</v>
      </c>
    </row>
    <row r="1479" spans="1:17" ht="15" customHeight="1" x14ac:dyDescent="0.2">
      <c r="A1479" s="26" t="s">
        <v>286</v>
      </c>
      <c r="B1479" s="27" t="s">
        <v>148</v>
      </c>
      <c r="C1479" s="27" t="s">
        <v>267</v>
      </c>
      <c r="D1479" s="29">
        <v>50</v>
      </c>
      <c r="E1479" s="26" t="s">
        <v>594</v>
      </c>
      <c r="F1479" s="28" t="s">
        <v>595</v>
      </c>
      <c r="G1479" s="28" t="s">
        <v>595</v>
      </c>
      <c r="H1479" s="28" t="s">
        <v>596</v>
      </c>
      <c r="I1479" s="30"/>
      <c r="J1479" s="30"/>
      <c r="K1479" s="31">
        <v>-918566</v>
      </c>
      <c r="L1479" s="31">
        <v>-897800</v>
      </c>
      <c r="M1479" s="31">
        <v>-918566</v>
      </c>
      <c r="N1479" s="32">
        <v>2.3129873022944999E-2</v>
      </c>
      <c r="O1479" s="32">
        <v>0</v>
      </c>
      <c r="P1479" s="30"/>
      <c r="Q1479" s="31">
        <v>-18371.32</v>
      </c>
    </row>
    <row r="1480" spans="1:17" ht="15" customHeight="1" x14ac:dyDescent="0.2">
      <c r="A1480" s="17" t="s">
        <v>287</v>
      </c>
      <c r="B1480" s="18" t="s">
        <v>148</v>
      </c>
      <c r="C1480" s="18" t="s">
        <v>267</v>
      </c>
      <c r="D1480" s="20">
        <v>163</v>
      </c>
      <c r="E1480" s="17" t="s">
        <v>594</v>
      </c>
      <c r="F1480" s="19" t="s">
        <v>595</v>
      </c>
      <c r="G1480" s="19" t="s">
        <v>595</v>
      </c>
      <c r="H1480" s="19" t="s">
        <v>596</v>
      </c>
      <c r="I1480" s="21"/>
      <c r="J1480" s="21"/>
      <c r="K1480" s="22">
        <v>-2588279.5</v>
      </c>
      <c r="L1480" s="22">
        <v>-2738000</v>
      </c>
      <c r="M1480" s="22">
        <v>-2588279.5</v>
      </c>
      <c r="N1480" s="23">
        <v>-5.4682432432432398E-2</v>
      </c>
      <c r="O1480" s="23">
        <v>0</v>
      </c>
      <c r="P1480" s="21"/>
      <c r="Q1480" s="22">
        <v>-15879.0153374233</v>
      </c>
    </row>
    <row r="1481" spans="1:17" ht="15" customHeight="1" x14ac:dyDescent="0.2">
      <c r="A1481" s="26" t="s">
        <v>289</v>
      </c>
      <c r="B1481" s="27" t="s">
        <v>148</v>
      </c>
      <c r="C1481" s="27" t="s">
        <v>267</v>
      </c>
      <c r="D1481" s="29">
        <v>107</v>
      </c>
      <c r="E1481" s="26" t="s">
        <v>594</v>
      </c>
      <c r="F1481" s="28" t="s">
        <v>595</v>
      </c>
      <c r="G1481" s="28" t="s">
        <v>595</v>
      </c>
      <c r="H1481" s="28" t="s">
        <v>596</v>
      </c>
      <c r="I1481" s="30"/>
      <c r="J1481" s="30"/>
      <c r="K1481" s="31">
        <v>-2231035</v>
      </c>
      <c r="L1481" s="31">
        <v>-2134000</v>
      </c>
      <c r="M1481" s="31">
        <v>-2231035</v>
      </c>
      <c r="N1481" s="32">
        <v>4.5470946579194003E-2</v>
      </c>
      <c r="O1481" s="32">
        <v>0</v>
      </c>
      <c r="P1481" s="30"/>
      <c r="Q1481" s="31">
        <v>-20850.794392523399</v>
      </c>
    </row>
    <row r="1482" spans="1:17" ht="15" customHeight="1" x14ac:dyDescent="0.2">
      <c r="A1482" s="17" t="s">
        <v>292</v>
      </c>
      <c r="B1482" s="18" t="s">
        <v>148</v>
      </c>
      <c r="C1482" s="18" t="s">
        <v>267</v>
      </c>
      <c r="D1482" s="20">
        <v>136</v>
      </c>
      <c r="E1482" s="17" t="s">
        <v>594</v>
      </c>
      <c r="F1482" s="19" t="s">
        <v>595</v>
      </c>
      <c r="G1482" s="19" t="s">
        <v>595</v>
      </c>
      <c r="H1482" s="19" t="s">
        <v>596</v>
      </c>
      <c r="I1482" s="21"/>
      <c r="J1482" s="21"/>
      <c r="K1482" s="22">
        <v>-2332680</v>
      </c>
      <c r="L1482" s="22">
        <v>-2300309</v>
      </c>
      <c r="M1482" s="22">
        <v>-2332680</v>
      </c>
      <c r="N1482" s="23">
        <v>1.40724572220515E-2</v>
      </c>
      <c r="O1482" s="23">
        <v>0</v>
      </c>
      <c r="P1482" s="21"/>
      <c r="Q1482" s="22">
        <v>-17152.058823529402</v>
      </c>
    </row>
    <row r="1483" spans="1:17" ht="15" customHeight="1" x14ac:dyDescent="0.2">
      <c r="A1483" s="26" t="s">
        <v>295</v>
      </c>
      <c r="B1483" s="27" t="s">
        <v>148</v>
      </c>
      <c r="C1483" s="27" t="s">
        <v>267</v>
      </c>
      <c r="D1483" s="29">
        <v>68</v>
      </c>
      <c r="E1483" s="26" t="s">
        <v>594</v>
      </c>
      <c r="F1483" s="28" t="s">
        <v>595</v>
      </c>
      <c r="G1483" s="28" t="s">
        <v>595</v>
      </c>
      <c r="H1483" s="28" t="s">
        <v>596</v>
      </c>
      <c r="I1483" s="30"/>
      <c r="J1483" s="30"/>
      <c r="K1483" s="31">
        <v>-843087</v>
      </c>
      <c r="L1483" s="31">
        <v>-785600</v>
      </c>
      <c r="M1483" s="31">
        <v>-843087</v>
      </c>
      <c r="N1483" s="32">
        <v>7.3175916496945007E-2</v>
      </c>
      <c r="O1483" s="32">
        <v>0</v>
      </c>
      <c r="P1483" s="30"/>
      <c r="Q1483" s="31">
        <v>-12398.338235294101</v>
      </c>
    </row>
    <row r="1484" spans="1:17" ht="15" customHeight="1" x14ac:dyDescent="0.2">
      <c r="A1484" s="17" t="s">
        <v>298</v>
      </c>
      <c r="B1484" s="18" t="s">
        <v>148</v>
      </c>
      <c r="C1484" s="18" t="s">
        <v>267</v>
      </c>
      <c r="D1484" s="20">
        <v>98</v>
      </c>
      <c r="E1484" s="17" t="s">
        <v>594</v>
      </c>
      <c r="F1484" s="19" t="s">
        <v>595</v>
      </c>
      <c r="G1484" s="19" t="s">
        <v>595</v>
      </c>
      <c r="H1484" s="19" t="s">
        <v>596</v>
      </c>
      <c r="I1484" s="21"/>
      <c r="J1484" s="21"/>
      <c r="K1484" s="22">
        <v>-1315429</v>
      </c>
      <c r="L1484" s="22">
        <v>-1142340</v>
      </c>
      <c r="M1484" s="22">
        <v>-1315429</v>
      </c>
      <c r="N1484" s="23">
        <v>0.15152143845089899</v>
      </c>
      <c r="O1484" s="23">
        <v>0</v>
      </c>
      <c r="P1484" s="21"/>
      <c r="Q1484" s="22">
        <v>-13422.744897959201</v>
      </c>
    </row>
    <row r="1485" spans="1:17" ht="15" customHeight="1" x14ac:dyDescent="0.2">
      <c r="A1485" s="26" t="s">
        <v>300</v>
      </c>
      <c r="B1485" s="27" t="s">
        <v>148</v>
      </c>
      <c r="C1485" s="27" t="s">
        <v>267</v>
      </c>
      <c r="D1485" s="29">
        <v>321</v>
      </c>
      <c r="E1485" s="26" t="s">
        <v>594</v>
      </c>
      <c r="F1485" s="28" t="s">
        <v>595</v>
      </c>
      <c r="G1485" s="28" t="s">
        <v>595</v>
      </c>
      <c r="H1485" s="28" t="s">
        <v>596</v>
      </c>
      <c r="I1485" s="30"/>
      <c r="J1485" s="30"/>
      <c r="K1485" s="31">
        <v>-6034876</v>
      </c>
      <c r="L1485" s="31">
        <v>-5877400</v>
      </c>
      <c r="M1485" s="31">
        <v>-6034876</v>
      </c>
      <c r="N1485" s="32">
        <v>2.6793480110252801E-2</v>
      </c>
      <c r="O1485" s="32">
        <v>0</v>
      </c>
      <c r="P1485" s="30"/>
      <c r="Q1485" s="31">
        <v>-18800.236760124601</v>
      </c>
    </row>
    <row r="1486" spans="1:17" ht="15" customHeight="1" x14ac:dyDescent="0.2">
      <c r="A1486" s="17" t="s">
        <v>302</v>
      </c>
      <c r="B1486" s="18" t="s">
        <v>148</v>
      </c>
      <c r="C1486" s="18" t="s">
        <v>267</v>
      </c>
      <c r="D1486" s="20">
        <v>111</v>
      </c>
      <c r="E1486" s="17" t="s">
        <v>594</v>
      </c>
      <c r="F1486" s="19" t="s">
        <v>595</v>
      </c>
      <c r="G1486" s="19" t="s">
        <v>595</v>
      </c>
      <c r="H1486" s="19" t="s">
        <v>596</v>
      </c>
      <c r="I1486" s="21"/>
      <c r="J1486" s="21"/>
      <c r="K1486" s="22">
        <v>-1133967</v>
      </c>
      <c r="L1486" s="22">
        <v>-1098897</v>
      </c>
      <c r="M1486" s="22">
        <v>-1133967</v>
      </c>
      <c r="N1486" s="23">
        <v>3.1913819038544997E-2</v>
      </c>
      <c r="O1486" s="23">
        <v>0</v>
      </c>
      <c r="P1486" s="21"/>
      <c r="Q1486" s="22">
        <v>-10215.9189189189</v>
      </c>
    </row>
    <row r="1487" spans="1:17" ht="15" customHeight="1" x14ac:dyDescent="0.2">
      <c r="A1487" s="26" t="s">
        <v>304</v>
      </c>
      <c r="B1487" s="27" t="s">
        <v>148</v>
      </c>
      <c r="C1487" s="27" t="s">
        <v>267</v>
      </c>
      <c r="D1487" s="29">
        <v>77</v>
      </c>
      <c r="E1487" s="26" t="s">
        <v>594</v>
      </c>
      <c r="F1487" s="28" t="s">
        <v>595</v>
      </c>
      <c r="G1487" s="28" t="s">
        <v>595</v>
      </c>
      <c r="H1487" s="28" t="s">
        <v>596</v>
      </c>
      <c r="I1487" s="30"/>
      <c r="J1487" s="30"/>
      <c r="K1487" s="31">
        <v>-961556</v>
      </c>
      <c r="L1487" s="31">
        <v>-928800</v>
      </c>
      <c r="M1487" s="31">
        <v>-961556</v>
      </c>
      <c r="N1487" s="32">
        <v>3.5267011197243799E-2</v>
      </c>
      <c r="O1487" s="32">
        <v>0</v>
      </c>
      <c r="P1487" s="30"/>
      <c r="Q1487" s="31">
        <v>-12487.7402597403</v>
      </c>
    </row>
    <row r="1488" spans="1:17" ht="15" customHeight="1" x14ac:dyDescent="0.2">
      <c r="A1488" s="17" t="s">
        <v>306</v>
      </c>
      <c r="B1488" s="18" t="s">
        <v>148</v>
      </c>
      <c r="C1488" s="18" t="s">
        <v>267</v>
      </c>
      <c r="D1488" s="20">
        <v>365</v>
      </c>
      <c r="E1488" s="17" t="s">
        <v>594</v>
      </c>
      <c r="F1488" s="19" t="s">
        <v>595</v>
      </c>
      <c r="G1488" s="19" t="s">
        <v>595</v>
      </c>
      <c r="H1488" s="19" t="s">
        <v>596</v>
      </c>
      <c r="I1488" s="21"/>
      <c r="J1488" s="21"/>
      <c r="K1488" s="22">
        <v>-4492453</v>
      </c>
      <c r="L1488" s="22">
        <v>-4378750</v>
      </c>
      <c r="M1488" s="22">
        <v>-4492453</v>
      </c>
      <c r="N1488" s="23">
        <v>2.5966999714530401E-2</v>
      </c>
      <c r="O1488" s="23">
        <v>0</v>
      </c>
      <c r="P1488" s="21"/>
      <c r="Q1488" s="22">
        <v>-12308.090410958899</v>
      </c>
    </row>
    <row r="1489" spans="1:17" ht="15" customHeight="1" x14ac:dyDescent="0.2">
      <c r="A1489" s="26" t="s">
        <v>309</v>
      </c>
      <c r="B1489" s="27" t="s">
        <v>148</v>
      </c>
      <c r="C1489" s="27" t="s">
        <v>267</v>
      </c>
      <c r="D1489" s="29">
        <v>270</v>
      </c>
      <c r="E1489" s="26" t="s">
        <v>594</v>
      </c>
      <c r="F1489" s="28" t="s">
        <v>595</v>
      </c>
      <c r="G1489" s="28" t="s">
        <v>595</v>
      </c>
      <c r="H1489" s="28" t="s">
        <v>596</v>
      </c>
      <c r="I1489" s="30"/>
      <c r="J1489" s="30"/>
      <c r="K1489" s="31">
        <v>-6156577</v>
      </c>
      <c r="L1489" s="31">
        <v>-5307510</v>
      </c>
      <c r="M1489" s="31">
        <v>-6156577</v>
      </c>
      <c r="N1489" s="32">
        <v>0.15997463970863901</v>
      </c>
      <c r="O1489" s="32">
        <v>0</v>
      </c>
      <c r="P1489" s="30"/>
      <c r="Q1489" s="31">
        <v>-22802.137037036999</v>
      </c>
    </row>
    <row r="1490" spans="1:17" ht="15" customHeight="1" x14ac:dyDescent="0.2">
      <c r="A1490" s="35" t="s">
        <v>312</v>
      </c>
      <c r="B1490" s="36" t="s">
        <v>313</v>
      </c>
      <c r="C1490" s="36" t="s">
        <v>267</v>
      </c>
      <c r="D1490" s="38">
        <v>170</v>
      </c>
      <c r="E1490" s="35" t="s">
        <v>594</v>
      </c>
      <c r="F1490" s="37" t="s">
        <v>595</v>
      </c>
      <c r="G1490" s="37" t="s">
        <v>595</v>
      </c>
      <c r="H1490" s="37" t="s">
        <v>596</v>
      </c>
      <c r="I1490" s="39"/>
      <c r="J1490" s="39"/>
      <c r="K1490" s="40">
        <v>-6917965.7400000002</v>
      </c>
      <c r="L1490" s="40">
        <v>-6885880</v>
      </c>
      <c r="M1490" s="40">
        <v>-6917965.7400000002</v>
      </c>
      <c r="N1490" s="41">
        <v>4.6596426310072502E-3</v>
      </c>
      <c r="O1490" s="41">
        <v>0</v>
      </c>
      <c r="P1490" s="39"/>
      <c r="Q1490" s="40">
        <v>-40693.916117647103</v>
      </c>
    </row>
    <row r="1491" spans="1:17" ht="15" customHeight="1" x14ac:dyDescent="0.2">
      <c r="A1491" s="35" t="s">
        <v>316</v>
      </c>
      <c r="B1491" s="36" t="s">
        <v>313</v>
      </c>
      <c r="C1491" s="36" t="s">
        <v>267</v>
      </c>
      <c r="D1491" s="38">
        <v>234</v>
      </c>
      <c r="E1491" s="35" t="s">
        <v>594</v>
      </c>
      <c r="F1491" s="37" t="s">
        <v>595</v>
      </c>
      <c r="G1491" s="37" t="s">
        <v>595</v>
      </c>
      <c r="H1491" s="37" t="s">
        <v>596</v>
      </c>
      <c r="I1491" s="39"/>
      <c r="J1491" s="39"/>
      <c r="K1491" s="40">
        <v>-6608301.3399999999</v>
      </c>
      <c r="L1491" s="40">
        <v>-6030791</v>
      </c>
      <c r="M1491" s="40">
        <v>-6625153.3399999999</v>
      </c>
      <c r="N1491" s="41">
        <v>9.5760297446885495E-2</v>
      </c>
      <c r="O1491" s="41">
        <v>-2.5436392389975998E-3</v>
      </c>
      <c r="P1491" s="39"/>
      <c r="Q1491" s="40">
        <v>-28240.604017094</v>
      </c>
    </row>
    <row r="1492" spans="1:17" ht="15" customHeight="1" x14ac:dyDescent="0.2">
      <c r="A1492" s="35" t="s">
        <v>319</v>
      </c>
      <c r="B1492" s="36" t="s">
        <v>313</v>
      </c>
      <c r="C1492" s="36" t="s">
        <v>267</v>
      </c>
      <c r="D1492" s="38">
        <v>24</v>
      </c>
      <c r="E1492" s="35" t="s">
        <v>594</v>
      </c>
      <c r="F1492" s="37" t="s">
        <v>595</v>
      </c>
      <c r="G1492" s="37" t="s">
        <v>595</v>
      </c>
      <c r="H1492" s="37" t="s">
        <v>596</v>
      </c>
      <c r="I1492" s="39"/>
      <c r="J1492" s="39"/>
      <c r="K1492" s="40">
        <v>-1193734</v>
      </c>
      <c r="L1492" s="40">
        <v>-1143800</v>
      </c>
      <c r="M1492" s="40">
        <v>-1196549</v>
      </c>
      <c r="N1492" s="41">
        <v>4.3656233607273998E-2</v>
      </c>
      <c r="O1492" s="41">
        <v>-2.35259901600352E-3</v>
      </c>
      <c r="P1492" s="39"/>
      <c r="Q1492" s="40">
        <v>-49738.916666666701</v>
      </c>
    </row>
    <row r="1493" spans="1:17" ht="15" customHeight="1" x14ac:dyDescent="0.2">
      <c r="A1493" s="35" t="s">
        <v>322</v>
      </c>
      <c r="B1493" s="36" t="s">
        <v>313</v>
      </c>
      <c r="C1493" s="36" t="s">
        <v>267</v>
      </c>
      <c r="D1493" s="38">
        <v>219</v>
      </c>
      <c r="E1493" s="35" t="s">
        <v>594</v>
      </c>
      <c r="F1493" s="37" t="s">
        <v>595</v>
      </c>
      <c r="G1493" s="37" t="s">
        <v>595</v>
      </c>
      <c r="H1493" s="37" t="s">
        <v>596</v>
      </c>
      <c r="I1493" s="39"/>
      <c r="J1493" s="39"/>
      <c r="K1493" s="40">
        <v>-193091.4</v>
      </c>
      <c r="L1493" s="40"/>
      <c r="M1493" s="40"/>
      <c r="N1493" s="41"/>
      <c r="O1493" s="41"/>
      <c r="P1493" s="39"/>
      <c r="Q1493" s="40">
        <v>-881.69589041095901</v>
      </c>
    </row>
    <row r="1494" spans="1:17" ht="15" customHeight="1" x14ac:dyDescent="0.2">
      <c r="A1494" s="35" t="s">
        <v>325</v>
      </c>
      <c r="B1494" s="36" t="s">
        <v>313</v>
      </c>
      <c r="C1494" s="36" t="s">
        <v>267</v>
      </c>
      <c r="D1494" s="38">
        <v>146</v>
      </c>
      <c r="E1494" s="35" t="s">
        <v>594</v>
      </c>
      <c r="F1494" s="37" t="s">
        <v>595</v>
      </c>
      <c r="G1494" s="37" t="s">
        <v>595</v>
      </c>
      <c r="H1494" s="37" t="s">
        <v>596</v>
      </c>
      <c r="I1494" s="39"/>
      <c r="J1494" s="39"/>
      <c r="K1494" s="40">
        <v>-49275</v>
      </c>
      <c r="L1494" s="40"/>
      <c r="M1494" s="40"/>
      <c r="N1494" s="41"/>
      <c r="O1494" s="41"/>
      <c r="P1494" s="39"/>
      <c r="Q1494" s="40">
        <v>-337.5</v>
      </c>
    </row>
    <row r="1495" spans="1:17" ht="15" customHeight="1" x14ac:dyDescent="0.2">
      <c r="A1495" s="35" t="s">
        <v>327</v>
      </c>
      <c r="B1495" s="36" t="s">
        <v>313</v>
      </c>
      <c r="C1495" s="36" t="s">
        <v>267</v>
      </c>
      <c r="D1495" s="38">
        <v>244</v>
      </c>
      <c r="E1495" s="35" t="s">
        <v>594</v>
      </c>
      <c r="F1495" s="37" t="s">
        <v>595</v>
      </c>
      <c r="G1495" s="37" t="s">
        <v>595</v>
      </c>
      <c r="H1495" s="37" t="s">
        <v>596</v>
      </c>
      <c r="I1495" s="39"/>
      <c r="J1495" s="39"/>
      <c r="K1495" s="40">
        <v>-4422211</v>
      </c>
      <c r="L1495" s="40">
        <v>-4671538</v>
      </c>
      <c r="M1495" s="40">
        <v>-4889866</v>
      </c>
      <c r="N1495" s="41">
        <v>-5.3371502062061801E-2</v>
      </c>
      <c r="O1495" s="41">
        <v>-9.56375900689303E-2</v>
      </c>
      <c r="P1495" s="39"/>
      <c r="Q1495" s="40">
        <v>-18123.815573770498</v>
      </c>
    </row>
    <row r="1496" spans="1:17" ht="15" customHeight="1" x14ac:dyDescent="0.2">
      <c r="A1496" s="35" t="s">
        <v>329</v>
      </c>
      <c r="B1496" s="36" t="s">
        <v>313</v>
      </c>
      <c r="C1496" s="36" t="s">
        <v>330</v>
      </c>
      <c r="D1496" s="38">
        <v>186</v>
      </c>
      <c r="E1496" s="35" t="s">
        <v>594</v>
      </c>
      <c r="F1496" s="37" t="s">
        <v>595</v>
      </c>
      <c r="G1496" s="37" t="s">
        <v>595</v>
      </c>
      <c r="H1496" s="37" t="s">
        <v>596</v>
      </c>
      <c r="I1496" s="39"/>
      <c r="J1496" s="39"/>
      <c r="K1496" s="40">
        <v>2280568</v>
      </c>
      <c r="L1496" s="40">
        <v>-4499870</v>
      </c>
      <c r="M1496" s="40">
        <v>4589762</v>
      </c>
      <c r="N1496" s="41">
        <v>-1.5068075299953101</v>
      </c>
      <c r="O1496" s="41">
        <v>-0.50311846235164304</v>
      </c>
      <c r="P1496" s="39"/>
      <c r="Q1496" s="40">
        <v>12261.118279569901</v>
      </c>
    </row>
    <row r="1497" spans="1:17" ht="15" customHeight="1" x14ac:dyDescent="0.2">
      <c r="A1497" s="35" t="s">
        <v>334</v>
      </c>
      <c r="B1497" s="36" t="s">
        <v>313</v>
      </c>
      <c r="C1497" s="36" t="s">
        <v>330</v>
      </c>
      <c r="D1497" s="38">
        <v>20</v>
      </c>
      <c r="E1497" s="35" t="s">
        <v>594</v>
      </c>
      <c r="F1497" s="37" t="s">
        <v>595</v>
      </c>
      <c r="G1497" s="37" t="s">
        <v>595</v>
      </c>
      <c r="H1497" s="37" t="s">
        <v>596</v>
      </c>
      <c r="I1497" s="39"/>
      <c r="J1497" s="39"/>
      <c r="K1497" s="40">
        <v>518063</v>
      </c>
      <c r="L1497" s="40">
        <v>-664082</v>
      </c>
      <c r="M1497" s="40">
        <v>696427</v>
      </c>
      <c r="N1497" s="41">
        <v>-1.78011902144615</v>
      </c>
      <c r="O1497" s="41">
        <v>-0.25611298815238398</v>
      </c>
      <c r="P1497" s="39"/>
      <c r="Q1497" s="40">
        <v>25903.15</v>
      </c>
    </row>
    <row r="1498" spans="1:17" ht="15" customHeight="1" x14ac:dyDescent="0.2">
      <c r="A1498" s="35" t="s">
        <v>338</v>
      </c>
      <c r="B1498" s="36" t="s">
        <v>313</v>
      </c>
      <c r="C1498" s="36" t="s">
        <v>267</v>
      </c>
      <c r="D1498" s="38">
        <v>239</v>
      </c>
      <c r="E1498" s="35" t="s">
        <v>594</v>
      </c>
      <c r="F1498" s="37" t="s">
        <v>595</v>
      </c>
      <c r="G1498" s="37" t="s">
        <v>595</v>
      </c>
      <c r="H1498" s="37" t="s">
        <v>596</v>
      </c>
      <c r="I1498" s="39"/>
      <c r="J1498" s="39"/>
      <c r="K1498" s="40">
        <v>-80000</v>
      </c>
      <c r="L1498" s="40"/>
      <c r="M1498" s="40"/>
      <c r="N1498" s="41"/>
      <c r="O1498" s="41"/>
      <c r="P1498" s="39"/>
      <c r="Q1498" s="40">
        <v>-334.72803347280302</v>
      </c>
    </row>
    <row r="1499" spans="1:17" ht="15" customHeight="1" x14ac:dyDescent="0.2">
      <c r="A1499" s="26" t="s">
        <v>219</v>
      </c>
      <c r="B1499" s="27" t="s">
        <v>148</v>
      </c>
      <c r="C1499" s="27" t="s">
        <v>180</v>
      </c>
      <c r="D1499" s="29">
        <v>398</v>
      </c>
      <c r="E1499" s="26" t="s">
        <v>597</v>
      </c>
      <c r="F1499" s="28" t="s">
        <v>598</v>
      </c>
      <c r="G1499" s="28" t="s">
        <v>598</v>
      </c>
      <c r="H1499" s="28" t="s">
        <v>599</v>
      </c>
      <c r="I1499" s="30">
        <v>4229.5</v>
      </c>
      <c r="J1499" s="30"/>
      <c r="K1499" s="31">
        <v>101967.5</v>
      </c>
      <c r="L1499" s="31">
        <v>143266</v>
      </c>
      <c r="M1499" s="31">
        <v>138337</v>
      </c>
      <c r="N1499" s="32">
        <v>-0.28826448703809698</v>
      </c>
      <c r="O1499" s="32">
        <v>-0.26290507962439602</v>
      </c>
      <c r="P1499" s="30">
        <v>10.626884422110599</v>
      </c>
      <c r="Q1499" s="31">
        <v>256.199748743719</v>
      </c>
    </row>
    <row r="1500" spans="1:17" ht="15" customHeight="1" x14ac:dyDescent="0.2">
      <c r="A1500" s="17" t="s">
        <v>224</v>
      </c>
      <c r="B1500" s="18" t="s">
        <v>148</v>
      </c>
      <c r="C1500" s="18" t="s">
        <v>180</v>
      </c>
      <c r="D1500" s="20">
        <v>71</v>
      </c>
      <c r="E1500" s="17" t="s">
        <v>597</v>
      </c>
      <c r="F1500" s="19" t="s">
        <v>598</v>
      </c>
      <c r="G1500" s="19" t="s">
        <v>598</v>
      </c>
      <c r="H1500" s="19" t="s">
        <v>599</v>
      </c>
      <c r="I1500" s="21">
        <v>8</v>
      </c>
      <c r="J1500" s="21"/>
      <c r="K1500" s="22"/>
      <c r="L1500" s="22"/>
      <c r="M1500" s="22"/>
      <c r="N1500" s="23"/>
      <c r="O1500" s="23"/>
      <c r="P1500" s="21">
        <v>0.11267605633802801</v>
      </c>
      <c r="Q1500" s="22"/>
    </row>
    <row r="1501" spans="1:17" ht="15" customHeight="1" x14ac:dyDescent="0.2">
      <c r="A1501" s="26" t="s">
        <v>219</v>
      </c>
      <c r="B1501" s="27" t="s">
        <v>148</v>
      </c>
      <c r="C1501" s="27" t="s">
        <v>180</v>
      </c>
      <c r="D1501" s="29">
        <v>398</v>
      </c>
      <c r="E1501" s="26" t="s">
        <v>600</v>
      </c>
      <c r="F1501" s="28" t="s">
        <v>598</v>
      </c>
      <c r="G1501" s="28" t="s">
        <v>598</v>
      </c>
      <c r="H1501" s="28" t="s">
        <v>601</v>
      </c>
      <c r="I1501" s="30">
        <v>21198.75</v>
      </c>
      <c r="J1501" s="30">
        <v>38.25</v>
      </c>
      <c r="K1501" s="31">
        <v>452849.38</v>
      </c>
      <c r="L1501" s="31">
        <v>423275</v>
      </c>
      <c r="M1501" s="31">
        <v>449230</v>
      </c>
      <c r="N1501" s="32">
        <v>6.9870367964089602E-2</v>
      </c>
      <c r="O1501" s="32">
        <v>8.0568528370767896E-3</v>
      </c>
      <c r="P1501" s="30">
        <v>53.263190954773897</v>
      </c>
      <c r="Q1501" s="31">
        <v>1137.8125125628101</v>
      </c>
    </row>
    <row r="1502" spans="1:17" ht="15" customHeight="1" x14ac:dyDescent="0.2">
      <c r="A1502" s="17" t="s">
        <v>224</v>
      </c>
      <c r="B1502" s="18" t="s">
        <v>148</v>
      </c>
      <c r="C1502" s="18" t="s">
        <v>180</v>
      </c>
      <c r="D1502" s="20">
        <v>71</v>
      </c>
      <c r="E1502" s="17" t="s">
        <v>600</v>
      </c>
      <c r="F1502" s="19" t="s">
        <v>598</v>
      </c>
      <c r="G1502" s="19" t="s">
        <v>598</v>
      </c>
      <c r="H1502" s="19" t="s">
        <v>601</v>
      </c>
      <c r="I1502" s="21"/>
      <c r="J1502" s="21"/>
      <c r="K1502" s="22"/>
      <c r="L1502" s="22"/>
      <c r="M1502" s="22"/>
      <c r="N1502" s="23"/>
      <c r="O1502" s="23"/>
      <c r="P1502" s="21"/>
      <c r="Q1502" s="22"/>
    </row>
    <row r="1503" spans="1:17" ht="15" customHeight="1" x14ac:dyDescent="0.2">
      <c r="A1503" s="26" t="s">
        <v>219</v>
      </c>
      <c r="B1503" s="27" t="s">
        <v>148</v>
      </c>
      <c r="C1503" s="27" t="s">
        <v>180</v>
      </c>
      <c r="D1503" s="29">
        <v>398</v>
      </c>
      <c r="E1503" s="26" t="s">
        <v>602</v>
      </c>
      <c r="F1503" s="28" t="s">
        <v>598</v>
      </c>
      <c r="G1503" s="28" t="s">
        <v>598</v>
      </c>
      <c r="H1503" s="28" t="s">
        <v>603</v>
      </c>
      <c r="I1503" s="30">
        <v>4717</v>
      </c>
      <c r="J1503" s="30">
        <v>101.5</v>
      </c>
      <c r="K1503" s="31">
        <v>118040</v>
      </c>
      <c r="L1503" s="31">
        <v>117750</v>
      </c>
      <c r="M1503" s="31">
        <v>118330</v>
      </c>
      <c r="N1503" s="32">
        <v>2.4628450106157101E-3</v>
      </c>
      <c r="O1503" s="32">
        <v>-2.4507732612186299E-3</v>
      </c>
      <c r="P1503" s="30">
        <v>11.8517587939699</v>
      </c>
      <c r="Q1503" s="31">
        <v>296.58291457286401</v>
      </c>
    </row>
    <row r="1504" spans="1:17" ht="15" customHeight="1" x14ac:dyDescent="0.2">
      <c r="A1504" s="17" t="s">
        <v>230</v>
      </c>
      <c r="B1504" s="18" t="s">
        <v>148</v>
      </c>
      <c r="C1504" s="18" t="s">
        <v>180</v>
      </c>
      <c r="D1504" s="20">
        <v>139</v>
      </c>
      <c r="E1504" s="17" t="s">
        <v>602</v>
      </c>
      <c r="F1504" s="19" t="s">
        <v>598</v>
      </c>
      <c r="G1504" s="19" t="s">
        <v>598</v>
      </c>
      <c r="H1504" s="19" t="s">
        <v>603</v>
      </c>
      <c r="I1504" s="21"/>
      <c r="J1504" s="21"/>
      <c r="K1504" s="22"/>
      <c r="L1504" s="22"/>
      <c r="M1504" s="22"/>
      <c r="N1504" s="23"/>
      <c r="O1504" s="23"/>
      <c r="P1504" s="21"/>
      <c r="Q1504" s="22"/>
    </row>
    <row r="1505" spans="1:17" ht="15" customHeight="1" x14ac:dyDescent="0.2">
      <c r="A1505" s="26" t="s">
        <v>254</v>
      </c>
      <c r="B1505" s="27" t="s">
        <v>148</v>
      </c>
      <c r="C1505" s="27" t="s">
        <v>180</v>
      </c>
      <c r="D1505" s="29">
        <v>80</v>
      </c>
      <c r="E1505" s="26" t="s">
        <v>602</v>
      </c>
      <c r="F1505" s="28" t="s">
        <v>598</v>
      </c>
      <c r="G1505" s="28" t="s">
        <v>598</v>
      </c>
      <c r="H1505" s="28" t="s">
        <v>603</v>
      </c>
      <c r="I1505" s="30"/>
      <c r="J1505" s="30"/>
      <c r="K1505" s="31"/>
      <c r="L1505" s="31"/>
      <c r="M1505" s="31"/>
      <c r="N1505" s="32"/>
      <c r="O1505" s="32"/>
      <c r="P1505" s="30"/>
      <c r="Q1505" s="31"/>
    </row>
    <row r="1506" spans="1:17" ht="15" customHeight="1" x14ac:dyDescent="0.2">
      <c r="A1506" s="17" t="s">
        <v>219</v>
      </c>
      <c r="B1506" s="18" t="s">
        <v>148</v>
      </c>
      <c r="C1506" s="18" t="s">
        <v>180</v>
      </c>
      <c r="D1506" s="20">
        <v>398</v>
      </c>
      <c r="E1506" s="17" t="s">
        <v>604</v>
      </c>
      <c r="F1506" s="19" t="s">
        <v>598</v>
      </c>
      <c r="G1506" s="19" t="s">
        <v>598</v>
      </c>
      <c r="H1506" s="19" t="s">
        <v>605</v>
      </c>
      <c r="I1506" s="21"/>
      <c r="J1506" s="21"/>
      <c r="K1506" s="22">
        <v>50431.67</v>
      </c>
      <c r="L1506" s="22">
        <v>58800</v>
      </c>
      <c r="M1506" s="22">
        <v>37808</v>
      </c>
      <c r="N1506" s="23">
        <v>-0.142318537414966</v>
      </c>
      <c r="O1506" s="23">
        <v>0.33388885950063502</v>
      </c>
      <c r="P1506" s="21"/>
      <c r="Q1506" s="22">
        <v>126.712738693467</v>
      </c>
    </row>
    <row r="1507" spans="1:17" ht="15" customHeight="1" x14ac:dyDescent="0.2">
      <c r="A1507" s="26" t="s">
        <v>219</v>
      </c>
      <c r="B1507" s="27" t="s">
        <v>148</v>
      </c>
      <c r="C1507" s="27" t="s">
        <v>180</v>
      </c>
      <c r="D1507" s="29">
        <v>398</v>
      </c>
      <c r="E1507" s="26" t="s">
        <v>606</v>
      </c>
      <c r="F1507" s="28" t="s">
        <v>598</v>
      </c>
      <c r="G1507" s="28" t="s">
        <v>598</v>
      </c>
      <c r="H1507" s="28" t="s">
        <v>607</v>
      </c>
      <c r="I1507" s="30"/>
      <c r="J1507" s="30"/>
      <c r="K1507" s="31">
        <v>200867.48</v>
      </c>
      <c r="L1507" s="31">
        <v>259245</v>
      </c>
      <c r="M1507" s="31">
        <v>274177</v>
      </c>
      <c r="N1507" s="32">
        <v>-0.225182819340778</v>
      </c>
      <c r="O1507" s="32">
        <v>-0.26738026895035</v>
      </c>
      <c r="P1507" s="30"/>
      <c r="Q1507" s="31">
        <v>504.69216080401998</v>
      </c>
    </row>
    <row r="1508" spans="1:17" ht="15" customHeight="1" x14ac:dyDescent="0.2">
      <c r="A1508" s="17" t="s">
        <v>224</v>
      </c>
      <c r="B1508" s="18" t="s">
        <v>148</v>
      </c>
      <c r="C1508" s="18" t="s">
        <v>180</v>
      </c>
      <c r="D1508" s="20">
        <v>71</v>
      </c>
      <c r="E1508" s="17" t="s">
        <v>606</v>
      </c>
      <c r="F1508" s="19" t="s">
        <v>598</v>
      </c>
      <c r="G1508" s="19" t="s">
        <v>598</v>
      </c>
      <c r="H1508" s="19" t="s">
        <v>607</v>
      </c>
      <c r="I1508" s="21"/>
      <c r="J1508" s="21"/>
      <c r="K1508" s="22"/>
      <c r="L1508" s="22"/>
      <c r="M1508" s="22"/>
      <c r="N1508" s="23"/>
      <c r="O1508" s="23"/>
      <c r="P1508" s="21"/>
      <c r="Q1508" s="22"/>
    </row>
    <row r="1509" spans="1:17" ht="15" customHeight="1" x14ac:dyDescent="0.2">
      <c r="A1509" s="26" t="s">
        <v>214</v>
      </c>
      <c r="B1509" s="27" t="s">
        <v>148</v>
      </c>
      <c r="C1509" s="27" t="s">
        <v>180</v>
      </c>
      <c r="D1509" s="29">
        <v>144</v>
      </c>
      <c r="E1509" s="26" t="s">
        <v>608</v>
      </c>
      <c r="F1509" s="28" t="s">
        <v>598</v>
      </c>
      <c r="G1509" s="28" t="s">
        <v>598</v>
      </c>
      <c r="H1509" s="28" t="s">
        <v>609</v>
      </c>
      <c r="I1509" s="30"/>
      <c r="J1509" s="30"/>
      <c r="K1509" s="31"/>
      <c r="L1509" s="31"/>
      <c r="M1509" s="31"/>
      <c r="N1509" s="32"/>
      <c r="O1509" s="32"/>
      <c r="P1509" s="30"/>
      <c r="Q1509" s="31"/>
    </row>
    <row r="1510" spans="1:17" ht="15" customHeight="1" x14ac:dyDescent="0.2">
      <c r="A1510" s="17" t="s">
        <v>219</v>
      </c>
      <c r="B1510" s="18" t="s">
        <v>148</v>
      </c>
      <c r="C1510" s="18" t="s">
        <v>180</v>
      </c>
      <c r="D1510" s="20">
        <v>398</v>
      </c>
      <c r="E1510" s="17" t="s">
        <v>608</v>
      </c>
      <c r="F1510" s="19" t="s">
        <v>598</v>
      </c>
      <c r="G1510" s="19" t="s">
        <v>598</v>
      </c>
      <c r="H1510" s="19" t="s">
        <v>609</v>
      </c>
      <c r="I1510" s="21"/>
      <c r="J1510" s="21"/>
      <c r="K1510" s="22">
        <v>373687.67</v>
      </c>
      <c r="L1510" s="22">
        <v>460418</v>
      </c>
      <c r="M1510" s="22">
        <v>470355</v>
      </c>
      <c r="N1510" s="23">
        <v>-0.18837302190618099</v>
      </c>
      <c r="O1510" s="23">
        <v>-0.20551993706881</v>
      </c>
      <c r="P1510" s="21"/>
      <c r="Q1510" s="22">
        <v>938.91374371859297</v>
      </c>
    </row>
    <row r="1511" spans="1:17" ht="15" customHeight="1" x14ac:dyDescent="0.2">
      <c r="A1511" s="26" t="s">
        <v>286</v>
      </c>
      <c r="B1511" s="27" t="s">
        <v>148</v>
      </c>
      <c r="C1511" s="27" t="s">
        <v>267</v>
      </c>
      <c r="D1511" s="29">
        <v>50</v>
      </c>
      <c r="E1511" s="26" t="s">
        <v>610</v>
      </c>
      <c r="F1511" s="28" t="s">
        <v>598</v>
      </c>
      <c r="G1511" s="28" t="s">
        <v>598</v>
      </c>
      <c r="H1511" s="28" t="s">
        <v>611</v>
      </c>
      <c r="I1511" s="30">
        <v>4</v>
      </c>
      <c r="J1511" s="30"/>
      <c r="K1511" s="31">
        <v>208</v>
      </c>
      <c r="L1511" s="31"/>
      <c r="M1511" s="31"/>
      <c r="N1511" s="32"/>
      <c r="O1511" s="32"/>
      <c r="P1511" s="30">
        <v>0.08</v>
      </c>
      <c r="Q1511" s="31">
        <v>4.16</v>
      </c>
    </row>
    <row r="1512" spans="1:17" ht="15" customHeight="1" x14ac:dyDescent="0.2">
      <c r="A1512" s="17" t="s">
        <v>286</v>
      </c>
      <c r="B1512" s="18" t="s">
        <v>148</v>
      </c>
      <c r="C1512" s="18" t="s">
        <v>267</v>
      </c>
      <c r="D1512" s="20">
        <v>50</v>
      </c>
      <c r="E1512" s="17" t="s">
        <v>612</v>
      </c>
      <c r="F1512" s="19" t="s">
        <v>598</v>
      </c>
      <c r="G1512" s="19" t="s">
        <v>598</v>
      </c>
      <c r="H1512" s="19" t="s">
        <v>613</v>
      </c>
      <c r="I1512" s="21">
        <v>8</v>
      </c>
      <c r="J1512" s="21"/>
      <c r="K1512" s="22">
        <v>144</v>
      </c>
      <c r="L1512" s="22"/>
      <c r="M1512" s="22"/>
      <c r="N1512" s="23"/>
      <c r="O1512" s="23"/>
      <c r="P1512" s="21">
        <v>0.16</v>
      </c>
      <c r="Q1512" s="22">
        <v>2.88</v>
      </c>
    </row>
    <row r="1513" spans="1:17" ht="15" customHeight="1" x14ac:dyDescent="0.2">
      <c r="A1513" s="26" t="s">
        <v>298</v>
      </c>
      <c r="B1513" s="27" t="s">
        <v>148</v>
      </c>
      <c r="C1513" s="27" t="s">
        <v>267</v>
      </c>
      <c r="D1513" s="29">
        <v>98</v>
      </c>
      <c r="E1513" s="26" t="s">
        <v>612</v>
      </c>
      <c r="F1513" s="28" t="s">
        <v>598</v>
      </c>
      <c r="G1513" s="28" t="s">
        <v>598</v>
      </c>
      <c r="H1513" s="28" t="s">
        <v>613</v>
      </c>
      <c r="I1513" s="30"/>
      <c r="J1513" s="30"/>
      <c r="K1513" s="31"/>
      <c r="L1513" s="31"/>
      <c r="M1513" s="31"/>
      <c r="N1513" s="32"/>
      <c r="O1513" s="32"/>
      <c r="P1513" s="30"/>
      <c r="Q1513" s="31"/>
    </row>
    <row r="1514" spans="1:17" ht="15" customHeight="1" x14ac:dyDescent="0.2">
      <c r="A1514" s="17" t="s">
        <v>306</v>
      </c>
      <c r="B1514" s="18" t="s">
        <v>148</v>
      </c>
      <c r="C1514" s="18" t="s">
        <v>267</v>
      </c>
      <c r="D1514" s="20">
        <v>365</v>
      </c>
      <c r="E1514" s="17" t="s">
        <v>612</v>
      </c>
      <c r="F1514" s="19" t="s">
        <v>598</v>
      </c>
      <c r="G1514" s="19" t="s">
        <v>598</v>
      </c>
      <c r="H1514" s="19" t="s">
        <v>613</v>
      </c>
      <c r="I1514" s="21">
        <v>8</v>
      </c>
      <c r="J1514" s="21"/>
      <c r="K1514" s="22">
        <v>184</v>
      </c>
      <c r="L1514" s="22"/>
      <c r="M1514" s="22"/>
      <c r="N1514" s="23"/>
      <c r="O1514" s="23"/>
      <c r="P1514" s="21">
        <v>2.19178082191781E-2</v>
      </c>
      <c r="Q1514" s="22">
        <v>0.50410958904109604</v>
      </c>
    </row>
  </sheetData>
  <autoFilter ref="A4:Q4" xr:uid="{00000000-0009-0000-0000-00000A000000}"/>
  <conditionalFormatting sqref="N5:N1514">
    <cfRule type="colorScale" priority="2">
      <colorScale>
        <cfvo type="num" val="-0.5"/>
        <cfvo type="num" val="0"/>
        <cfvo type="num" val="0.5"/>
        <color rgb="FF2E7D5B"/>
        <color rgb="FFFFFFFF"/>
        <color rgb="FFC0392B"/>
      </colorScale>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Instructions</vt:lpstr>
      <vt:lpstr>Per-Job Rollup</vt:lpstr>
      <vt:lpstr>Productivity Rates</vt:lpstr>
      <vt:lpstr>Phase Splits — Labor</vt:lpstr>
      <vt:lpstr>Phase Splits — Material</vt:lpstr>
      <vt:lpstr>Crew Composition</vt:lpstr>
      <vt:lpstr>Material Variance</vt:lpstr>
      <vt:lpstr>Bid Calibration</vt:lpstr>
      <vt:lpstr>Cost Code Calibration</vt:lpstr>
      <vt:lpstr>Cost Code 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Samuel Comer</cp:lastModifiedBy>
  <cp:revision>0</cp:revision>
  <dcterms:created xsi:type="dcterms:W3CDTF">2026-04-27T19:48:29Z</dcterms:created>
  <dcterms:modified xsi:type="dcterms:W3CDTF">2026-04-27T20:26:24Z</dcterms:modified>
  <dc:language>en-US</dc:language>
</cp:coreProperties>
</file>