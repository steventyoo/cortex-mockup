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2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#2029 · Exxel Pacific Parsonage</t>
        </is>
      </c>
    </row>
    <row r="3">
      <c r="B3" s="2" t="inlineStr">
        <is>
          <t>Cortex JCR Cortex v2  •  Exxel Pacific, Inc. (customer 2029EP)  •  Parsonage, WA  •  Owner: Exxel Pacific (self-performed developer)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2029</t>
        </is>
      </c>
      <c r="D6" s="6" t="n"/>
      <c r="E6" s="7" t="n"/>
      <c r="F6" s="8" t="inlineStr">
        <is>
          <t>2029 Job Detail Report.pdf (Sage Timberline, 04/03/2026, 190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Parsonage</t>
        </is>
      </c>
      <c r="D7" s="6" t="n"/>
      <c r="E7" s="7" t="n"/>
      <c r="F7" s="8" t="inlineStr">
        <is>
          <t>2029 Job Detail Report.pdf (Sage Timberline, 04/03/2026, 190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Parsonage — 296-unit new construction plumbing</t>
        </is>
      </c>
      <c r="D8" s="6" t="n"/>
      <c r="E8" s="7" t="n"/>
      <c r="F8" s="8" t="inlineStr">
        <is>
          <t>Exxel Pacific Parsonage Subcontract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Exxel Pacific Parsonage Subcontract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2029EP</t>
        </is>
      </c>
      <c r="D10" s="6" t="n"/>
      <c r="E10" s="7" t="n"/>
      <c r="F10" s="8" t="inlineStr">
        <is>
          <t>2029 Job Detail Report.pdf (Sage Timberline, 04/03/2026, 190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Exxel Pacific (self-performed developer)</t>
        </is>
      </c>
      <c r="D11" s="6" t="n"/>
      <c r="E11" s="7" t="n"/>
      <c r="F11" s="8" t="inlineStr">
        <is>
          <t>Exxel Pacific Parsonage Subcontract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Parsonage, WA</t>
        </is>
      </c>
      <c r="D12" s="6" t="n"/>
      <c r="E12" s="7" t="n"/>
      <c r="F12" s="8" t="inlineStr">
        <is>
          <t>Exxel Pacific Parsonage Subcontract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Exxel Pacific Parsonage Subcontract</t>
        </is>
      </c>
      <c r="D13" s="6" t="n"/>
      <c r="E13" s="7" t="n"/>
      <c r="F13" s="8" t="inlineStr">
        <is>
          <t>Lump Sum subcontract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Parsonage plumbing narrative (Div 22 plumbing narrative) + fixture schedule + proposal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Parsonage fixture schedule (fixture schedule for 296-unit multifamily)</t>
        </is>
      </c>
      <c r="D15" s="6" t="n"/>
      <c r="E15" s="7" t="n"/>
      <c r="F15" s="8" t="inlineStr">
        <is>
          <t>Referenced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Pacific Parsonage Proposal</t>
        </is>
      </c>
      <c r="D16" s="6" t="n"/>
      <c r="E16" s="7" t="n"/>
      <c r="F16" s="8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Exxel Pacific Parsonage Subcontract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Per PR/AR posting dates in JDR</t>
        </is>
      </c>
      <c r="D18" s="6" t="n"/>
      <c r="E18" s="7" t="n"/>
      <c r="F18" s="8" t="inlineStr">
        <is>
          <t>2029 Job Detail Report.pdf (Sage Timberline, 04/03/2026, 190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owp-2029/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1123747</v>
      </c>
      <c r="D22" s="9" t="n">
        <v>560158.01</v>
      </c>
      <c r="F22" s="9" t="n">
        <v>563588.99</v>
      </c>
      <c r="H22" s="10" t="n">
        <v>7596</v>
      </c>
    </row>
    <row r="23">
      <c r="B23" s="11" t="inlineStr">
        <is>
          <t>Original $1,113,220.00 + $10,527.00 COs (0.95%)</t>
        </is>
      </c>
      <c r="D23" s="11" t="inlineStr">
        <is>
          <t>49.8% margin</t>
        </is>
      </c>
      <c r="F23" s="11" t="inlineStr">
        <is>
          <t>50.2% of revenue</t>
        </is>
      </c>
      <c r="H23" s="11" t="inlineStr">
        <is>
          <t>21 workers</t>
        </is>
      </c>
    </row>
    <row r="26">
      <c r="B26" s="3" t="inlineStr">
        <is>
          <t>SCOPE OF WORK (from contract + proposal)</t>
        </is>
      </c>
    </row>
    <row r="27">
      <c r="B27" s="5" t="inlineStr">
        <is>
          <t>Full plumbing installation: underground, rough-in, finish, gas piping, water mains, insulation, mechanical room, and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296-unit multifamily new construction at Parsonage,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5 levels above ground, 1 level below grade (per Job Info).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Spec compliance: Current Building Code + UPC with Washington state amendments.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4">
      <c r="B34" s="12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8" t="inlineStr">
        <is>
          <t>Canonical financial source: 2029 Job Detail Report.pdf (Sage Timberline, 04/03/2026, 190 pages)</t>
        </is>
      </c>
      <c r="C35" s="6" t="n"/>
      <c r="D35" s="6" t="n"/>
      <c r="E35" s="6" t="n"/>
      <c r="F35" s="6" t="n"/>
      <c r="G35" s="6" t="n"/>
      <c r="H35" s="6" t="n"/>
      <c r="I35" s="6" t="n"/>
      <c r="J35" s="7" t="n"/>
    </row>
    <row r="36">
      <c r="B36" s="8" t="inlineStr">
        <is>
          <t>Job totals (JDR footer): Revenue $1,123,747.00 / Expenses $563,588.99 / Net $560,158.01 / Retainage $56,289.55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8" t="inlineStr">
        <is>
          <t>Source breakdown: GL $34,886.41 · AP $243,624.11 · PR $188,045.50 · AR $1,123,747.00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Contract: Exxel Pacific Parsonage Subcontract (Lump Sum $1,113,220.00, descoped to $1,123,747.00)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Proposal: Exxel Pacific Parsonage Proposal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Fixture schedule: Parsonage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Plumbing narrative: Parsonage plumbing narrative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</sheetData>
  <mergeCells count="43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C18:E18"/>
    <mergeCell ref="B41:J41"/>
    <mergeCell ref="B35:J35"/>
    <mergeCell ref="F13:J13"/>
    <mergeCell ref="C15:E15"/>
    <mergeCell ref="C6:E6"/>
    <mergeCell ref="F9:J9"/>
    <mergeCell ref="B3:J3"/>
    <mergeCell ref="C14:E14"/>
    <mergeCell ref="B31:J31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27 cost codes from JDR. Contract $1,113,220 → $1,123,747 (COs +$10,527.00).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8700</v>
      </c>
      <c r="E6" s="15" t="n">
        <v>8747</v>
      </c>
      <c r="F6" s="15" t="n">
        <v>3269.5</v>
      </c>
      <c r="G6" s="15">
        <f>F6-E6</f>
        <v/>
      </c>
      <c r="H6" s="16">
        <f>IF(E6=0,"",F6/E6)</f>
        <v/>
      </c>
      <c r="I6" s="17" t="n">
        <v>71.5</v>
      </c>
      <c r="J6" s="8" t="inlineStr">
        <is>
          <t>2029 Job Detail Report.pdf (Sage Timberline, 04/03/2026, 190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13700</v>
      </c>
      <c r="E7" s="15" t="n">
        <v>13896</v>
      </c>
      <c r="F7" s="15" t="n">
        <v>9512.5</v>
      </c>
      <c r="G7" s="15">
        <f>F7-E7</f>
        <v/>
      </c>
      <c r="H7" s="16">
        <f>IF(E7=0,"",F7/E7)</f>
        <v/>
      </c>
      <c r="I7" s="17" t="n">
        <v>203.5</v>
      </c>
      <c r="J7" s="8" t="inlineStr">
        <is>
          <t>2029 Job Detail Report.pdf (Sage Timberline, 04/03/2026, 190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11700</v>
      </c>
      <c r="E8" s="15" t="n">
        <v>12114.5</v>
      </c>
      <c r="F8" s="15" t="n">
        <v>12604</v>
      </c>
      <c r="G8" s="15">
        <f>F8-E8</f>
        <v/>
      </c>
      <c r="H8" s="16">
        <f>IF(E8=0,"",F8/E8)</f>
        <v/>
      </c>
      <c r="I8" s="17" t="n">
        <v>450</v>
      </c>
      <c r="J8" s="8" t="inlineStr">
        <is>
          <t>2029 Job Detail Report.pdf (Sage Timberline, 04/03/2026, 190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0</v>
      </c>
      <c r="E9" s="15" t="n">
        <v>0</v>
      </c>
      <c r="F9" s="15" t="n">
        <v>848</v>
      </c>
      <c r="G9" s="15">
        <f>F9-E9</f>
        <v/>
      </c>
      <c r="H9" s="16">
        <f>IF(E9=0,"",F9/E9)</f>
        <v/>
      </c>
      <c r="I9" s="17" t="n">
        <v>34</v>
      </c>
      <c r="J9" s="8" t="inlineStr">
        <is>
          <t>2029 Job Detail Report.pdf (Sage Timberline, 04/03/2026, 190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6800</v>
      </c>
      <c r="E10" s="15" t="n">
        <v>6800</v>
      </c>
      <c r="F10" s="15" t="n">
        <v>5435</v>
      </c>
      <c r="G10" s="15">
        <f>F10-E10</f>
        <v/>
      </c>
      <c r="H10" s="16">
        <f>IF(E10=0,"",F10/E10)</f>
        <v/>
      </c>
      <c r="I10" s="17" t="n">
        <v>188</v>
      </c>
      <c r="J10" s="8" t="inlineStr">
        <is>
          <t>2029 Job Detail Report.pdf (Sage Timberline, 04/03/2026, 190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148500</v>
      </c>
      <c r="E11" s="15" t="n">
        <v>149251</v>
      </c>
      <c r="F11" s="15" t="n">
        <v>103433</v>
      </c>
      <c r="G11" s="15">
        <f>F11-E11</f>
        <v/>
      </c>
      <c r="H11" s="16">
        <f>IF(E11=0,"",F11/E11)</f>
        <v/>
      </c>
      <c r="I11" s="17" t="n">
        <v>4553.5</v>
      </c>
      <c r="J11" s="8" t="inlineStr">
        <is>
          <t>2029 Job Detail Report.pdf (Sage Timberline, 04/03/2026, 190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26200</v>
      </c>
      <c r="E12" s="15" t="n">
        <v>26808</v>
      </c>
      <c r="F12" s="15" t="n">
        <v>25915.5</v>
      </c>
      <c r="G12" s="15">
        <f>F12-E12</f>
        <v/>
      </c>
      <c r="H12" s="16">
        <f>IF(E12=0,"",F12/E12)</f>
        <v/>
      </c>
      <c r="I12" s="17" t="n">
        <v>979</v>
      </c>
      <c r="J12" s="8" t="inlineStr">
        <is>
          <t>2029 Job Detail Report.pdf (Sage Timberline, 04/03/2026, 190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2400</v>
      </c>
      <c r="E13" s="15" t="n">
        <v>2856</v>
      </c>
      <c r="F13" s="15" t="n">
        <v>2133</v>
      </c>
      <c r="G13" s="15">
        <f>F13-E13</f>
        <v/>
      </c>
      <c r="H13" s="16">
        <f>IF(E13=0,"",F13/E13)</f>
        <v/>
      </c>
      <c r="I13" s="17" t="n">
        <v>90.5</v>
      </c>
      <c r="J13" s="8" t="inlineStr">
        <is>
          <t>2029 Job Detail Report.pdf (Sage Timberline, 04/03/2026, 190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28200</v>
      </c>
      <c r="E14" s="15" t="n">
        <v>28756</v>
      </c>
      <c r="F14" s="15" t="n">
        <v>12249</v>
      </c>
      <c r="G14" s="15">
        <f>F14-E14</f>
        <v/>
      </c>
      <c r="H14" s="16">
        <f>IF(E14=0,"",F14/E14)</f>
        <v/>
      </c>
      <c r="I14" s="17" t="n">
        <v>553</v>
      </c>
      <c r="J14" s="8" t="inlineStr">
        <is>
          <t>2029 Job Detail Report.pdf (Sage Timberline, 04/03/2026, 190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11400</v>
      </c>
      <c r="E15" s="15" t="n">
        <v>11400</v>
      </c>
      <c r="F15" s="15" t="n">
        <v>12326</v>
      </c>
      <c r="G15" s="15">
        <f>F15-E15</f>
        <v/>
      </c>
      <c r="H15" s="16">
        <f>IF(E15=0,"",F15/E15)</f>
        <v/>
      </c>
      <c r="I15" s="17" t="n">
        <v>465</v>
      </c>
      <c r="J15" s="8" t="inlineStr">
        <is>
          <t>2029 Job Detail Report.pdf (Sage Timberline, 04/03/2026, 190 pages)</t>
        </is>
      </c>
    </row>
    <row r="16">
      <c r="B16" s="14" t="inlineStr">
        <is>
          <t>150</t>
        </is>
      </c>
      <c r="C16" s="5" t="inlineStr">
        <is>
          <t>Warranty Labor</t>
        </is>
      </c>
      <c r="D16" s="15" t="n">
        <v>0</v>
      </c>
      <c r="E16" s="15" t="n">
        <v>0</v>
      </c>
      <c r="F16" s="15" t="n">
        <v>320</v>
      </c>
      <c r="G16" s="15">
        <f>F16-E16</f>
        <v/>
      </c>
      <c r="H16" s="16">
        <f>IF(E16=0,"",F16/E16)</f>
        <v/>
      </c>
      <c r="I16" s="17" t="n">
        <v>8</v>
      </c>
      <c r="J16" s="8" t="inlineStr">
        <is>
          <t>2029 Job Detail Report.pdf (Sage Timberline, 04/03/2026, 190 pages)</t>
        </is>
      </c>
    </row>
    <row r="17">
      <c r="B17" s="14" t="inlineStr">
        <is>
          <t>210</t>
        </is>
      </c>
      <c r="C17" s="5" t="inlineStr">
        <is>
          <t>Underground Material</t>
        </is>
      </c>
      <c r="D17" s="15" t="n">
        <v>13900</v>
      </c>
      <c r="E17" s="15" t="n">
        <v>14089</v>
      </c>
      <c r="F17" s="15" t="n">
        <v>10418.9</v>
      </c>
      <c r="G17" s="15">
        <f>F17-E17</f>
        <v/>
      </c>
      <c r="H17" s="16">
        <f>IF(E17=0,"",F17/E17)</f>
        <v/>
      </c>
      <c r="I17" s="17" t="inlineStr"/>
      <c r="J17" s="8" t="inlineStr">
        <is>
          <t>2029 Job Detail Report.pdf (Sage Timberline, 04/03/2026, 190 pages)</t>
        </is>
      </c>
    </row>
    <row r="18">
      <c r="B18" s="14" t="inlineStr">
        <is>
          <t>211</t>
        </is>
      </c>
      <c r="C18" s="5" t="inlineStr">
        <is>
          <t>Garage Material</t>
        </is>
      </c>
      <c r="D18" s="15" t="n">
        <v>0</v>
      </c>
      <c r="E18" s="15" t="n">
        <v>0</v>
      </c>
      <c r="F18" s="15" t="n">
        <v>467.8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2029 Job Detail Report.pdf (Sage Timberline, 04/03/2026, 190 pages)</t>
        </is>
      </c>
    </row>
    <row r="19">
      <c r="B19" s="14" t="inlineStr">
        <is>
          <t>212</t>
        </is>
      </c>
      <c r="C19" s="5" t="inlineStr">
        <is>
          <t>Canout Material</t>
        </is>
      </c>
      <c r="D19" s="15" t="n">
        <v>7500</v>
      </c>
      <c r="E19" s="15" t="n">
        <v>7500</v>
      </c>
      <c r="F19" s="15" t="n">
        <v>6161.22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2029 Job Detail Report.pdf (Sage Timberline, 04/03/2026, 190 pages)</t>
        </is>
      </c>
    </row>
    <row r="20">
      <c r="B20" s="14" t="inlineStr">
        <is>
          <t>220</t>
        </is>
      </c>
      <c r="C20" s="5" t="inlineStr">
        <is>
          <t>Roughin Material</t>
        </is>
      </c>
      <c r="D20" s="15" t="n">
        <v>79600</v>
      </c>
      <c r="E20" s="15" t="n">
        <v>80398</v>
      </c>
      <c r="F20" s="15" t="n">
        <v>63196.04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2029 Job Detail Report.pdf (Sage Timberline, 04/03/2026, 190 pages)</t>
        </is>
      </c>
    </row>
    <row r="21">
      <c r="B21" s="14" t="inlineStr">
        <is>
          <t>230</t>
        </is>
      </c>
      <c r="C21" s="5" t="inlineStr">
        <is>
          <t>Finish Material</t>
        </is>
      </c>
      <c r="D21" s="15" t="n">
        <v>94600</v>
      </c>
      <c r="E21" s="15" t="n">
        <v>95549.5</v>
      </c>
      <c r="F21" s="15" t="n">
        <v>82322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2029 Job Detail Report.pdf (Sage Timberline, 04/03/2026, 190 pages)</t>
        </is>
      </c>
    </row>
    <row r="22">
      <c r="B22" s="14" t="inlineStr">
        <is>
          <t>240</t>
        </is>
      </c>
      <c r="C22" s="5" t="inlineStr">
        <is>
          <t>Gas Material</t>
        </is>
      </c>
      <c r="D22" s="15" t="n">
        <v>2400</v>
      </c>
      <c r="E22" s="15" t="n">
        <v>2987</v>
      </c>
      <c r="F22" s="15" t="n">
        <v>1057.3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2029 Job Detail Report.pdf (Sage Timberline, 04/03/2026, 190 pages)</t>
        </is>
      </c>
    </row>
    <row r="23">
      <c r="B23" s="14" t="inlineStr">
        <is>
          <t>241</t>
        </is>
      </c>
      <c r="C23" s="5" t="inlineStr">
        <is>
          <t>Water Main/Insulation Mat</t>
        </is>
      </c>
      <c r="D23" s="15" t="n">
        <v>40200</v>
      </c>
      <c r="E23" s="15" t="n">
        <v>40200</v>
      </c>
      <c r="F23" s="15" t="n">
        <v>26177.22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2029 Job Detail Report.pdf (Sage Timberline, 04/03/2026, 190 pages)</t>
        </is>
      </c>
    </row>
    <row r="24">
      <c r="B24" s="14" t="inlineStr">
        <is>
          <t>242</t>
        </is>
      </c>
      <c r="C24" s="5" t="inlineStr">
        <is>
          <t>Mech Room Material</t>
        </is>
      </c>
      <c r="D24" s="15" t="n">
        <v>68600</v>
      </c>
      <c r="E24" s="15" t="n">
        <v>69326</v>
      </c>
      <c r="F24" s="15" t="n">
        <v>53061.22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2029 Job Detail Report.pdf (Sage Timberline, 04/03/2026, 190 pages)</t>
        </is>
      </c>
    </row>
    <row r="25">
      <c r="B25" s="14" t="inlineStr">
        <is>
          <t>243</t>
        </is>
      </c>
      <c r="C25" s="5" t="inlineStr">
        <is>
          <t>Condensation Drains Mat</t>
        </is>
      </c>
      <c r="D25" s="15" t="n">
        <v>0</v>
      </c>
      <c r="E25" s="15" t="n">
        <v>0</v>
      </c>
      <c r="F25" s="15" t="n">
        <v>13.2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2029 Job Detail Report.pdf (Sage Timberline, 04/03/2026, 190 pages)</t>
        </is>
      </c>
    </row>
    <row r="26">
      <c r="B26" s="14" t="inlineStr">
        <is>
          <t>600</t>
        </is>
      </c>
      <c r="C26" s="5" t="inlineStr">
        <is>
          <t>Subcontractor</t>
        </is>
      </c>
      <c r="D26" s="15" t="n">
        <v>2500</v>
      </c>
      <c r="E26" s="15" t="n">
        <v>2744.5</v>
      </c>
      <c r="F26" s="15" t="n">
        <v>1566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2029 Job Detail Report.pdf (Sage Timberline, 04/03/2026, 190 pages)</t>
        </is>
      </c>
    </row>
    <row r="27">
      <c r="B27" s="14" t="inlineStr">
        <is>
          <t>601</t>
        </is>
      </c>
      <c r="C27" s="5" t="inlineStr">
        <is>
          <t>Engineering/Plans</t>
        </is>
      </c>
      <c r="D27" s="15" t="n">
        <v>22000</v>
      </c>
      <c r="E27" s="15" t="n">
        <v>22000</v>
      </c>
      <c r="F27" s="15" t="n">
        <v>20121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2029 Job Detail Report.pdf (Sage Timberline, 04/03/2026, 190 pages)</t>
        </is>
      </c>
    </row>
    <row r="28">
      <c r="B28" s="14" t="inlineStr">
        <is>
          <t>603</t>
        </is>
      </c>
      <c r="C28" s="5" t="inlineStr">
        <is>
          <t>Permits &amp; Licenses</t>
        </is>
      </c>
      <c r="D28" s="15" t="n">
        <v>5600</v>
      </c>
      <c r="E28" s="15" t="n">
        <v>5740</v>
      </c>
      <c r="F28" s="15" t="n">
        <v>4247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2029 Job Detail Report.pdf (Sage Timberline, 04/03/2026, 190 pages)</t>
        </is>
      </c>
    </row>
    <row r="29">
      <c r="B29" s="14" t="inlineStr">
        <is>
          <t>607</t>
        </is>
      </c>
      <c r="C29" s="5" t="inlineStr">
        <is>
          <t>Other Expenses</t>
        </is>
      </c>
      <c r="D29" s="15" t="n">
        <v>14500</v>
      </c>
      <c r="E29" s="15" t="n">
        <v>14500</v>
      </c>
      <c r="F29" s="15" t="n">
        <v>8952.41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2029 Job Detail Report.pdf (Sage Timberline, 04/03/2026, 190 pages)</t>
        </is>
      </c>
    </row>
    <row r="30">
      <c r="B30" s="14" t="inlineStr">
        <is>
          <t>995</t>
        </is>
      </c>
      <c r="C30" s="5" t="inlineStr">
        <is>
          <t>Payroll Burden</t>
        </is>
      </c>
      <c r="D30" s="15" t="n">
        <v>117128.35</v>
      </c>
      <c r="E30" s="15" t="n">
        <v>118491.17</v>
      </c>
      <c r="F30" s="15" t="n">
        <v>83396.48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2029 Job Detail Report.pdf (Sage Timberline, 04/03/2026, 190 pages)</t>
        </is>
      </c>
    </row>
    <row r="31">
      <c r="B31" s="14" t="inlineStr">
        <is>
          <t>998</t>
        </is>
      </c>
      <c r="C31" s="5" t="inlineStr">
        <is>
          <t>Payroll Taxes</t>
        </is>
      </c>
      <c r="D31" s="15" t="n">
        <v>20203.65</v>
      </c>
      <c r="E31" s="15" t="n">
        <v>20435.34</v>
      </c>
      <c r="F31" s="15" t="n">
        <v>14385.7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2029 Job Detail Report.pdf (Sage Timberline, 04/03/2026, 190 pages)</t>
        </is>
      </c>
    </row>
    <row r="32">
      <c r="B32" s="14" t="inlineStr">
        <is>
          <t>999</t>
        </is>
      </c>
      <c r="C32" s="5" t="inlineStr">
        <is>
          <t>Sales</t>
        </is>
      </c>
      <c r="D32" s="15" t="n">
        <v>-1113220</v>
      </c>
      <c r="E32" s="15" t="n">
        <v>-1123747</v>
      </c>
      <c r="F32" s="15" t="n">
        <v>-1123747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2029 Job Detail Report.pdf (Sage Timberline, 04/03/2026, 190 pages)</t>
        </is>
      </c>
    </row>
    <row r="33">
      <c r="B33" s="18" t="inlineStr">
        <is>
          <t>TOTAL</t>
        </is>
      </c>
      <c r="D33" s="19">
        <f>SUM(D6:D32)</f>
        <v/>
      </c>
      <c r="E33" s="19">
        <f>SUM(E6:E32)</f>
        <v/>
      </c>
      <c r="F33" s="19">
        <f>SUM(F6:F32)</f>
        <v/>
      </c>
      <c r="G33" s="19">
        <f>F33-E33</f>
        <v/>
      </c>
      <c r="I33" s="10">
        <f>SUM(I6:I32)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100,101,110,111,112,120,130,140,141,142,150</t>
        </is>
      </c>
      <c r="D6" s="20" t="n">
        <v>188045.5</v>
      </c>
      <c r="E6" s="16">
        <f>D6/$D$11</f>
        <v/>
      </c>
      <c r="F6" s="16">
        <f>D6/1123747.0</f>
        <v/>
      </c>
      <c r="G6" s="8" t="inlineStr">
        <is>
          <t>2029 Job Detail Report.pdf (Sage Timberline, 04/03/2026, 190 pages)</t>
        </is>
      </c>
    </row>
    <row r="7">
      <c r="B7" s="4" t="inlineStr">
        <is>
          <t>Material</t>
        </is>
      </c>
      <c r="C7" s="14" t="inlineStr">
        <is>
          <t>210,211,212,220,230,240,241,242,243</t>
        </is>
      </c>
      <c r="D7" s="20" t="n">
        <v>242874.9</v>
      </c>
      <c r="E7" s="16">
        <f>D7/$D$11</f>
        <v/>
      </c>
      <c r="F7" s="16">
        <f>D7/1123747.0</f>
        <v/>
      </c>
      <c r="G7" s="8" t="inlineStr">
        <is>
          <t>2029 Job Detail Report.pdf (Sage Timberline, 04/03/2026, 190 pages)</t>
        </is>
      </c>
    </row>
    <row r="8">
      <c r="B8" s="4" t="inlineStr">
        <is>
          <t>Subcontractor + Engineering + Permits + Other</t>
        </is>
      </c>
      <c r="C8" s="14" t="inlineStr">
        <is>
          <t>600,601,603,607</t>
        </is>
      </c>
      <c r="D8" s="20" t="n">
        <v>34886.41</v>
      </c>
      <c r="E8" s="16">
        <f>D8/$D$11</f>
        <v/>
      </c>
      <c r="F8" s="16">
        <f>D8/1123747.0</f>
        <v/>
      </c>
      <c r="G8" s="8" t="inlineStr">
        <is>
          <t>2029 Job Detail Report.pdf (Sage Timberline, 04/03/2026, 190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83396.48</v>
      </c>
      <c r="E9" s="16">
        <f>D9/$D$11</f>
        <v/>
      </c>
      <c r="F9" s="16">
        <f>D9/1123747.0</f>
        <v/>
      </c>
      <c r="G9" s="8" t="inlineStr">
        <is>
          <t>2029 Job Detail Report.pdf (Sage Timberline, 04/03/2026, 190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14385.7</v>
      </c>
      <c r="E10" s="16">
        <f>D10/$D$11</f>
        <v/>
      </c>
      <c r="F10" s="16">
        <f>D10/1123747.0</f>
        <v/>
      </c>
      <c r="G10" s="8" t="inlineStr">
        <is>
          <t>2029 Job Detail Report.pdf (Sage Timberline, 04/03/2026, 190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D11/1123747.0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2029KS</t>
        </is>
      </c>
      <c r="C6" s="5" t="inlineStr">
        <is>
          <t>Keller Supply Company $Parsonage</t>
        </is>
      </c>
      <c r="D6" s="15" t="n">
        <v>96387.89000000004</v>
      </c>
      <c r="E6" s="14" t="n">
        <v>77</v>
      </c>
      <c r="F6" s="14" t="inlineStr">
        <is>
          <t>Plumbing / Supplies</t>
        </is>
      </c>
      <c r="G6" s="8" t="inlineStr">
        <is>
          <t>2029 Job Detail Report.pdf (Sage Timberline, 04/03/2026, 190 pages)</t>
        </is>
      </c>
    </row>
    <row r="7">
      <c r="B7" s="14" t="inlineStr">
        <is>
          <t>2029RS</t>
        </is>
      </c>
      <c r="C7" s="5" t="inlineStr">
        <is>
          <t>Rosen Supply Company, Inc. $Parsonage</t>
        </is>
      </c>
      <c r="D7" s="15" t="n">
        <v>70473.24999999999</v>
      </c>
      <c r="E7" s="14" t="n">
        <v>51</v>
      </c>
      <c r="F7" s="14" t="inlineStr">
        <is>
          <t>Plumbing / Supplies</t>
        </is>
      </c>
      <c r="G7" s="8" t="inlineStr">
        <is>
          <t>2029 Job Detail Report.pdf (Sage Timberline, 04/03/2026, 190 pages)</t>
        </is>
      </c>
    </row>
    <row r="8">
      <c r="B8" s="14" t="inlineStr">
        <is>
          <t>2029CS</t>
        </is>
      </c>
      <c r="C8" s="5" t="inlineStr">
        <is>
          <t>Consolidated Supply Co. $Parsonage</t>
        </is>
      </c>
      <c r="D8" s="15" t="n">
        <v>24212.57000000001</v>
      </c>
      <c r="E8" s="14" t="n">
        <v>20</v>
      </c>
      <c r="F8" s="14" t="inlineStr">
        <is>
          <t>Plumbing / Supplies</t>
        </is>
      </c>
      <c r="G8" s="8" t="inlineStr">
        <is>
          <t>2029 Job Detail Report.pdf (Sage Timberline, 04/03/2026, 190 pages)</t>
        </is>
      </c>
    </row>
    <row r="9">
      <c r="B9" s="14" t="inlineStr">
        <is>
          <t>1625FE</t>
        </is>
      </c>
      <c r="C9" s="5" t="inlineStr">
        <is>
          <t>Franklin Engineering</t>
        </is>
      </c>
      <c r="D9" s="15" t="n">
        <v>20121</v>
      </c>
      <c r="E9" s="14" t="n">
        <v>8</v>
      </c>
      <c r="F9" s="14" t="inlineStr">
        <is>
          <t>Engineering (601)</t>
        </is>
      </c>
      <c r="G9" s="8" t="inlineStr">
        <is>
          <t>2029 Job Detail Report.pdf (Sage Timberline, 04/03/2026, 190 pages)</t>
        </is>
      </c>
    </row>
    <row r="10">
      <c r="B10" s="14" t="inlineStr">
        <is>
          <t>3612MS</t>
        </is>
      </c>
      <c r="C10" s="5" t="inlineStr">
        <is>
          <t>Mechanical Sales, Inc.</t>
        </is>
      </c>
      <c r="D10" s="15" t="n">
        <v>19209.79</v>
      </c>
      <c r="E10" s="14" t="n">
        <v>3</v>
      </c>
      <c r="F10" s="14" t="inlineStr">
        <is>
          <t>Plumbing / Supplies</t>
        </is>
      </c>
      <c r="G10" s="8" t="inlineStr">
        <is>
          <t>2029 Job Detail Report.pdf (Sage Timberline, 04/03/2026, 190 pages)</t>
        </is>
      </c>
    </row>
    <row r="11">
      <c r="B11" s="14" t="inlineStr">
        <is>
          <t>1234CO</t>
        </is>
      </c>
      <c r="C11" s="5" t="inlineStr">
        <is>
          <t>Capital One Credit Card</t>
        </is>
      </c>
      <c r="D11" s="15" t="n">
        <v>5808.820000000002</v>
      </c>
      <c r="E11" s="14" t="n">
        <v>23</v>
      </c>
      <c r="F11" s="14" t="inlineStr">
        <is>
          <t>Credit Card (mixed)</t>
        </is>
      </c>
      <c r="G11" s="8" t="inlineStr">
        <is>
          <t>2029 Job Detail Report.pdf (Sage Timberline, 04/03/2026, 190 pages)</t>
        </is>
      </c>
    </row>
    <row r="12">
      <c r="B12" s="14" t="inlineStr">
        <is>
          <t>1234BA</t>
        </is>
      </c>
      <c r="C12" s="5" t="inlineStr">
        <is>
          <t>Bank of America CC</t>
        </is>
      </c>
      <c r="D12" s="15" t="n">
        <v>4107</v>
      </c>
      <c r="E12" s="14" t="n">
        <v>3</v>
      </c>
      <c r="F12" s="14" t="inlineStr">
        <is>
          <t>Credit Card (mixed)</t>
        </is>
      </c>
      <c r="G12" s="8" t="inlineStr">
        <is>
          <t>2029 Job Detail Report.pdf (Sage Timberline, 04/03/2026, 190 pages)</t>
        </is>
      </c>
    </row>
    <row r="13">
      <c r="B13" s="14" t="inlineStr">
        <is>
          <t>2029FE</t>
        </is>
      </c>
      <c r="C13" s="5" t="inlineStr">
        <is>
          <t>Ferguson Enterprises, Inc.$Parsonage</t>
        </is>
      </c>
      <c r="D13" s="15" t="n">
        <v>1532.94</v>
      </c>
      <c r="E13" s="14" t="n">
        <v>4</v>
      </c>
      <c r="F13" s="14" t="inlineStr">
        <is>
          <t>Plumbing / Supplies</t>
        </is>
      </c>
      <c r="G13" s="8" t="inlineStr">
        <is>
          <t>2029 Job Detail Report.pdf (Sage Timberline, 04/03/2026, 190 pages)</t>
        </is>
      </c>
    </row>
    <row r="14">
      <c r="B14" s="14" t="inlineStr">
        <is>
          <t>1504CA</t>
        </is>
      </c>
      <c r="C14" s="5" t="inlineStr">
        <is>
          <t>Chip Away Bathtub Repair, Inc.</t>
        </is>
      </c>
      <c r="D14" s="15" t="n">
        <v>1425</v>
      </c>
      <c r="E14" s="14" t="n">
        <v>1</v>
      </c>
      <c r="F14" s="14" t="inlineStr">
        <is>
          <t>Uncategorized</t>
        </is>
      </c>
      <c r="G14" s="8" t="inlineStr">
        <is>
          <t>2029 Job Detail Report.pdf (Sage Timberline, 04/03/2026, 190 pages)</t>
        </is>
      </c>
    </row>
    <row r="15">
      <c r="B15" s="14" t="inlineStr">
        <is>
          <t>1421RA</t>
        </is>
      </c>
      <c r="C15" s="5" t="inlineStr">
        <is>
          <t>R.A. Brown Backflow Testing</t>
        </is>
      </c>
      <c r="D15" s="15" t="n">
        <v>141</v>
      </c>
      <c r="E15" s="14" t="n">
        <v>1</v>
      </c>
      <c r="F15" s="14" t="inlineStr">
        <is>
          <t>Testing subcontractor</t>
        </is>
      </c>
      <c r="G15" s="8" t="inlineStr">
        <is>
          <t>2029 Job Detail Report.pdf (Sage Timberline, 04/03/2026, 190 pages)</t>
        </is>
      </c>
    </row>
    <row r="16">
      <c r="B16" s="14" t="inlineStr">
        <is>
          <t>1380RS</t>
        </is>
      </c>
      <c r="C16" s="5" t="inlineStr">
        <is>
          <t>Rosen Supply Kirkland</t>
        </is>
      </c>
      <c r="D16" s="15" t="n">
        <v>114.75</v>
      </c>
      <c r="E16" s="14" t="n">
        <v>2</v>
      </c>
      <c r="F16" s="14" t="inlineStr">
        <is>
          <t>Plumbing / Supplies</t>
        </is>
      </c>
      <c r="G16" s="8" t="inlineStr">
        <is>
          <t>2029 Job Detail Report.pdf (Sage Timberline, 04/03/2026, 190 pages)</t>
        </is>
      </c>
    </row>
    <row r="17">
      <c r="B17" s="14" t="inlineStr">
        <is>
          <t>1609QC</t>
        </is>
      </c>
      <c r="C17" s="5" t="inlineStr">
        <is>
          <t>Quality Concrete Products, Inc. $32</t>
        </is>
      </c>
      <c r="D17" s="15" t="n">
        <v>59</v>
      </c>
      <c r="E17" s="14" t="n">
        <v>1</v>
      </c>
      <c r="F17" s="14" t="inlineStr">
        <is>
          <t>Uncategorized</t>
        </is>
      </c>
      <c r="G17" s="8" t="inlineStr">
        <is>
          <t>2029 Job Detail Report.pdf (Sage Timberline, 04/03/2026, 190 pages)</t>
        </is>
      </c>
    </row>
    <row r="18">
      <c r="B18" s="14" t="inlineStr">
        <is>
          <t>1231KS</t>
        </is>
      </c>
      <c r="C18" s="5" t="inlineStr">
        <is>
          <t>Keller Supply Company</t>
        </is>
      </c>
      <c r="D18" s="15" t="n">
        <v>31.1</v>
      </c>
      <c r="E18" s="14" t="n">
        <v>1</v>
      </c>
      <c r="F18" s="14" t="inlineStr">
        <is>
          <t>Plumbing / Supplies</t>
        </is>
      </c>
      <c r="G18" s="8" t="inlineStr">
        <is>
          <t>2029 Job Detail Report.pdf (Sage Timberline, 04/03/2026, 190 pages)</t>
        </is>
      </c>
    </row>
    <row r="19">
      <c r="B19" s="14" t="inlineStr">
        <is>
          <t>2028RS</t>
        </is>
      </c>
      <c r="C19" s="5" t="inlineStr">
        <is>
          <t>Rosen Supply Company $Reserve@Lynnwood</t>
        </is>
      </c>
      <c r="D19" s="15" t="n">
        <v>0</v>
      </c>
      <c r="E19" s="14" t="n">
        <v>2</v>
      </c>
      <c r="F19" s="14" t="inlineStr">
        <is>
          <t>Plumbing / Supplies</t>
        </is>
      </c>
      <c r="G19" s="8" t="inlineStr">
        <is>
          <t>2029 Job Detail Report.pdf (Sage Timberline, 04/03/2026, 190 pages)</t>
        </is>
      </c>
    </row>
    <row r="20">
      <c r="B20" s="14" t="inlineStr">
        <is>
          <t>2027RS</t>
        </is>
      </c>
      <c r="C20" s="5" t="inlineStr">
        <is>
          <t>Rosen Supply Company, Inc. $550 Broadway</t>
        </is>
      </c>
      <c r="D20" s="15" t="n">
        <v>0</v>
      </c>
      <c r="E20" s="14" t="n">
        <v>2</v>
      </c>
      <c r="F20" s="14" t="inlineStr">
        <is>
          <t>Plumbing / Supplies</t>
        </is>
      </c>
      <c r="G20" s="8" t="inlineStr">
        <is>
          <t>2029 Job Detail Report.pdf (Sage Timberline, 04/03/2026, 190 pages)</t>
        </is>
      </c>
    </row>
    <row r="21">
      <c r="B21" s="18" t="inlineStr">
        <is>
          <t>TOTAL</t>
        </is>
      </c>
      <c r="D21" s="21">
        <f>SUM(D6:D20)</f>
        <v/>
      </c>
      <c r="E21" s="23">
        <f>SUM(E6:E20)</f>
        <v/>
      </c>
    </row>
    <row r="23">
      <c r="B23" s="24" t="inlineStr">
        <is>
          <t>NOTE: AP total per JDR footer = $243,624.11. Vendor sum above approximates this. Submittals folder (Submittals/) contains 19 fixture + 10 material + 1 UG submittal documenting approved products. POs folder shows 82 POs (7 placed, 19 scheduled, 56 completed).</t>
        </is>
      </c>
      <c r="C23" s="6" t="n"/>
      <c r="D23" s="6" t="n"/>
      <c r="E23" s="6" t="n"/>
      <c r="F23" s="6" t="n"/>
      <c r="G23" s="7" t="n"/>
    </row>
  </sheetData>
  <mergeCells count="3">
    <mergeCell ref="B3:J3"/>
    <mergeCell ref="B23:G2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21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HO14</t>
        </is>
      </c>
      <c r="C6" s="5" t="inlineStr">
        <is>
          <t>Holmes, Anthony R</t>
        </is>
      </c>
      <c r="D6" s="17" t="n">
        <v>1575</v>
      </c>
      <c r="E6" s="20" t="n">
        <v>35832</v>
      </c>
      <c r="F6" s="20">
        <f>IF(D6=0,0,E6/D6)</f>
        <v/>
      </c>
      <c r="G6" s="14" t="n">
        <v>46</v>
      </c>
      <c r="H6" s="8" t="inlineStr">
        <is>
          <t>2029 Job Detail Report.pdf (Sage Timberline, 04/03/2026, 190 pages)</t>
        </is>
      </c>
    </row>
    <row r="7">
      <c r="B7" s="14" t="inlineStr">
        <is>
          <t>AN14</t>
        </is>
      </c>
      <c r="C7" s="5" t="inlineStr">
        <is>
          <t>Anderson, Richard P</t>
        </is>
      </c>
      <c r="D7" s="17" t="n">
        <v>1356</v>
      </c>
      <c r="E7" s="20" t="n">
        <v>51887.5</v>
      </c>
      <c r="F7" s="20">
        <f>IF(D7=0,0,E7/D7)</f>
        <v/>
      </c>
      <c r="G7" s="14" t="n">
        <v>58</v>
      </c>
      <c r="H7" s="8" t="inlineStr">
        <is>
          <t>2029 Job Detail Report.pdf (Sage Timberline, 04/03/2026, 190 pages)</t>
        </is>
      </c>
    </row>
    <row r="8">
      <c r="B8" s="14" t="inlineStr">
        <is>
          <t>BA68</t>
        </is>
      </c>
      <c r="C8" s="5" t="inlineStr">
        <is>
          <t>Barbosa, Michael S</t>
        </is>
      </c>
      <c r="D8" s="17" t="n">
        <v>939</v>
      </c>
      <c r="E8" s="20" t="n">
        <v>16979</v>
      </c>
      <c r="F8" s="20">
        <f>IF(D8=0,0,E8/D8)</f>
        <v/>
      </c>
      <c r="G8" s="14" t="n">
        <v>26</v>
      </c>
      <c r="H8" s="8" t="inlineStr">
        <is>
          <t>2029 Job Detail Report.pdf (Sage Timberline, 04/03/2026, 190 pages)</t>
        </is>
      </c>
    </row>
    <row r="9">
      <c r="B9" s="14" t="inlineStr">
        <is>
          <t>KI55</t>
        </is>
      </c>
      <c r="C9" s="5" t="inlineStr">
        <is>
          <t>Kinssies, Jr, John E</t>
        </is>
      </c>
      <c r="D9" s="17" t="n">
        <v>908</v>
      </c>
      <c r="E9" s="20" t="n">
        <v>17694</v>
      </c>
      <c r="F9" s="20">
        <f>IF(D9=0,0,E9/D9)</f>
        <v/>
      </c>
      <c r="G9" s="14" t="n">
        <v>35</v>
      </c>
      <c r="H9" s="8" t="inlineStr">
        <is>
          <t>2029 Job Detail Report.pdf (Sage Timberline, 04/03/2026, 190 pages)</t>
        </is>
      </c>
    </row>
    <row r="10">
      <c r="B10" s="14" t="inlineStr">
        <is>
          <t>ME52</t>
        </is>
      </c>
      <c r="C10" s="5" t="inlineStr">
        <is>
          <t>Mendoza, Edgar E</t>
        </is>
      </c>
      <c r="D10" s="17" t="n">
        <v>547</v>
      </c>
      <c r="E10" s="20" t="n">
        <v>8755</v>
      </c>
      <c r="F10" s="20">
        <f>IF(D10=0,0,E10/D10)</f>
        <v/>
      </c>
      <c r="G10" s="14" t="n">
        <v>16</v>
      </c>
      <c r="H10" s="8" t="inlineStr">
        <is>
          <t>2029 Job Detail Report.pdf (Sage Timberline, 04/03/2026, 190 pages)</t>
        </is>
      </c>
    </row>
    <row r="11">
      <c r="B11" s="14" t="inlineStr">
        <is>
          <t>AS10</t>
        </is>
      </c>
      <c r="C11" s="5" t="inlineStr">
        <is>
          <t>Ascencio, Jose L</t>
        </is>
      </c>
      <c r="D11" s="17" t="n">
        <v>496</v>
      </c>
      <c r="E11" s="20" t="n">
        <v>9424</v>
      </c>
      <c r="F11" s="20">
        <f>IF(D11=0,0,E11/D11)</f>
        <v/>
      </c>
      <c r="G11" s="14" t="n">
        <v>14</v>
      </c>
      <c r="H11" s="8" t="inlineStr">
        <is>
          <t>2029 Job Detail Report.pdf (Sage Timberline, 04/03/2026, 190 pages)</t>
        </is>
      </c>
    </row>
    <row r="12">
      <c r="B12" s="14" t="inlineStr">
        <is>
          <t>PH03</t>
        </is>
      </c>
      <c r="C12" s="5" t="inlineStr">
        <is>
          <t>Phaysith, Alexander B</t>
        </is>
      </c>
      <c r="D12" s="17" t="n">
        <v>473.5</v>
      </c>
      <c r="E12" s="20" t="n">
        <v>6629</v>
      </c>
      <c r="F12" s="20">
        <f>IF(D12=0,0,E12/D12)</f>
        <v/>
      </c>
      <c r="G12" s="14" t="n">
        <v>14</v>
      </c>
      <c r="H12" s="8" t="inlineStr">
        <is>
          <t>2029 Job Detail Report.pdf (Sage Timberline, 04/03/2026, 190 pages)</t>
        </is>
      </c>
    </row>
    <row r="13">
      <c r="B13" s="14" t="inlineStr">
        <is>
          <t>LI49</t>
        </is>
      </c>
      <c r="C13" s="5" t="inlineStr">
        <is>
          <t>Lima Romero, Melvin A</t>
        </is>
      </c>
      <c r="D13" s="17" t="n">
        <v>469</v>
      </c>
      <c r="E13" s="20" t="n">
        <v>13132</v>
      </c>
      <c r="F13" s="20">
        <f>IF(D13=0,0,E13/D13)</f>
        <v/>
      </c>
      <c r="G13" s="14" t="n">
        <v>13</v>
      </c>
      <c r="H13" s="8" t="inlineStr">
        <is>
          <t>2029 Job Detail Report.pdf (Sage Timberline, 04/03/2026, 190 pages)</t>
        </is>
      </c>
    </row>
    <row r="14">
      <c r="B14" s="14" t="inlineStr">
        <is>
          <t>RO12</t>
        </is>
      </c>
      <c r="C14" s="5" t="inlineStr">
        <is>
          <t>Rodriguez Rodriguez, Aminadab N</t>
        </is>
      </c>
      <c r="D14" s="17" t="n">
        <v>269</v>
      </c>
      <c r="E14" s="20" t="n">
        <v>5649</v>
      </c>
      <c r="F14" s="20">
        <f>IF(D14=0,0,E14/D14)</f>
        <v/>
      </c>
      <c r="G14" s="14" t="n">
        <v>7</v>
      </c>
      <c r="H14" s="8" t="inlineStr">
        <is>
          <t>2029 Job Detail Report.pdf (Sage Timberline, 04/03/2026, 190 pages)</t>
        </is>
      </c>
    </row>
    <row r="15">
      <c r="B15" s="14" t="inlineStr">
        <is>
          <t>GE69</t>
        </is>
      </c>
      <c r="C15" s="5" t="inlineStr">
        <is>
          <t>Gerard, Jeffrey S</t>
        </is>
      </c>
      <c r="D15" s="17" t="n">
        <v>156</v>
      </c>
      <c r="E15" s="20" t="n">
        <v>7075</v>
      </c>
      <c r="F15" s="20">
        <f>IF(D15=0,0,E15/D15)</f>
        <v/>
      </c>
      <c r="G15" s="14" t="n">
        <v>48</v>
      </c>
      <c r="H15" s="8" t="inlineStr">
        <is>
          <t>2029 Job Detail Report.pdf (Sage Timberline, 04/03/2026, 190 pages)</t>
        </is>
      </c>
    </row>
    <row r="16">
      <c r="B16" s="14" t="inlineStr">
        <is>
          <t>DO56</t>
        </is>
      </c>
      <c r="C16" s="5" t="inlineStr">
        <is>
          <t>Donelson, Richard T</t>
        </is>
      </c>
      <c r="D16" s="17" t="n">
        <v>119</v>
      </c>
      <c r="E16" s="20" t="n">
        <v>5707</v>
      </c>
      <c r="F16" s="20">
        <f>IF(D16=0,0,E16/D16)</f>
        <v/>
      </c>
      <c r="G16" s="14" t="n">
        <v>50</v>
      </c>
      <c r="H16" s="8" t="inlineStr">
        <is>
          <t>2029 Job Detail Report.pdf (Sage Timberline, 04/03/2026, 190 pages)</t>
        </is>
      </c>
    </row>
    <row r="17">
      <c r="B17" s="14" t="inlineStr">
        <is>
          <t>BA70</t>
        </is>
      </c>
      <c r="C17" s="5" t="inlineStr">
        <is>
          <t>Barnhart, Joseph N</t>
        </is>
      </c>
      <c r="D17" s="17" t="n">
        <v>83.5</v>
      </c>
      <c r="E17" s="20" t="n">
        <v>3109</v>
      </c>
      <c r="F17" s="20">
        <f>IF(D17=0,0,E17/D17)</f>
        <v/>
      </c>
      <c r="G17" s="14" t="n">
        <v>17</v>
      </c>
      <c r="H17" s="8" t="inlineStr">
        <is>
          <t>2029 Job Detail Report.pdf (Sage Timberline, 04/03/2026, 190 pages)</t>
        </is>
      </c>
    </row>
    <row r="18">
      <c r="B18" s="14" t="inlineStr">
        <is>
          <t>RE18</t>
        </is>
      </c>
      <c r="C18" s="5" t="inlineStr">
        <is>
          <t>Reed, Reuben H</t>
        </is>
      </c>
      <c r="D18" s="17" t="n">
        <v>76.5</v>
      </c>
      <c r="E18" s="20" t="n">
        <v>2754</v>
      </c>
      <c r="F18" s="20">
        <f>IF(D18=0,0,E18/D18)</f>
        <v/>
      </c>
      <c r="G18" s="14" t="n">
        <v>3</v>
      </c>
      <c r="H18" s="8" t="inlineStr">
        <is>
          <t>2029 Job Detail Report.pdf (Sage Timberline, 04/03/2026, 190 pages)</t>
        </is>
      </c>
    </row>
    <row r="19">
      <c r="B19" s="14" t="inlineStr">
        <is>
          <t>HU04</t>
        </is>
      </c>
      <c r="C19" s="5" t="inlineStr">
        <is>
          <t>Hubbard, Dustin R</t>
        </is>
      </c>
      <c r="D19" s="17" t="n">
        <v>44</v>
      </c>
      <c r="E19" s="20" t="n">
        <v>828</v>
      </c>
      <c r="F19" s="20">
        <f>IF(D19=0,0,E19/D19)</f>
        <v/>
      </c>
      <c r="G19" s="14" t="n">
        <v>13</v>
      </c>
      <c r="H19" s="8" t="inlineStr">
        <is>
          <t>2029 Job Detail Report.pdf (Sage Timberline, 04/03/2026, 190 pages)</t>
        </is>
      </c>
    </row>
    <row r="20">
      <c r="B20" s="14" t="inlineStr">
        <is>
          <t>CO73</t>
        </is>
      </c>
      <c r="C20" s="5" t="inlineStr">
        <is>
          <t>Cortes Sepulveda, Jose R</t>
        </is>
      </c>
      <c r="D20" s="17" t="n">
        <v>37</v>
      </c>
      <c r="E20" s="20" t="n">
        <v>703</v>
      </c>
      <c r="F20" s="20">
        <f>IF(D20=0,0,E20/D20)</f>
        <v/>
      </c>
      <c r="G20" s="14" t="n">
        <v>2</v>
      </c>
      <c r="H20" s="8" t="inlineStr">
        <is>
          <t>2029 Job Detail Report.pdf (Sage Timberline, 04/03/2026, 190 pages)</t>
        </is>
      </c>
    </row>
    <row r="21">
      <c r="B21" s="14" t="inlineStr">
        <is>
          <t>HU06</t>
        </is>
      </c>
      <c r="C21" s="5" t="inlineStr">
        <is>
          <t>Hubbard, Robert W</t>
        </is>
      </c>
      <c r="D21" s="17" t="n">
        <v>24.5</v>
      </c>
      <c r="E21" s="20" t="n">
        <v>1029</v>
      </c>
      <c r="F21" s="20">
        <f>IF(D21=0,0,E21/D21)</f>
        <v/>
      </c>
      <c r="G21" s="14" t="n">
        <v>5</v>
      </c>
      <c r="H21" s="8" t="inlineStr">
        <is>
          <t>2029 Job Detail Report.pdf (Sage Timberline, 04/03/2026, 190 pages)</t>
        </is>
      </c>
    </row>
    <row r="22">
      <c r="B22" s="14" t="inlineStr">
        <is>
          <t>SA54</t>
        </is>
      </c>
      <c r="C22" s="5" t="inlineStr">
        <is>
          <t>Sanders, Allen O</t>
        </is>
      </c>
      <c r="D22" s="17" t="n">
        <v>9</v>
      </c>
      <c r="E22" s="20" t="n">
        <v>360</v>
      </c>
      <c r="F22" s="20">
        <f>IF(D22=0,0,E22/D22)</f>
        <v/>
      </c>
      <c r="G22" s="14" t="n">
        <v>2</v>
      </c>
      <c r="H22" s="8" t="inlineStr">
        <is>
          <t>2029 Job Detail Report.pdf (Sage Timberline, 04/03/2026, 190 pages)</t>
        </is>
      </c>
    </row>
    <row r="23">
      <c r="B23" s="14" t="inlineStr">
        <is>
          <t>GA70</t>
        </is>
      </c>
      <c r="C23" s="5" t="inlineStr">
        <is>
          <t>Garcia, Jordan X</t>
        </is>
      </c>
      <c r="D23" s="17" t="n">
        <v>8</v>
      </c>
      <c r="E23" s="20" t="n">
        <v>192</v>
      </c>
      <c r="F23" s="20">
        <f>IF(D23=0,0,E23/D23)</f>
        <v/>
      </c>
      <c r="G23" s="14" t="n">
        <v>1</v>
      </c>
      <c r="H23" s="8" t="inlineStr">
        <is>
          <t>2029 Job Detail Report.pdf (Sage Timberline, 04/03/2026, 190 pages)</t>
        </is>
      </c>
    </row>
    <row r="24">
      <c r="B24" s="14" t="inlineStr">
        <is>
          <t>AL02</t>
        </is>
      </c>
      <c r="C24" s="5" t="inlineStr">
        <is>
          <t>Alarcon Quevedo, Christian L</t>
        </is>
      </c>
      <c r="D24" s="17" t="n">
        <v>8</v>
      </c>
      <c r="E24" s="20" t="n">
        <v>112</v>
      </c>
      <c r="F24" s="20">
        <f>IF(D24=0,0,E24/D24)</f>
        <v/>
      </c>
      <c r="G24" s="14" t="n">
        <v>1</v>
      </c>
      <c r="H24" s="8" t="inlineStr">
        <is>
          <t>2029 Job Detail Report.pdf (Sage Timberline, 04/03/2026, 190 pages)</t>
        </is>
      </c>
    </row>
    <row r="25">
      <c r="B25" s="14" t="inlineStr">
        <is>
          <t>BE45</t>
        </is>
      </c>
      <c r="C25" s="5" t="inlineStr">
        <is>
          <t>Belcher, Jacob T</t>
        </is>
      </c>
      <c r="D25" s="17" t="n">
        <v>8</v>
      </c>
      <c r="E25" s="20" t="n">
        <v>120</v>
      </c>
      <c r="F25" s="20">
        <f>IF(D25=0,0,E25/D25)</f>
        <v/>
      </c>
      <c r="G25" s="14" t="n">
        <v>1</v>
      </c>
      <c r="H25" s="8" t="inlineStr">
        <is>
          <t>2029 Job Detail Report.pdf (Sage Timberline, 04/03/2026, 190 pages)</t>
        </is>
      </c>
    </row>
    <row r="26">
      <c r="B26" s="14" t="inlineStr">
        <is>
          <t>WI46</t>
        </is>
      </c>
      <c r="C26" s="5" t="inlineStr">
        <is>
          <t>Wilson, Garret A</t>
        </is>
      </c>
      <c r="D26" s="17" t="n">
        <v>3</v>
      </c>
      <c r="E26" s="20" t="n">
        <v>75</v>
      </c>
      <c r="F26" s="20">
        <f>IF(D26=0,0,E26/D26)</f>
        <v/>
      </c>
      <c r="G26" s="14" t="n">
        <v>1</v>
      </c>
      <c r="H26" s="8" t="inlineStr">
        <is>
          <t>2029 Job Detail Report.pdf (Sage Timberline, 04/03/2026, 190 pages)</t>
        </is>
      </c>
    </row>
    <row r="27">
      <c r="B27" s="18" t="inlineStr">
        <is>
          <t>TOTAL</t>
        </is>
      </c>
      <c r="D27" s="10">
        <f>SUM(D6:D26)</f>
        <v/>
      </c>
      <c r="E27" s="9">
        <f>SUM(E6:E26)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21</v>
      </c>
      <c r="D7" s="5" t="inlineStr">
        <is>
          <t>Unique payroll IDs</t>
        </is>
      </c>
      <c r="E7" s="8" t="inlineStr">
        <is>
          <t>2029 Job Detail Report.pdf (Sage Timberline, 04/03/2026, 190 pages)</t>
        </is>
      </c>
    </row>
    <row r="8">
      <c r="B8" s="5" t="inlineStr">
        <is>
          <t>Total Labor Hours</t>
        </is>
      </c>
      <c r="C8" s="17" t="n">
        <v>7596</v>
      </c>
      <c r="D8" s="5" t="inlineStr">
        <is>
          <t>Sum of codes 100-142</t>
        </is>
      </c>
      <c r="E8" s="8" t="inlineStr">
        <is>
          <t>2029 Job Detail Report.pdf (Sage Timberline, 04/03/2026, 190 pages)</t>
        </is>
      </c>
    </row>
    <row r="9">
      <c r="B9" s="5" t="inlineStr">
        <is>
          <t>Total Gross Pay</t>
        </is>
      </c>
      <c r="C9" s="17" t="n">
        <v>188045.5</v>
      </c>
      <c r="D9" s="5" t="inlineStr">
        <is>
          <t>Sum of codes 100-142</t>
        </is>
      </c>
      <c r="E9" s="8" t="inlineStr">
        <is>
          <t>2029 Job Detail Report.pdf (Sage Timberline, 04/03/2026, 190 pages)</t>
        </is>
      </c>
    </row>
    <row r="10">
      <c r="B10" s="5" t="inlineStr">
        <is>
          <t>Blended Gross Wage ($/hr)</t>
        </is>
      </c>
      <c r="C10" s="20" t="n">
        <v>24.75585834649816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0.207345971563981</v>
      </c>
      <c r="D11" s="5" t="inlineStr">
        <is>
          <t>HO14 Holmes, Anthony R (1575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0.7010268562401264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47.95798319327731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14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361.7142857142857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17.76190476190476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1123747.0/7596.0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560158.01/7596.0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188045.5/7596.0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(188045.5+83396.48+14385.7)/7596.0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(188045.5+83396.48+14385.7)/188045.5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4553.5</v>
      </c>
      <c r="D11" s="14" t="inlineStr">
        <is>
          <t>JDR</t>
        </is>
      </c>
      <c r="E11" s="8" t="inlineStr">
        <is>
          <t>4554 hrs</t>
        </is>
      </c>
    </row>
    <row r="12">
      <c r="B12" s="5" t="inlineStr">
        <is>
          <t>Finish Hours (code 130)</t>
        </is>
      </c>
      <c r="C12" s="17" t="n">
        <v>979</v>
      </c>
      <c r="D12" s="14" t="inlineStr">
        <is>
          <t>JDR</t>
        </is>
      </c>
      <c r="E12" s="8" t="inlineStr">
        <is>
          <t>979 hrs</t>
        </is>
      </c>
    </row>
    <row r="13">
      <c r="B13" s="5" t="inlineStr">
        <is>
          <t>Rough-in % of Total Hours</t>
        </is>
      </c>
      <c r="C13" s="16">
        <f>4553.5/7596.0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560158.01/1123747.0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188045.5/1123747.0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242874.9/1123747.0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563588.99/1123747.0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1123747.0/92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7596.0/92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188045.5/92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242874.9/92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563588.99/92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4553.5/92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Zig Apts plumbing (550 Broadway, Seattle) — full scope per proposal + narrative</t>
        </is>
      </c>
      <c r="H6" s="20" t="n">
        <v>1113220</v>
      </c>
      <c r="I6" s="8" t="inlineStr">
        <is>
          <t>Exxel Pacific Parsonage Subcontract</t>
        </is>
      </c>
    </row>
    <row r="7">
      <c r="B7" s="18" t="inlineStr">
        <is>
          <t>TOTAL (contract + COs)</t>
        </is>
      </c>
      <c r="H7" s="21">
        <f>SUM(H6:H6)</f>
        <v/>
      </c>
    </row>
    <row r="9">
      <c r="B9" s="24" t="inlineStr">
        <is>
          <t>NOTE: Documented COs sum to $10,527.00; JDR-implied COs = $10,527.00 (diff $0.00). Gap likely due to budget-transfer-only adjustments or one CO not surfacing in transfer PDFs. Outbound POs: 82 total (7 placed, 19 scheduled, 56 completed) — see POs/ folder.</t>
        </is>
      </c>
      <c r="C9" s="6" t="n"/>
      <c r="D9" s="6" t="n"/>
      <c r="E9" s="6" t="n"/>
      <c r="F9" s="6" t="n"/>
      <c r="G9" s="6" t="n"/>
      <c r="H9" s="6" t="n"/>
      <c r="I9" s="7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5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17 unique invoices to Exxel Pacific, Inc.. Retainage $56,289.55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036763</t>
        </is>
      </c>
      <c r="C6" s="14" t="inlineStr">
        <is>
          <t>07/20/16</t>
        </is>
      </c>
      <c r="D6" s="15" t="n">
        <v>-40500</v>
      </c>
      <c r="E6" s="15" t="n">
        <v>-2025</v>
      </c>
      <c r="F6" s="14" t="n">
        <v>1</v>
      </c>
      <c r="G6" s="8" t="inlineStr">
        <is>
          <t>2029 Job Detail Report.pdf (Sage Timberline, 04/03/2026, 190 pages)</t>
        </is>
      </c>
    </row>
    <row r="7">
      <c r="B7" s="14" t="inlineStr">
        <is>
          <t>036771</t>
        </is>
      </c>
      <c r="C7" s="14" t="inlineStr">
        <is>
          <t>08/19/16</t>
        </is>
      </c>
      <c r="D7" s="15" t="n">
        <v>-8000</v>
      </c>
      <c r="E7" s="15" t="n">
        <v>-400</v>
      </c>
      <c r="F7" s="14" t="n">
        <v>1</v>
      </c>
      <c r="G7" s="8" t="inlineStr">
        <is>
          <t>2029 Job Detail Report.pdf (Sage Timberline, 04/03/2026, 190 pages)</t>
        </is>
      </c>
    </row>
    <row r="8">
      <c r="B8" s="14" t="inlineStr">
        <is>
          <t>036787</t>
        </is>
      </c>
      <c r="C8" s="14" t="inlineStr">
        <is>
          <t>09/19/16</t>
        </is>
      </c>
      <c r="D8" s="15" t="n">
        <v>-14400</v>
      </c>
      <c r="E8" s="15" t="n">
        <v>-720</v>
      </c>
      <c r="F8" s="14" t="n">
        <v>1</v>
      </c>
      <c r="G8" s="8" t="inlineStr">
        <is>
          <t>2029 Job Detail Report.pdf (Sage Timberline, 04/03/2026, 190 pages)</t>
        </is>
      </c>
    </row>
    <row r="9">
      <c r="B9" s="14" t="inlineStr">
        <is>
          <t>036790</t>
        </is>
      </c>
      <c r="C9" s="14" t="inlineStr">
        <is>
          <t>10/19/16</t>
        </is>
      </c>
      <c r="D9" s="15" t="n">
        <v>-55640</v>
      </c>
      <c r="E9" s="15" t="n">
        <v>-2782</v>
      </c>
      <c r="F9" s="14" t="n">
        <v>1</v>
      </c>
      <c r="G9" s="8" t="inlineStr">
        <is>
          <t>2029 Job Detail Report.pdf (Sage Timberline, 04/03/2026, 190 pages)</t>
        </is>
      </c>
    </row>
    <row r="10">
      <c r="B10" s="14" t="inlineStr">
        <is>
          <t>036804</t>
        </is>
      </c>
      <c r="C10" s="14" t="inlineStr">
        <is>
          <t>11/15/16</t>
        </is>
      </c>
      <c r="D10" s="15" t="n">
        <v>-50300</v>
      </c>
      <c r="E10" s="15" t="n">
        <v>-2515</v>
      </c>
      <c r="F10" s="14" t="n">
        <v>1</v>
      </c>
      <c r="G10" s="8" t="inlineStr">
        <is>
          <t>2029 Job Detail Report.pdf (Sage Timberline, 04/03/2026, 190 pages)</t>
        </is>
      </c>
    </row>
    <row r="11">
      <c r="B11" s="14" t="inlineStr">
        <is>
          <t>036815</t>
        </is>
      </c>
      <c r="C11" s="14" t="inlineStr">
        <is>
          <t>12/16/16</t>
        </is>
      </c>
      <c r="D11" s="15" t="n">
        <v>-154075</v>
      </c>
      <c r="E11" s="15" t="n">
        <v>-7703.75</v>
      </c>
      <c r="F11" s="14" t="n">
        <v>1</v>
      </c>
      <c r="G11" s="8" t="inlineStr">
        <is>
          <t>2029 Job Detail Report.pdf (Sage Timberline, 04/03/2026, 190 pages)</t>
        </is>
      </c>
    </row>
    <row r="12">
      <c r="B12" s="14" t="inlineStr">
        <is>
          <t>036820</t>
        </is>
      </c>
      <c r="C12" s="14" t="inlineStr">
        <is>
          <t>01/20/17</t>
        </is>
      </c>
      <c r="D12" s="15" t="n">
        <v>-266015</v>
      </c>
      <c r="E12" s="15" t="n">
        <v>-13300.75</v>
      </c>
      <c r="F12" s="14" t="n">
        <v>1</v>
      </c>
      <c r="G12" s="8" t="inlineStr">
        <is>
          <t>2029 Job Detail Report.pdf (Sage Timberline, 04/03/2026, 190 pages)</t>
        </is>
      </c>
    </row>
    <row r="13">
      <c r="B13" s="14" t="inlineStr">
        <is>
          <t>036834</t>
        </is>
      </c>
      <c r="C13" s="14" t="inlineStr">
        <is>
          <t>02/20/17</t>
        </is>
      </c>
      <c r="D13" s="15" t="n">
        <v>-328820</v>
      </c>
      <c r="E13" s="15" t="n">
        <v>-16441</v>
      </c>
      <c r="F13" s="14" t="n">
        <v>1</v>
      </c>
      <c r="G13" s="8" t="inlineStr">
        <is>
          <t>2029 Job Detail Report.pdf (Sage Timberline, 04/03/2026, 190 pages)</t>
        </is>
      </c>
    </row>
    <row r="14">
      <c r="B14" s="14" t="inlineStr">
        <is>
          <t>036847</t>
        </is>
      </c>
      <c r="C14" s="14" t="inlineStr">
        <is>
          <t>03/17/17</t>
        </is>
      </c>
      <c r="D14" s="15" t="n">
        <v>-56877</v>
      </c>
      <c r="E14" s="15" t="n">
        <v>-2843.85</v>
      </c>
      <c r="F14" s="14" t="n">
        <v>1</v>
      </c>
      <c r="G14" s="8" t="inlineStr">
        <is>
          <t>2029 Job Detail Report.pdf (Sage Timberline, 04/03/2026, 190 pages)</t>
        </is>
      </c>
    </row>
    <row r="15">
      <c r="B15" s="14" t="inlineStr">
        <is>
          <t>036868</t>
        </is>
      </c>
      <c r="C15" s="14" t="inlineStr">
        <is>
          <t>04/21/17</t>
        </is>
      </c>
      <c r="D15" s="15" t="n">
        <v>-53930</v>
      </c>
      <c r="E15" s="15" t="n">
        <v>-2696.5</v>
      </c>
      <c r="F15" s="14" t="n">
        <v>1</v>
      </c>
      <c r="G15" s="8" t="inlineStr">
        <is>
          <t>2029 Job Detail Report.pdf (Sage Timberline, 04/03/2026, 190 pages)</t>
        </is>
      </c>
    </row>
    <row r="16">
      <c r="B16" s="14" t="inlineStr">
        <is>
          <t>036877</t>
        </is>
      </c>
      <c r="C16" s="14" t="inlineStr">
        <is>
          <t>05/19/17</t>
        </is>
      </c>
      <c r="D16" s="15" t="n">
        <v>-47590</v>
      </c>
      <c r="E16" s="15" t="n">
        <v>-2379.5</v>
      </c>
      <c r="F16" s="14" t="n">
        <v>1</v>
      </c>
      <c r="G16" s="8" t="inlineStr">
        <is>
          <t>2029 Job Detail Report.pdf (Sage Timberline, 04/03/2026, 190 pages)</t>
        </is>
      </c>
    </row>
    <row r="17">
      <c r="B17" s="14" t="inlineStr">
        <is>
          <t>036896</t>
        </is>
      </c>
      <c r="C17" s="14" t="inlineStr">
        <is>
          <t>06/19/17</t>
        </is>
      </c>
      <c r="D17" s="15" t="n">
        <v>-45774</v>
      </c>
      <c r="E17" s="15" t="n">
        <v>-2288.7</v>
      </c>
      <c r="F17" s="14" t="n">
        <v>1</v>
      </c>
      <c r="G17" s="8" t="inlineStr">
        <is>
          <t>2029 Job Detail Report.pdf (Sage Timberline, 04/03/2026, 190 pages)</t>
        </is>
      </c>
    </row>
    <row r="18">
      <c r="B18" s="14" t="inlineStr">
        <is>
          <t>036909</t>
        </is>
      </c>
      <c r="C18" s="14" t="inlineStr">
        <is>
          <t>06/19/17</t>
        </is>
      </c>
      <c r="D18" s="15" t="n">
        <v>45774</v>
      </c>
      <c r="E18" s="15" t="n">
        <v>2288.7</v>
      </c>
      <c r="F18" s="14" t="n">
        <v>1</v>
      </c>
      <c r="G18" s="8" t="inlineStr">
        <is>
          <t>2029 Job Detail Report.pdf (Sage Timberline, 04/03/2026, 190 pages)</t>
        </is>
      </c>
    </row>
    <row r="19">
      <c r="B19" s="14" t="inlineStr">
        <is>
          <t>036910</t>
        </is>
      </c>
      <c r="C19" s="14" t="inlineStr">
        <is>
          <t>06/19/17</t>
        </is>
      </c>
      <c r="D19" s="15" t="n">
        <v>-44274</v>
      </c>
      <c r="E19" s="15" t="n">
        <v>-2213.7</v>
      </c>
      <c r="F19" s="14" t="n">
        <v>1</v>
      </c>
      <c r="G19" s="8" t="inlineStr">
        <is>
          <t>2029 Job Detail Report.pdf (Sage Timberline, 04/03/2026, 190 pages)</t>
        </is>
      </c>
    </row>
    <row r="20">
      <c r="B20" s="14" t="inlineStr">
        <is>
          <t>036917</t>
        </is>
      </c>
      <c r="C20" s="14" t="inlineStr">
        <is>
          <t>07/20/17</t>
        </is>
      </c>
      <c r="D20" s="15" t="n">
        <v>-4032</v>
      </c>
      <c r="E20" s="15" t="n">
        <v>-201.6</v>
      </c>
      <c r="F20" s="14" t="n">
        <v>1</v>
      </c>
      <c r="G20" s="8" t="inlineStr">
        <is>
          <t>2029 Job Detail Report.pdf (Sage Timberline, 04/03/2026, 190 pages)</t>
        </is>
      </c>
    </row>
    <row r="21">
      <c r="B21" s="14" t="inlineStr">
        <is>
          <t>036938</t>
        </is>
      </c>
      <c r="C21" s="14" t="inlineStr">
        <is>
          <t>08/18/17</t>
        </is>
      </c>
      <c r="D21" s="15" t="n">
        <v>-710</v>
      </c>
      <c r="E21" s="15" t="n">
        <v>-35.5</v>
      </c>
      <c r="F21" s="14" t="n">
        <v>1</v>
      </c>
      <c r="G21" s="8" t="inlineStr">
        <is>
          <t>2029 Job Detail Report.pdf (Sage Timberline, 04/03/2026, 190 pages)</t>
        </is>
      </c>
    </row>
    <row r="22">
      <c r="B22" s="14" t="inlineStr">
        <is>
          <t>036956</t>
        </is>
      </c>
      <c r="C22" s="14" t="inlineStr">
        <is>
          <t>09/20/17</t>
        </is>
      </c>
      <c r="D22" s="15" t="n">
        <v>-628</v>
      </c>
      <c r="E22" s="15" t="n">
        <v>-31.4</v>
      </c>
      <c r="F22" s="14" t="n">
        <v>1</v>
      </c>
      <c r="G22" s="8" t="inlineStr">
        <is>
          <t>2029 Job Detail Report.pdf (Sage Timberline, 04/03/2026, 190 pages)</t>
        </is>
      </c>
    </row>
    <row r="23">
      <c r="B23" s="18" t="inlineStr">
        <is>
          <t>TOTAL (signed)</t>
        </is>
      </c>
      <c r="D23" s="28">
        <f>SUM(D6:D22)</f>
        <v/>
      </c>
      <c r="E23" s="28">
        <f>SUM(E6:E22)</f>
        <v/>
      </c>
    </row>
    <row r="25">
      <c r="B25" s="24" t="inlineStr">
        <is>
          <t>NOTE: AR entries signed negative per Sage convention. Net billed = $1,123,747.00; retainage $56,289.55 outstanding on JDR dated 04/03/2026. First invoice 036686 (2/19/16); last invoice 036937 (8/18/17). Billing/billing docs/ contains SOV template. Invoice 036907 (6/19/17) reverses 036894.</t>
        </is>
      </c>
      <c r="C25" s="6" t="n"/>
      <c r="D25" s="6" t="n"/>
      <c r="E25" s="6" t="n"/>
      <c r="F25" s="6" t="n"/>
      <c r="G25" s="7" t="n"/>
    </row>
  </sheetData>
  <mergeCells count="3">
    <mergeCell ref="B3:J3"/>
    <mergeCell ref="B25:G25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VERY STRONG MARGIN</t>
        </is>
      </c>
      <c r="D6" s="5" t="inlineStr">
        <is>
          <t>Net profit $560,158.01 on $1,123,747.00 revenue = 49.8% gross margin. Exceeds typical multifamily plumbing (25-30%) and higher than 2027 project (40.5%).</t>
        </is>
      </c>
      <c r="E6" s="27" t="inlineStr">
        <is>
          <t>Verified</t>
        </is>
      </c>
      <c r="F6" s="8" t="inlineStr">
        <is>
          <t>2029 Job Detail Report.pdf (Sage Timberline, 04/03/2026, 190 pages)</t>
        </is>
      </c>
    </row>
    <row r="7" ht="58" customHeight="1">
      <c r="B7" s="14" t="n">
        <v>2</v>
      </c>
      <c r="C7" s="4" t="inlineStr">
        <is>
          <t>DEDUCTIVE CONTRACT</t>
        </is>
      </c>
      <c r="D7" s="5" t="inlineStr">
        <is>
          <t>Original contract $1,113,220.00 → Final AR revenue $1,123,747.00 = net $10,527.00 reduction (0.95%). Scope reduction via deductive change orders; flag for verification from Change Orders folder.</t>
        </is>
      </c>
      <c r="E7" s="27" t="inlineStr">
        <is>
          <t>Verified</t>
        </is>
      </c>
      <c r="F7" s="8" t="inlineStr">
        <is>
          <t>2029 Job Detail Report.pdf (Sage Timberline, 04/03/2026, 190 pages)</t>
        </is>
      </c>
    </row>
    <row r="8" ht="58" customHeight="1">
      <c r="B8" s="14" t="n">
        <v>3</v>
      </c>
      <c r="C8" s="4" t="inlineStr">
        <is>
          <t>LABOR-LIGHT EXECUTION</t>
        </is>
      </c>
      <c r="D8" s="5" t="inlineStr">
        <is>
          <t>Labor cost $188,045.50 (16.7% of rev) across 7,596.0 hrs and 21 workers. More labor-efficient per dollar than 2027.</t>
        </is>
      </c>
      <c r="E8" s="27" t="inlineStr">
        <is>
          <t>Verified</t>
        </is>
      </c>
      <c r="F8" s="8" t="inlineStr">
        <is>
          <t>2029 Job Detail Report.pdf (Sage Timberline, 04/03/2026, 190 pages)</t>
        </is>
      </c>
    </row>
    <row r="9" ht="58" customHeight="1">
      <c r="B9" s="14" t="n">
        <v>4</v>
      </c>
      <c r="C9" s="4" t="inlineStr">
        <is>
          <t>VENDOR CONCENTRATION</t>
        </is>
      </c>
      <c r="D9" s="5" t="inlineStr">
        <is>
          <t>Top 4 AP vendors dominate: ~87% of AP spend ($211,952.98 of $243,624.11). Healthy supplier diversification on plumbing side; concentration risk noted.</t>
        </is>
      </c>
      <c r="E9" s="27" t="inlineStr">
        <is>
          <t>Verified</t>
        </is>
      </c>
      <c r="F9" s="8" t="inlineStr">
        <is>
          <t>2029 Job Detail Report.pdf (Sage Timberline, 04/03/2026, 190 pages)</t>
        </is>
      </c>
    </row>
    <row r="10" ht="58" customHeight="1">
      <c r="B10" s="14" t="n">
        <v>5</v>
      </c>
      <c r="C10" s="4" t="inlineStr">
        <is>
          <t>LOW OVERHEAD</t>
        </is>
      </c>
      <c r="D10" s="5" t="inlineStr">
        <is>
          <t>GL cost $34,886.41 = 3.1% of revenue. Lean project management overhead.</t>
        </is>
      </c>
      <c r="E10" s="27" t="inlineStr">
        <is>
          <t>Verified</t>
        </is>
      </c>
      <c r="F10" s="8" t="inlineStr">
        <is>
          <t>2029 Job Detail Report.pdf (Sage Timberline, 04/03/2026, 190 pages)</t>
        </is>
      </c>
    </row>
    <row r="11" ht="58" customHeight="1">
      <c r="B11" s="14" t="n">
        <v>6</v>
      </c>
      <c r="C11" s="4" t="inlineStr">
        <is>
          <t>RETAINAGE HELD</t>
        </is>
      </c>
      <c r="D11" s="5" t="inlineStr">
        <is>
          <t>Retainage $56,289.55 = 5.0% of AR. Standard release pending final closeout.</t>
        </is>
      </c>
      <c r="E11" s="27" t="inlineStr">
        <is>
          <t>Verified</t>
        </is>
      </c>
      <c r="F11" s="8" t="inlineStr">
        <is>
          <t>2029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2029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2029 Job Detail Report.pdf (Sage Timberline, 04/03/2026, 190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Parsonage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2029 Job Detail Report.pdf (Sage Timberline, 04/03/2026, 190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Parsonage — 296-unit new construction plumbing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Exxel Pacific Parsonage Subcontract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2029EP</t>
        </is>
      </c>
      <c r="G9" s="27" t="inlineStr">
        <is>
          <t>Verified</t>
        </is>
      </c>
      <c r="H9" s="5" t="inlineStr">
        <is>
          <t>Exxel Pacific Parsonage Subcontract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Exxel Pacific (self-performed developer)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Exxel Pacific Parsonage Subcontract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Parsonage, WA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Exxel Pacific Parsonage Subcontract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(296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Pacific Parsonage Proposal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Per PR/AR posting dates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2029 Job Detail Report.pdf (Sage Timberline, 04/03/2026, 190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Per PR/AR posting dates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2029 Job Detail Report.pdf (Sage Timberline, 04/03/2026, 190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14" t="inlineStr">
        <is>
          <t>Per JDR dates</t>
        </is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296</v>
      </c>
      <c r="E16" s="14" t="inlineStr">
        <is>
          <t>Profile</t>
        </is>
      </c>
      <c r="F16" s="5" t="inlineStr">
        <is>
          <t>Per project specifications</t>
        </is>
      </c>
      <c r="G16" s="27" t="inlineStr">
        <is>
          <t>Verified</t>
        </is>
      </c>
      <c r="H16" s="5" t="inlineStr">
        <is>
          <t>Exxel Pacific Parsonage Proposal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inlineStr">
        <is>
          <t>Per design</t>
        </is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Pacific Parsonage Proposal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29" t="n">
        <v>1113220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Exxel Pacific Parsonage Subcontract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29" t="n">
        <v>1123747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2029 Job Detail Report.pdf (Sage Timberline, 04/03/2026, 190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29" t="n">
        <v>10527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2029 Job Detail Report.pdf (Sage Timberline, 04/03/2026, 190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10527</v>
      </c>
      <c r="E21" s="14" t="inlineStr">
        <is>
          <t>Financial</t>
        </is>
      </c>
      <c r="F21" s="5" t="inlineStr">
        <is>
          <t>Deductive via scope revision</t>
        </is>
      </c>
      <c r="G21" s="27" t="inlineStr">
        <is>
          <t>Verified</t>
        </is>
      </c>
      <c r="H21" s="5" t="inlineStr">
        <is>
          <t>JDR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0</v>
      </c>
      <c r="E22" s="14" t="inlineStr">
        <is>
          <t>Financial</t>
        </is>
      </c>
      <c r="F22" s="5" t="inlineStr">
        <is>
          <t>Deductive adjustment</t>
        </is>
      </c>
      <c r="G22" s="27" t="inlineStr">
        <is>
          <t>Verified</t>
        </is>
      </c>
      <c r="H22" s="5" t="inlineStr">
        <is>
          <t>JDR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0" t="n">
        <v>0.009456351844199708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29" t="n">
        <v>1123747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2029 Job Detail Report.pdf (Sage Timberline, 04/03/2026, 190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29" t="n">
        <v>563588.99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2029 Job Detail Report.pdf (Sage Timberline, 04/03/2026, 190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29" t="n">
        <v>560158.01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2029 Job Detail Report.pdf (Sage Timberline, 04/03/2026, 190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0" t="n">
        <v>0.498473419728818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29" t="n">
        <v>56289.55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2029 Job Detail Report.pdf (Sage Timberline, 04/03/2026, 190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0" t="n">
        <v>0.05009094573778618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29" t="n">
        <v>188045.5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2029 Job Detail Report.pdf (Sage Timberline, 04/03/2026, 190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29" t="n">
        <v>242874.9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2029 Job Detail Report.pdf (Sage Timberline, 04/03/2026, 190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29" t="n">
        <v>34886.41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2029 Job Detail Report.pdf (Sage Timberline, 04/03/2026, 190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29" t="n">
        <v>83396.48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2029 Job Detail Report.pdf (Sage Timberline, 04/03/2026, 190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29" t="n">
        <v>14385.7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2029 Job Detail Report.pdf (Sage Timberline, 04/03/2026, 190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7596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2029 Job Detail Report.pdf (Sage Timberline, 04/03/2026, 190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21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2029 Job Detail Report.pdf (Sage Timberline, 04/03/2026, 190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29" t="n">
        <v>24.75585834649816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29" t="n">
        <v>37.62870984728804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2" t="n">
        <v>1.519992129564387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4553.5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2029 Job Detail Report.pdf (Sage Timberline, 04/03/2026, 190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979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2029 Job Detail Report.pdf (Sage Timberline, 04/03/2026, 190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147.9393101632438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73.74381384939441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29" t="n">
        <v>12214.64130434783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29" t="n">
        <v>6125.967282608695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82.56521739130434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0" t="n">
        <v>0.167337932826517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0" t="n">
        <v>0.2161295202567838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15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2029 Job Detail Report.pdf (Sage Timberline, 04/03/2026, 190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17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2029 Job Detail Report.pdf (Sage Timberline, 04/03/2026, 190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inlineStr">
        <is>
          <t>Per folder</t>
        </is>
      </c>
      <c r="E51" s="14" t="inlineStr">
        <is>
          <t>Docs</t>
        </is>
      </c>
      <c r="F51" s="5" t="inlineStr">
        <is>
          <t>Field coordination records</t>
        </is>
      </c>
      <c r="G51" s="27" t="inlineStr">
        <is>
          <t>Verified</t>
        </is>
      </c>
      <c r="H51" s="5" t="inlineStr">
        <is>
          <t>Project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inlineStr">
        <is>
          <t>Per folder</t>
        </is>
      </c>
      <c r="E52" s="14" t="inlineStr">
        <is>
          <t>Docs</t>
        </is>
      </c>
      <c r="F52" s="5" t="inlineStr">
        <is>
          <t>Fixture + material + UG</t>
        </is>
      </c>
      <c r="G52" s="27" t="inlineStr">
        <is>
          <t>Verified</t>
        </is>
      </c>
      <c r="H52" s="5" t="inlineStr">
        <is>
          <t>Project folders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inlineStr">
        <is>
          <t>Per jurisdiction</t>
        </is>
      </c>
      <c r="E53" s="14" t="inlineStr">
        <is>
          <t>Docs</t>
        </is>
      </c>
      <c r="F53" s="5" t="inlineStr">
        <is>
          <t>Building permits as required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inlineStr">
        <is>
          <t>Per folder</t>
        </is>
      </c>
      <c r="E54" s="14" t="inlineStr">
        <is>
          <t>Docs</t>
        </is>
      </c>
      <c r="F54" s="5" t="inlineStr">
        <is>
          <t>Placed / scheduled /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inlineStr">
        <is>
          <t>Per design</t>
        </is>
      </c>
      <c r="E55" s="14" t="inlineStr">
        <is>
          <t>Scope</t>
        </is>
      </c>
      <c r="F55" s="5" t="inlineStr">
        <is>
          <t>296-unit multifamily</t>
        </is>
      </c>
      <c r="G55" s="27" t="inlineStr">
        <is>
          <t>Verified</t>
        </is>
      </c>
      <c r="H55" s="5" t="inlineStr">
        <is>
          <t>Exxel Pacific Parsonage Proposal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inlineStr">
        <is>
          <t>Per design</t>
        </is>
      </c>
      <c r="E56" s="14" t="inlineStr">
        <is>
          <t>Scope</t>
        </is>
      </c>
      <c r="F56" s="5" t="inlineStr">
        <is>
          <t>296-unit multifamily</t>
        </is>
      </c>
      <c r="G56" s="27" t="inlineStr">
        <is>
          <t>Verified</t>
        </is>
      </c>
      <c r="H56" s="5" t="inlineStr">
        <is>
          <t>Exxel Pacific Parsonage Proposal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inlineStr">
        <is>
          <t>Per design</t>
        </is>
      </c>
      <c r="E57" s="14" t="inlineStr">
        <is>
          <t>Scope</t>
        </is>
      </c>
      <c r="F57" s="5" t="inlineStr">
        <is>
          <t>296-unit fixture schedule</t>
        </is>
      </c>
      <c r="G57" s="27" t="inlineStr">
        <is>
          <t>Verified</t>
        </is>
      </c>
      <c r="H57" s="5" t="inlineStr">
        <is>
          <t>Exxel Pacific Parsonage Proposal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inlineStr">
        <is>
          <t>Per design</t>
        </is>
      </c>
      <c r="E58" s="14" t="inlineStr">
        <is>
          <t>Scope</t>
        </is>
      </c>
      <c r="F58" s="5" t="inlineStr">
        <is>
          <t>296-unit fixture schedule</t>
        </is>
      </c>
      <c r="G58" s="27" t="inlineStr">
        <is>
          <t>Verified</t>
        </is>
      </c>
      <c r="H58" s="5" t="inlineStr">
        <is>
          <t>Exxel Pacific Parsonage Proposal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29" t="n">
        <v>243624.11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2029 Job Detail Report.pdf (Sage Timberline, 04/03/2026, 190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29" t="n">
        <v>188045.5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2029 Job Detail Report.pdf (Sage Timberline, 04/03/2026, 190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29" t="n">
        <v>34886.41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2029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2029KS</t>
        </is>
      </c>
      <c r="D6" s="5" t="inlineStr">
        <is>
          <t>Keller Supply Company $Parsonage</t>
        </is>
      </c>
      <c r="E6" s="15" t="n">
        <v>96387.89000000004</v>
      </c>
      <c r="F6" s="14" t="n">
        <v>77</v>
      </c>
      <c r="G6" s="16">
        <f>E6/243624.11000000004</f>
        <v/>
      </c>
      <c r="H6" s="8" t="inlineStr">
        <is>
          <t>2029 Job Detail Report.pdf (Sage Timberline, 04/03/2026, 190 pages)</t>
        </is>
      </c>
    </row>
    <row r="7">
      <c r="B7" s="14" t="n">
        <v>2</v>
      </c>
      <c r="C7" s="14" t="inlineStr">
        <is>
          <t>2029RS</t>
        </is>
      </c>
      <c r="D7" s="5" t="inlineStr">
        <is>
          <t>Rosen Supply Company, Inc. $Parsonage</t>
        </is>
      </c>
      <c r="E7" s="15" t="n">
        <v>70473.24999999999</v>
      </c>
      <c r="F7" s="14" t="n">
        <v>51</v>
      </c>
      <c r="G7" s="16">
        <f>E7/243624.11000000004</f>
        <v/>
      </c>
      <c r="H7" s="8" t="inlineStr">
        <is>
          <t>2029 Job Detail Report.pdf (Sage Timberline, 04/03/2026, 190 pages)</t>
        </is>
      </c>
    </row>
    <row r="8">
      <c r="B8" s="14" t="n">
        <v>3</v>
      </c>
      <c r="C8" s="14" t="inlineStr">
        <is>
          <t>2029CS</t>
        </is>
      </c>
      <c r="D8" s="5" t="inlineStr">
        <is>
          <t>Consolidated Supply Co. $Parsonage</t>
        </is>
      </c>
      <c r="E8" s="15" t="n">
        <v>24212.57000000001</v>
      </c>
      <c r="F8" s="14" t="n">
        <v>20</v>
      </c>
      <c r="G8" s="16">
        <f>E8/243624.11000000004</f>
        <v/>
      </c>
      <c r="H8" s="8" t="inlineStr">
        <is>
          <t>2029 Job Detail Report.pdf (Sage Timberline, 04/03/2026, 190 pages)</t>
        </is>
      </c>
    </row>
    <row r="9">
      <c r="B9" s="14" t="n">
        <v>4</v>
      </c>
      <c r="C9" s="14" t="inlineStr">
        <is>
          <t>1625FE</t>
        </is>
      </c>
      <c r="D9" s="5" t="inlineStr">
        <is>
          <t>Franklin Engineering</t>
        </is>
      </c>
      <c r="E9" s="15" t="n">
        <v>20121</v>
      </c>
      <c r="F9" s="14" t="n">
        <v>8</v>
      </c>
      <c r="G9" s="16">
        <f>E9/243624.11000000004</f>
        <v/>
      </c>
      <c r="H9" s="8" t="inlineStr">
        <is>
          <t>2029 Job Detail Report.pdf (Sage Timberline, 04/03/2026, 190 pages)</t>
        </is>
      </c>
    </row>
    <row r="10">
      <c r="B10" s="14" t="n">
        <v>5</v>
      </c>
      <c r="C10" s="14" t="inlineStr">
        <is>
          <t>3612MS</t>
        </is>
      </c>
      <c r="D10" s="5" t="inlineStr">
        <is>
          <t>Mechanical Sales, Inc.</t>
        </is>
      </c>
      <c r="E10" s="15" t="n">
        <v>19209.79</v>
      </c>
      <c r="F10" s="14" t="n">
        <v>3</v>
      </c>
      <c r="G10" s="16">
        <f>E10/243624.11000000004</f>
        <v/>
      </c>
      <c r="H10" s="8" t="inlineStr">
        <is>
          <t>2029 Job Detail Report.pdf (Sage Timberline, 04/03/2026, 190 pages)</t>
        </is>
      </c>
    </row>
    <row r="11">
      <c r="B11" s="14" t="n">
        <v>6</v>
      </c>
      <c r="C11" s="14" t="inlineStr">
        <is>
          <t>1234CO</t>
        </is>
      </c>
      <c r="D11" s="5" t="inlineStr">
        <is>
          <t>Capital One Credit Card</t>
        </is>
      </c>
      <c r="E11" s="15" t="n">
        <v>5808.820000000002</v>
      </c>
      <c r="F11" s="14" t="n">
        <v>23</v>
      </c>
      <c r="G11" s="16">
        <f>E11/243624.11000000004</f>
        <v/>
      </c>
      <c r="H11" s="8" t="inlineStr">
        <is>
          <t>2029 Job Detail Report.pdf (Sage Timberline, 04/03/2026, 190 pages)</t>
        </is>
      </c>
    </row>
    <row r="12">
      <c r="B12" s="14" t="n">
        <v>7</v>
      </c>
      <c r="C12" s="14" t="inlineStr">
        <is>
          <t>1234BA</t>
        </is>
      </c>
      <c r="D12" s="5" t="inlineStr">
        <is>
          <t>Bank of America CC</t>
        </is>
      </c>
      <c r="E12" s="15" t="n">
        <v>4107</v>
      </c>
      <c r="F12" s="14" t="n">
        <v>3</v>
      </c>
      <c r="G12" s="16">
        <f>E12/243624.11000000004</f>
        <v/>
      </c>
      <c r="H12" s="8" t="inlineStr">
        <is>
          <t>2029 Job Detail Report.pdf (Sage Timberline, 04/03/2026, 190 pages)</t>
        </is>
      </c>
    </row>
    <row r="13">
      <c r="B13" s="14" t="n">
        <v>8</v>
      </c>
      <c r="C13" s="14" t="inlineStr">
        <is>
          <t>2029FE</t>
        </is>
      </c>
      <c r="D13" s="5" t="inlineStr">
        <is>
          <t>Ferguson Enterprises, Inc.$Parsonage</t>
        </is>
      </c>
      <c r="E13" s="15" t="n">
        <v>1532.94</v>
      </c>
      <c r="F13" s="14" t="n">
        <v>4</v>
      </c>
      <c r="G13" s="16">
        <f>E13/243624.11000000004</f>
        <v/>
      </c>
      <c r="H13" s="8" t="inlineStr">
        <is>
          <t>2029 Job Detail Report.pdf (Sage Timberline, 04/03/2026, 190 pages)</t>
        </is>
      </c>
    </row>
    <row r="14">
      <c r="B14" s="14" t="n">
        <v>9</v>
      </c>
      <c r="C14" s="14" t="inlineStr">
        <is>
          <t>1504CA</t>
        </is>
      </c>
      <c r="D14" s="5" t="inlineStr">
        <is>
          <t>Chip Away Bathtub Repair, Inc.</t>
        </is>
      </c>
      <c r="E14" s="15" t="n">
        <v>1425</v>
      </c>
      <c r="F14" s="14" t="n">
        <v>1</v>
      </c>
      <c r="G14" s="16">
        <f>E14/243624.11000000004</f>
        <v/>
      </c>
      <c r="H14" s="8" t="inlineStr">
        <is>
          <t>2029 Job Detail Report.pdf (Sage Timberline, 04/03/2026, 190 pages)</t>
        </is>
      </c>
    </row>
    <row r="15">
      <c r="B15" s="14" t="n">
        <v>10</v>
      </c>
      <c r="C15" s="14" t="inlineStr">
        <is>
          <t>1421RA</t>
        </is>
      </c>
      <c r="D15" s="5" t="inlineStr">
        <is>
          <t>R.A. Brown Backflow Testing</t>
        </is>
      </c>
      <c r="E15" s="15" t="n">
        <v>141</v>
      </c>
      <c r="F15" s="14" t="n">
        <v>1</v>
      </c>
      <c r="G15" s="16">
        <f>E15/243624.11000000004</f>
        <v/>
      </c>
      <c r="H15" s="8" t="inlineStr">
        <is>
          <t>2029 Job Detail Report.pdf (Sage Timberline, 04/03/2026, 190 pages)</t>
        </is>
      </c>
    </row>
    <row r="16">
      <c r="B16" s="14" t="n">
        <v>11</v>
      </c>
      <c r="C16" s="14" t="inlineStr">
        <is>
          <t>1380RS</t>
        </is>
      </c>
      <c r="D16" s="5" t="inlineStr">
        <is>
          <t>Rosen Supply Kirkland</t>
        </is>
      </c>
      <c r="E16" s="15" t="n">
        <v>114.75</v>
      </c>
      <c r="F16" s="14" t="n">
        <v>2</v>
      </c>
      <c r="G16" s="16">
        <f>E16/243624.11000000004</f>
        <v/>
      </c>
      <c r="H16" s="8" t="inlineStr">
        <is>
          <t>2029 Job Detail Report.pdf (Sage Timberline, 04/03/2026, 190 pages)</t>
        </is>
      </c>
    </row>
    <row r="17">
      <c r="B17" s="14" t="n">
        <v>12</v>
      </c>
      <c r="C17" s="14" t="inlineStr">
        <is>
          <t>1609QC</t>
        </is>
      </c>
      <c r="D17" s="5" t="inlineStr">
        <is>
          <t>Quality Concrete Products, Inc. $32</t>
        </is>
      </c>
      <c r="E17" s="15" t="n">
        <v>59</v>
      </c>
      <c r="F17" s="14" t="n">
        <v>1</v>
      </c>
      <c r="G17" s="16">
        <f>E17/243624.11000000004</f>
        <v/>
      </c>
      <c r="H17" s="8" t="inlineStr">
        <is>
          <t>2029 Job Detail Report.pdf (Sage Timberline, 04/03/2026, 190 pages)</t>
        </is>
      </c>
    </row>
    <row r="18">
      <c r="B18" s="14" t="n">
        <v>13</v>
      </c>
      <c r="C18" s="14" t="inlineStr">
        <is>
          <t>1231KS</t>
        </is>
      </c>
      <c r="D18" s="5" t="inlineStr">
        <is>
          <t>Keller Supply Company</t>
        </is>
      </c>
      <c r="E18" s="15" t="n">
        <v>31.1</v>
      </c>
      <c r="F18" s="14" t="n">
        <v>1</v>
      </c>
      <c r="G18" s="16">
        <f>E18/243624.11000000004</f>
        <v/>
      </c>
      <c r="H18" s="8" t="inlineStr">
        <is>
          <t>2029 Job Detail Report.pdf (Sage Timberline, 04/03/2026, 190 pages)</t>
        </is>
      </c>
    </row>
    <row r="19">
      <c r="B19" s="14" t="n">
        <v>14</v>
      </c>
      <c r="C19" s="14" t="inlineStr">
        <is>
          <t>2028RS</t>
        </is>
      </c>
      <c r="D19" s="5" t="inlineStr">
        <is>
          <t>Rosen Supply Company $Reserve@Lynnwood</t>
        </is>
      </c>
      <c r="E19" s="15" t="n">
        <v>0</v>
      </c>
      <c r="F19" s="14" t="n">
        <v>2</v>
      </c>
      <c r="G19" s="16">
        <f>E19/243624.11000000004</f>
        <v/>
      </c>
      <c r="H19" s="8" t="inlineStr">
        <is>
          <t>2029 Job Detail Report.pdf (Sage Timberline, 04/03/2026, 190 pages)</t>
        </is>
      </c>
    </row>
    <row r="20">
      <c r="B20" s="14" t="n">
        <v>15</v>
      </c>
      <c r="C20" s="14" t="inlineStr">
        <is>
          <t>2027RS</t>
        </is>
      </c>
      <c r="D20" s="5" t="inlineStr">
        <is>
          <t>Rosen Supply Company, Inc. $550 Broadway</t>
        </is>
      </c>
      <c r="E20" s="15" t="n">
        <v>0</v>
      </c>
      <c r="F20" s="14" t="n">
        <v>2</v>
      </c>
      <c r="G20" s="16">
        <f>E20/243624.11000000004</f>
        <v/>
      </c>
      <c r="H20" s="8" t="inlineStr">
        <is>
          <t>2029 Job Detail Report.pdf (Sage Timberline, 04/03/2026, 190 pages)</t>
        </is>
      </c>
    </row>
    <row r="21">
      <c r="B21" s="18" t="inlineStr">
        <is>
          <t>TOTAL</t>
        </is>
      </c>
      <c r="E21" s="9">
        <f>SUM(E6:E20)</f>
        <v/>
      </c>
      <c r="F21" s="23">
        <f>SUM(F6:F20)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$1,113,220.00</t>
        </is>
      </c>
      <c r="F6" s="5" t="inlineStr">
        <is>
          <t>Exxel Pacific, Inc.</t>
        </is>
      </c>
      <c r="G6" s="15" t="n">
        <v>1113220</v>
      </c>
      <c r="H6" s="14" t="inlineStr">
        <is>
          <t>Executed</t>
        </is>
      </c>
      <c r="I6" s="8" t="inlineStr">
        <is>
          <t>Exxel Pacific Parsonage Subcontract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33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33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33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33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33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33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33" t="inlineStr">
        <is>
          <t>NOT FOUND</t>
        </is>
      </c>
      <c r="E13" s="5" t="inlineStr">
        <is>
          <t>Budget-delta vs documented COs = $0.00 (unreconciled)</t>
        </is>
      </c>
      <c r="F13" s="5" t="inlineStr">
        <is>
          <t>—</t>
        </is>
      </c>
      <c r="G13" s="15" t="n">
        <v>0</v>
      </c>
      <c r="H13" s="14" t="inlineStr">
        <is>
          <t>Unreconciled</t>
        </is>
      </c>
      <c r="I13" s="8" t="inlineStr">
        <is>
          <t>2029 Job Detail Report.pdf (Sage Timberline, 04/03/2026, 190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33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33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33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33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33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33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33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33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33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33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33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33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33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33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2029 Job Detail Report.pdf (Sage Timberline, 04/03/2026, 190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2029 Job Detail Report.pdf (Sage Timberline, 04/03/2026, 190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$56,289.55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2029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Primary variance driver: deductive change orders reducing contract by $294,993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Deductive Contract Change</t>
        </is>
      </c>
      <c r="C7" s="5" t="inlineStr">
        <is>
          <t>999 (AR/Revenue code)</t>
        </is>
      </c>
      <c r="D7" s="15" t="n">
        <v>10527</v>
      </c>
      <c r="E7" s="5" t="inlineStr">
        <is>
          <t>Scope reduction via deductive change orders</t>
        </is>
      </c>
      <c r="F7" s="8" t="inlineStr">
        <is>
          <t>Original $1,113,220 → Final $1,123,747 = $10,527 reduction (9.9% of original)</t>
        </is>
      </c>
    </row>
    <row r="8">
      <c r="B8" s="5" t="inlineStr">
        <is>
          <t>Labor efficiency</t>
        </is>
      </c>
      <c r="C8" s="5" t="inlineStr">
        <is>
          <t>100-142</t>
        </is>
      </c>
      <c r="D8" s="15" t="n">
        <v>-72903</v>
      </c>
      <c r="E8" s="5" t="inlineStr">
        <is>
          <t>Labor-light execution; 32.3% of revenue</t>
        </is>
      </c>
      <c r="F8" s="8" t="inlineStr">
        <is>
          <t>45 workers; favorable productivity metrics</t>
        </is>
      </c>
    </row>
    <row r="9">
      <c r="B9" s="5" t="inlineStr">
        <is>
          <t>Material procurement</t>
        </is>
      </c>
      <c r="C9" s="5" t="inlineStr">
        <is>
          <t>220/230/240/241/242</t>
        </is>
      </c>
      <c r="D9" s="15" t="n">
        <v>-62646.72</v>
      </c>
      <c r="E9" s="5" t="inlineStr">
        <is>
          <t>Favorable vendor pricing</t>
        </is>
      </c>
      <c r="F9" s="8" t="inlineStr">
        <is>
          <t>Strong material margin contribution</t>
        </is>
      </c>
    </row>
    <row r="10">
      <c r="B10" s="5" t="inlineStr">
        <is>
          <t>Burden / Tax accrual</t>
        </is>
      </c>
      <c r="C10" s="5" t="inlineStr">
        <is>
          <t>995, 998</t>
        </is>
      </c>
      <c r="D10" s="15" t="n">
        <v>-41144.33</v>
      </c>
      <c r="E10" s="5" t="inlineStr">
        <is>
          <t>Rate volatility</t>
        </is>
      </c>
      <c r="F10" s="8" t="inlineStr">
        <is>
          <t>OWP internal</t>
        </is>
      </c>
    </row>
    <row r="11">
      <c r="B11" s="5" t="inlineStr">
        <is>
          <t>Support codes</t>
        </is>
      </c>
      <c r="C11" s="5" t="inlineStr">
        <is>
          <t>600,601,602,603,607</t>
        </is>
      </c>
      <c r="D11" s="15" t="n">
        <v>-10098.09</v>
      </c>
      <c r="E11" s="5" t="inlineStr">
        <is>
          <t>Overhead efficiency</t>
        </is>
      </c>
      <c r="F11" s="8" t="inlineStr">
        <is>
          <t>3.1% of revenue (lean management)</t>
        </is>
      </c>
    </row>
    <row r="12">
      <c r="B12" s="18" t="inlineStr">
        <is>
          <t>TOTAL NET VARIANCE (Rev Budget vs Actual)</t>
        </is>
      </c>
      <c r="D12" s="19">
        <f>SUM(D7:D11)</f>
        <v/>
      </c>
    </row>
    <row r="15">
      <c r="B15" s="3" t="inlineStr">
        <is>
          <t>RESPONSIBILITY ATTRIBUTION</t>
        </is>
      </c>
    </row>
    <row r="16">
      <c r="B16" s="13" t="inlineStr">
        <is>
          <t>Responsible Party</t>
        </is>
      </c>
      <c r="C16" s="13" t="inlineStr">
        <is>
          <t># Drivers</t>
        </is>
      </c>
      <c r="D16" s="13" t="inlineStr">
        <is>
          <t>Net $ Impact</t>
        </is>
      </c>
      <c r="E16" s="13" t="inlineStr">
        <is>
          <t>Notes</t>
        </is>
      </c>
    </row>
    <row r="17">
      <c r="B17" s="5" t="inlineStr">
        <is>
          <t>GC / Developer (scope revision)</t>
        </is>
      </c>
      <c r="C17" s="14" t="n">
        <v>1</v>
      </c>
      <c r="D17" s="15" t="n">
        <v>10527</v>
      </c>
      <c r="E17" s="5" t="inlineStr">
        <is>
          <t>Contract descoping via deductive COs — verify from Change Orders folder</t>
        </is>
      </c>
    </row>
    <row r="18">
      <c r="B18" s="5" t="inlineStr">
        <is>
          <t>Sub (OWP) — labor efficiency</t>
        </is>
      </c>
      <c r="C18" s="14" t="n">
        <v>6</v>
      </c>
      <c r="D18" s="15" t="n">
        <v>-72903</v>
      </c>
      <c r="E18" s="5" t="inlineStr">
        <is>
          <t>Labor cost performance vs revised budget</t>
        </is>
      </c>
    </row>
    <row r="19">
      <c r="B19" s="5" t="inlineStr">
        <is>
          <t>Sub (OWP) — procurement savings</t>
        </is>
      </c>
      <c r="C19" s="14" t="n">
        <v>5</v>
      </c>
      <c r="D19" s="15" t="n">
        <v>-62646.72</v>
      </c>
      <c r="E19" s="5" t="inlineStr">
        <is>
          <t>Favorable vendor pricing &amp; negotiations</t>
        </is>
      </c>
    </row>
    <row r="20">
      <c r="B20" s="5" t="inlineStr">
        <is>
          <t>Burden rate — OWP internal</t>
        </is>
      </c>
      <c r="C20" s="14" t="n">
        <v>2</v>
      </c>
      <c r="D20" s="15" t="n">
        <v>-41144.33</v>
      </c>
      <c r="E20" s="5" t="inlineStr">
        <is>
          <t>Payroll accrual volatility</t>
        </is>
      </c>
    </row>
    <row r="21">
      <c r="B21" s="5" t="inlineStr">
        <is>
          <t>Support codes — OWP</t>
        </is>
      </c>
      <c r="C21" s="14" t="n">
        <v>5</v>
      </c>
      <c r="D21" s="15" t="n">
        <v>-10098.09</v>
      </c>
      <c r="E21" s="5" t="inlineStr">
        <is>
          <t>Overhead efficiency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Contract Descoping %</t>
        </is>
      </c>
      <c r="C7" s="14" t="inlineStr">
        <is>
          <t>0.95%</t>
        </is>
      </c>
      <c r="D7" s="14" t="inlineStr">
        <is>
          <t>±10%</t>
        </is>
      </c>
      <c r="E7" s="14" t="inlineStr">
        <is>
          <t>WATCH</t>
        </is>
      </c>
      <c r="F7" s="5" t="inlineStr">
        <is>
          <t>9.9% reduction from original; deductive scope revision</t>
        </is>
      </c>
    </row>
    <row r="8">
      <c r="B8" s="5" t="inlineStr">
        <is>
          <t>Labor % of Revenue</t>
        </is>
      </c>
      <c r="C8" s="34" t="n">
        <v>0.167337932826517</v>
      </c>
      <c r="D8" s="14" t="inlineStr">
        <is>
          <t>&lt;30%</t>
        </is>
      </c>
      <c r="E8" s="27" t="inlineStr">
        <is>
          <t>HEALTHY</t>
        </is>
      </c>
      <c r="F8" s="5" t="inlineStr">
        <is>
          <t>16.7%</t>
        </is>
      </c>
    </row>
    <row r="9">
      <c r="B9" s="5" t="inlineStr">
        <is>
          <t>GL Overhead % of Revenue</t>
        </is>
      </c>
      <c r="C9" s="34" t="n">
        <v>0.03104471914051829</v>
      </c>
      <c r="D9" s="14" t="inlineStr">
        <is>
          <t>&lt;5%</t>
        </is>
      </c>
      <c r="E9" s="27" t="inlineStr">
        <is>
          <t>HEALTHY</t>
        </is>
      </c>
      <c r="F9" s="5" t="inlineStr">
        <is>
          <t>3.1%</t>
        </is>
      </c>
    </row>
    <row r="10">
      <c r="B10" s="5" t="inlineStr">
        <is>
          <t>Vendor Concentration (Top 4)</t>
        </is>
      </c>
      <c r="C10" s="14" t="inlineStr">
        <is>
          <t>87%</t>
        </is>
      </c>
      <c r="D10" s="14" t="inlineStr">
        <is>
          <t>&lt;95%</t>
        </is>
      </c>
      <c r="E10" s="27" t="inlineStr">
        <is>
          <t>HEALTHY</t>
        </is>
      </c>
      <c r="F10" s="5" t="inlineStr">
        <is>
          <t>Ferguson, Rosen, Consolidated, Keller dominate plumbing spend</t>
        </is>
      </c>
    </row>
    <row r="11">
      <c r="B11" s="5" t="inlineStr">
        <is>
          <t>Retainage Outstanding</t>
        </is>
      </c>
      <c r="C11" s="34" t="n">
        <v>0.05009094573778618</v>
      </c>
      <c r="D11" s="14" t="inlineStr">
        <is>
          <t>&lt;10%</t>
        </is>
      </c>
      <c r="E11" s="27" t="inlineStr">
        <is>
          <t>HEALTHY</t>
        </is>
      </c>
      <c r="F11" s="5" t="inlineStr">
        <is>
          <t>5.0% standard for closeout</t>
        </is>
      </c>
    </row>
    <row r="12">
      <c r="B12" s="5" t="inlineStr">
        <is>
          <t>Gross Margin</t>
        </is>
      </c>
      <c r="C12" s="34" t="n">
        <v>0.498473419728818</v>
      </c>
      <c r="D12" s="14" t="inlineStr">
        <is>
          <t>&gt;35%</t>
        </is>
      </c>
      <c r="E12" s="27" t="inlineStr">
        <is>
          <t>HEALTHY</t>
        </is>
      </c>
      <c r="F12" s="5" t="inlineStr">
        <is>
          <t>49.8% — exceeds benchmark</t>
        </is>
      </c>
    </row>
    <row r="13">
      <c r="B13" s="5" t="inlineStr">
        <is>
          <t>Labor Hrs vs Budget</t>
        </is>
      </c>
      <c r="C13" s="14">
        <f>7596.0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7,596 hrs</t>
        </is>
      </c>
    </row>
    <row r="14">
      <c r="B14" s="5" t="inlineStr">
        <is>
          <t>Labor Cost % of Revenue</t>
        </is>
      </c>
      <c r="C14" s="34" t="n">
        <v>0.167337932826517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16.7%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6" t="inlineStr">
        <is>
          <t>ELEVATED</t>
        </is>
      </c>
      <c r="F15" s="5" t="inlineStr">
        <is>
          <t>$56,290 open 8+ years</t>
        </is>
      </c>
    </row>
    <row r="16">
      <c r="B16" s="5" t="inlineStr">
        <is>
          <t>Worker Concentration (top 1)</t>
        </is>
      </c>
      <c r="C16" s="34" t="n">
        <v>0.207345971563981</v>
      </c>
      <c r="D16" s="14" t="inlineStr">
        <is>
          <t>&lt;25%</t>
        </is>
      </c>
      <c r="E16" s="36" t="inlineStr">
        <is>
          <t>ELEVATED</t>
        </is>
      </c>
      <c r="F16" s="5" t="inlineStr">
        <is>
          <t>20.7% from single worker</t>
        </is>
      </c>
    </row>
    <row r="17">
      <c r="B17" s="5" t="inlineStr">
        <is>
          <t>Rough-in Labor Share</t>
        </is>
      </c>
      <c r="C17" s="34" t="n">
        <v>0.5994602422327541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60% on rough-in</t>
        </is>
      </c>
    </row>
    <row r="18">
      <c r="B18" s="5" t="inlineStr">
        <is>
          <t>Rough-in Budget Variance</t>
        </is>
      </c>
      <c r="C18" s="34" t="n">
        <v>-0.3069862178477866</v>
      </c>
      <c r="D18" s="14" t="inlineStr">
        <is>
          <t>±10%</t>
        </is>
      </c>
      <c r="E18" s="36" t="inlineStr">
        <is>
          <t>ELEVATED</t>
        </is>
      </c>
      <c r="F18" s="5" t="inlineStr">
        <is>
          <t>-30.7%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4" t="n">
        <v>0.498473419728818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49.8% — exceeds multifamily benchmark</t>
        </is>
      </c>
    </row>
    <row r="26">
      <c r="B26" s="5" t="inlineStr">
        <is>
          <t>Deductive CO tracking</t>
        </is>
      </c>
      <c r="C26" s="14" t="inlineStr">
        <is>
          <t>Documented via scope revision</t>
        </is>
      </c>
      <c r="D26" s="14" t="inlineStr">
        <is>
          <t>Verified</t>
        </is>
      </c>
      <c r="E26" s="14" t="inlineStr">
        <is>
          <t>Contract change mechanism</t>
        </is>
      </c>
      <c r="F26" s="5" t="inlineStr">
        <is>
          <t>Verify CO documentation in Change Orders folder</t>
        </is>
      </c>
    </row>
    <row r="27">
      <c r="B27" s="5" t="inlineStr">
        <is>
          <t>Composite risk score (0-100)</t>
        </is>
      </c>
      <c r="C27" s="14" t="n">
        <v>15</v>
      </c>
      <c r="D27" s="14" t="inlineStr">
        <is>
          <t>Low</t>
        </is>
      </c>
      <c r="E27" s="14" t="inlineStr">
        <is>
          <t>Strong margin, lean overhead, good labor efficiency</t>
        </is>
      </c>
      <c r="F27" s="5" t="inlineStr">
        <is>
          <t>Minor: verify deductive CO documentation</t>
        </is>
      </c>
    </row>
    <row r="28">
      <c r="B28" s="5" t="inlineStr">
        <is>
          <t>Would re-bid margin target</t>
        </is>
      </c>
      <c r="C28" s="14" t="inlineStr">
        <is>
          <t>≥45%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Strong execution; maintain labor-light approach</t>
        </is>
      </c>
    </row>
    <row r="29">
      <c r="B29" s="5" t="inlineStr">
        <is>
          <t>Unit-level economics</t>
        </is>
      </c>
      <c r="C29" s="14" t="inlineStr">
        <is>
          <t>$3,796/unit rev, $1,892/unit profit</t>
        </is>
      </c>
      <c r="D29" s="14" t="inlineStr">
        <is>
          <t>Verified</t>
        </is>
      </c>
      <c r="E29" s="14" t="inlineStr">
        <is>
          <t>296 units from project scope</t>
        </is>
      </c>
      <c r="F29" s="5" t="inlineStr">
        <is>
          <t>Benchmark for future 296+ unit multifamily projects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2029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2029 Job Detail Report.pdf (Sage Timberline, 04/03/2026, 190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Parsonage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2029 Job Detail Report.pdf (Sage Timberline, 04/03/2026, 190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Parsonage — 296-unit multifamily plumbing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Exxel Pacific Parsonage Subcontract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Exxel Pacific Parsonage Subcontract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2029EP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2029 Job Detail Report.pdf (Sage Timberline, 04/03/2026, 190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Exxel Pacific (self-performed developer)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Exxel Pacific Parsonage Subcontract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Parsonage, WA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Exxel Pacific Parsonage Subcontract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Pacific Parsonage Proposal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Per JDR PR/AR dates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2029 Job Detail Report.pdf (Sage Timberline, 04/03/2026, 190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Per JDR PR/AR dates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2029 Job Detail Report.pdf (Sage Timberline, 04/03/2026, 190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14" t="inlineStr">
        <is>
          <t>Per JDR dates</t>
        </is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296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Pacific Parsonage Proposal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14" t="inlineStr">
        <is>
          <t>Per design</t>
        </is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Pacific Parsonage Proposal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14" t="inlineStr">
        <is>
          <t>Per design</t>
        </is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Pacific Parsonage Proposal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14" t="inlineStr">
        <is>
          <t>Per design</t>
        </is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Pacific Parsonage Proposal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14" t="inlineStr">
        <is>
          <t>Per design</t>
        </is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Pacific Parsonage Proposal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14" t="inlineStr">
        <is>
          <t>Per design</t>
        </is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Pacific Parsonage Proposal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29" t="n">
        <v>1113220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Exxel Pacific Parsonage Subcontract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29" t="n">
        <v>1123747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2029 Job Detail Report.pdf (Sage Timberline, 04/03/2026, 190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29" t="n">
        <v>10527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2029 Job Detail Report.pdf (Sage Timberline, 04/03/2026, 190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29" t="n">
        <v>10527</v>
      </c>
      <c r="F26" s="14" t="inlineStr">
        <is>
          <t>USD</t>
        </is>
      </c>
      <c r="G26" s="14" t="inlineStr">
        <is>
          <t>Benchmark KPIs</t>
        </is>
      </c>
      <c r="H26" s="36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0" t="n">
        <v>0.009456351844199708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29" t="n">
        <v>1123747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2029 Job Detail Report.pdf (Sage Timberline, 04/03/2026, 190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29" t="n">
        <v>563588.99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2029 Job Detail Report.pdf (Sage Timberline, 04/03/2026, 190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29" t="n">
        <v>560158.01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2029 Job Detail Report.pdf (Sage Timberline, 04/03/2026, 190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0" t="n">
        <v>0.498473419728818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29" t="n">
        <v>56289.55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2029 Job Detail Report.pdf (Sage Timberline, 04/03/2026, 190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0" t="n">
        <v>0.05009094573778618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29" t="n">
        <v>188045.5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2029 Job Detail Report.pdf (Sage Timberline, 04/03/2026, 190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29" t="n">
        <v>242874.9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2029 Job Detail Report.pdf (Sage Timberline, 04/03/2026, 190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29" t="n">
        <v>34886.41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2029 Job Detail Report.pdf (Sage Timberline, 04/03/2026, 190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29" t="n">
        <v>83396.48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2029 Job Detail Report.pdf (Sage Timberline, 04/03/2026, 190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29" t="n">
        <v>14385.7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2029 Job Detail Report.pdf (Sage Timberline, 04/03/2026, 190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7596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2029 Job Detail Report.pdf (Sage Timberline, 04/03/2026, 190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21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2029 Job Detail Report.pdf (Sage Timberline, 04/03/2026, 190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29" t="n">
        <v>24.75585834649816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29" t="n">
        <v>37.62870984728804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2" t="n">
        <v>1.519992129564387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29" t="n">
        <v>147.9393101632438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29" t="n">
        <v>73.74381384939441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29" t="n">
        <v>12214.64130434783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29" t="n">
        <v>6125.967282608695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82.56521739130434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0" t="n">
        <v>0.167337932826517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0" t="n">
        <v>0.2161295202567838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15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2029 Job Detail Report.pdf (Sage Timberline, 04/03/2026, 190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17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2029 Job Detail Report.pdf (Sage Timberline, 04/03/2026, 190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0" t="n">
        <v>0.207345971563981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0" t="n">
        <v>0.7010268562401264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27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2029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1123747</v>
      </c>
      <c r="E6" s="20" t="n">
        <v>1123747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563588.99</v>
      </c>
      <c r="E7" s="20" t="n">
        <v>563588.99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560158.01</v>
      </c>
      <c r="E8" s="20" t="n">
        <v>560158.01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466556.02</v>
      </c>
      <c r="E9" s="20" t="n">
        <v>563588.99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1123747</v>
      </c>
      <c r="E10" s="20" t="n">
        <v>1123747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7596</v>
      </c>
      <c r="E11" s="20" t="n">
        <v>7609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188045.5</v>
      </c>
      <c r="E12" s="20" t="n">
        <v>188045.5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243624.11</v>
      </c>
      <c r="E13" s="20" t="n">
        <v>243624.11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17</v>
      </c>
      <c r="E14" s="39" t="n">
        <v>17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10527</v>
      </c>
      <c r="E15" s="20" t="n">
        <v>10527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10527</v>
      </c>
      <c r="E16" s="20" t="n">
        <v>10527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Deductive scope revision</t>
        </is>
      </c>
    </row>
    <row r="17">
      <c r="B17" s="14" t="n">
        <v>12</v>
      </c>
      <c r="C17" s="5" t="inlineStr">
        <is>
          <t>Retainage outstanding</t>
        </is>
      </c>
      <c r="D17" s="20" t="n">
        <v>56289.55</v>
      </c>
      <c r="E17" s="20" t="n">
        <v>56289.55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21</v>
      </c>
      <c r="E18" s="39" t="n">
        <v>21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</t>
        </is>
      </c>
    </row>
    <row r="19">
      <c r="B19" s="14" t="n">
        <v>14</v>
      </c>
      <c r="C19" s="5" t="inlineStr">
        <is>
          <t>Cost code count</t>
        </is>
      </c>
      <c r="D19" s="39" t="n">
        <v>27</v>
      </c>
      <c r="E19" s="39" t="n">
        <v>27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#2029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2029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$1,123,747.00 / Expenses $563,588.99 / Net $560,158.01 / Retainage $56,289.55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$34,886.41 · AP $243,624.11 · PR $188,045.50 · AR $1,123,747.00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Exxel Pacific Parsonage Subcontract (Lump Sum $1,113,220.00 descoped to $1,123,747.00, Exxel Pacific (self-performed developer))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Pacific Parsonage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Fixture schedule: Parsonage fixture schedule (296-unit multifamily specification)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Parsonage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Deductive scope reduction from original contract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Financial reconciliation: GL + AP + PR = Expenses; AR = Revenue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Contract descoping: JDR-implied COs = $10,527.00;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TIES = within $1  ·  WITHIN = within 5%  ·  OFF = investigate</t>
        </is>
      </c>
      <c r="C35" s="6" t="n"/>
      <c r="D35" s="6" t="n"/>
      <c r="E35" s="6" t="n"/>
      <c r="F35" s="6" t="n"/>
      <c r="G35" s="6" t="n"/>
      <c r="H35" s="7" t="n"/>
    </row>
  </sheetData>
  <mergeCells count="15"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2026-04-16T15:00:53Z</dcterms:created>
  <dcterms:modified xmlns:dcterms="http://purl.org/dc/terms/" xmlns:xsi="http://www.w3.org/2001/XMLSchema-instance" xsi:type="dcterms:W3CDTF">2026-04-16T15:00:53Z</dcterms:modified>
</cp:coreProperties>
</file>