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;[Red]-&quot;$&quot;#,##0.00"/>
    <numFmt numFmtId="166" formatCode="0.0%"/>
    <numFmt numFmtId="167" formatCode="0.00&quot;x&quot;"/>
    <numFmt numFmtId="168" formatCode="&quot;$&quot;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168" fontId="12" fillId="11" borderId="1" applyAlignment="1" pivotButton="0" quotePrefix="0" xfId="0">
      <alignment horizontal="right" vertical="center"/>
    </xf>
    <xf numFmtId="0" fontId="0" fillId="11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165" fontId="12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  <xf numFmtId="4" fontId="12" fillId="11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4" fontId="12" fillId="11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10" fontId="12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167" fontId="12" fillId="11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Job #2029 · Exxel Pacific Parsonage</t>
        </is>
      </c>
    </row>
    <row r="3" ht="22" customHeight="1">
      <c r="B3" s="43" t="inlineStr">
        <is>
          <t>Cortex JCR Cortex v2  •  Exxel Pacific, Inc. (customer 2029EP)  •  Parsonage, WA  •  Owner: Exxel Pacific (self-performed developer)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PROJECT OVERVIEW</t>
        </is>
      </c>
    </row>
    <row r="6">
      <c r="B6" s="46" t="inlineStr">
        <is>
          <t>Project Job #</t>
        </is>
      </c>
      <c r="C6" s="47" t="inlineStr">
        <is>
          <t>2029</t>
        </is>
      </c>
      <c r="D6" s="6" t="n"/>
      <c r="E6" s="7" t="n"/>
      <c r="F6" s="47" t="inlineStr">
        <is>
          <t>2029 Job Detail Report.pdf (Sage Timberline, 04/03/2026, 190 pages) header</t>
        </is>
      </c>
      <c r="G6" s="6" t="n"/>
      <c r="H6" s="6" t="n"/>
      <c r="I6" s="6" t="n"/>
      <c r="J6" s="7" t="n"/>
    </row>
    <row r="7">
      <c r="B7" s="48" t="inlineStr">
        <is>
          <t>Project Name (Sage)</t>
        </is>
      </c>
      <c r="C7" s="49" t="inlineStr">
        <is>
          <t>Exxel Pacific Parsonage</t>
        </is>
      </c>
      <c r="D7" s="50" t="n"/>
      <c r="E7" s="51" t="n"/>
      <c r="F7" s="49" t="inlineStr">
        <is>
          <t>2029 Job Detail Report.pdf (Sage Timberline, 04/03/2026, 190 pages) header</t>
        </is>
      </c>
      <c r="G7" s="50" t="n"/>
      <c r="H7" s="50" t="n"/>
      <c r="I7" s="50" t="n"/>
      <c r="J7" s="51" t="n"/>
    </row>
    <row r="8">
      <c r="B8" s="46" t="inlineStr">
        <is>
          <t>Project Description</t>
        </is>
      </c>
      <c r="C8" s="47" t="inlineStr">
        <is>
          <t>Parsonage — 296-unit new construction plumbing</t>
        </is>
      </c>
      <c r="D8" s="6" t="n"/>
      <c r="E8" s="7" t="n"/>
      <c r="F8" s="47" t="inlineStr">
        <is>
          <t>Exxel Pacific Parsonage Subcontract / AR line descriptions</t>
        </is>
      </c>
      <c r="G8" s="6" t="n"/>
      <c r="H8" s="6" t="n"/>
      <c r="I8" s="6" t="n"/>
      <c r="J8" s="7" t="n"/>
    </row>
    <row r="9">
      <c r="B9" s="48" t="inlineStr">
        <is>
          <t>General Contractor</t>
        </is>
      </c>
      <c r="C9" s="49" t="inlineStr">
        <is>
          <t>Exxel Pacific, Inc.</t>
        </is>
      </c>
      <c r="D9" s="50" t="n"/>
      <c r="E9" s="51" t="n"/>
      <c r="F9" s="49" t="inlineStr">
        <is>
          <t>Exxel Pacific Parsonage Subcontract</t>
        </is>
      </c>
      <c r="G9" s="50" t="n"/>
      <c r="H9" s="50" t="n"/>
      <c r="I9" s="50" t="n"/>
      <c r="J9" s="51" t="n"/>
    </row>
    <row r="10">
      <c r="B10" s="46" t="inlineStr">
        <is>
          <t>Customer Code (Sage)</t>
        </is>
      </c>
      <c r="C10" s="47" t="inlineStr">
        <is>
          <t>2029EP</t>
        </is>
      </c>
      <c r="D10" s="6" t="n"/>
      <c r="E10" s="7" t="n"/>
      <c r="F10" s="47" t="inlineStr">
        <is>
          <t>2029 Job Detail Report.pdf (Sage Timberline, 04/03/2026, 190 pages)</t>
        </is>
      </c>
      <c r="G10" s="6" t="n"/>
      <c r="H10" s="6" t="n"/>
      <c r="I10" s="6" t="n"/>
      <c r="J10" s="7" t="n"/>
    </row>
    <row r="11">
      <c r="B11" s="48" t="inlineStr">
        <is>
          <t>Owner / Developer</t>
        </is>
      </c>
      <c r="C11" s="49" t="inlineStr">
        <is>
          <t>Exxel Pacific (self-performed developer)</t>
        </is>
      </c>
      <c r="D11" s="50" t="n"/>
      <c r="E11" s="51" t="n"/>
      <c r="F11" s="49" t="inlineStr">
        <is>
          <t>Exxel Pacific Parsonage Subcontract</t>
        </is>
      </c>
      <c r="G11" s="50" t="n"/>
      <c r="H11" s="50" t="n"/>
      <c r="I11" s="50" t="n"/>
      <c r="J11" s="51" t="n"/>
    </row>
    <row r="12">
      <c r="B12" s="46" t="inlineStr">
        <is>
          <t>Jobsite Location</t>
        </is>
      </c>
      <c r="C12" s="47" t="inlineStr">
        <is>
          <t>Parsonage, WA</t>
        </is>
      </c>
      <c r="D12" s="6" t="n"/>
      <c r="E12" s="7" t="n"/>
      <c r="F12" s="47" t="inlineStr">
        <is>
          <t>Exxel Pacific Parsonage Subcontract</t>
        </is>
      </c>
      <c r="G12" s="6" t="n"/>
      <c r="H12" s="6" t="n"/>
      <c r="I12" s="6" t="n"/>
      <c r="J12" s="7" t="n"/>
    </row>
    <row r="13">
      <c r="B13" s="48" t="inlineStr">
        <is>
          <t>Contract / PO Document</t>
        </is>
      </c>
      <c r="C13" s="49" t="inlineStr">
        <is>
          <t>Exxel Pacific Parsonage Subcontract</t>
        </is>
      </c>
      <c r="D13" s="50" t="n"/>
      <c r="E13" s="51" t="n"/>
      <c r="F13" s="49" t="inlineStr">
        <is>
          <t>Lump Sum subcontract</t>
        </is>
      </c>
      <c r="G13" s="50" t="n"/>
      <c r="H13" s="50" t="n"/>
      <c r="I13" s="50" t="n"/>
      <c r="J13" s="51" t="n"/>
    </row>
    <row r="14">
      <c r="B14" s="46" t="inlineStr">
        <is>
          <t>Plans / Specifications</t>
        </is>
      </c>
      <c r="C14" s="47" t="inlineStr">
        <is>
          <t>Parsonage plumbing narrative (Div 22 plumbing narrative) + fixture schedule + proposal</t>
        </is>
      </c>
      <c r="D14" s="6" t="n"/>
      <c r="E14" s="7" t="n"/>
      <c r="F14" s="47" t="inlineStr">
        <is>
          <t>Folder scan</t>
        </is>
      </c>
      <c r="G14" s="6" t="n"/>
      <c r="H14" s="6" t="n"/>
      <c r="I14" s="6" t="n"/>
      <c r="J14" s="7" t="n"/>
    </row>
    <row r="15">
      <c r="B15" s="48" t="inlineStr">
        <is>
          <t>Fixture Schedule</t>
        </is>
      </c>
      <c r="C15" s="49" t="inlineStr">
        <is>
          <t>Parsonage fixture schedule (fixture schedule for 296-unit multifamily)</t>
        </is>
      </c>
      <c r="D15" s="50" t="n"/>
      <c r="E15" s="51" t="n"/>
      <c r="F15" s="49" t="inlineStr">
        <is>
          <t>Referenced</t>
        </is>
      </c>
      <c r="G15" s="50" t="n"/>
      <c r="H15" s="50" t="n"/>
      <c r="I15" s="50" t="n"/>
      <c r="J15" s="51" t="n"/>
    </row>
    <row r="16">
      <c r="B16" s="46" t="inlineStr">
        <is>
          <t>Bid Proposal</t>
        </is>
      </c>
      <c r="C16" s="47" t="inlineStr">
        <is>
          <t>Exxel Pacific Parsonage Proposal</t>
        </is>
      </c>
      <c r="D16" s="6" t="n"/>
      <c r="E16" s="7" t="n"/>
      <c r="F16" s="47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8" t="inlineStr">
        <is>
          <t>Contract Type</t>
        </is>
      </c>
      <c r="C17" s="49" t="inlineStr">
        <is>
          <t>Lump Sum</t>
        </is>
      </c>
      <c r="D17" s="50" t="n"/>
      <c r="E17" s="51" t="n"/>
      <c r="F17" s="49" t="inlineStr">
        <is>
          <t>Exxel Pacific Parsonage Subcontract</t>
        </is>
      </c>
      <c r="G17" s="50" t="n"/>
      <c r="H17" s="50" t="n"/>
      <c r="I17" s="50" t="n"/>
      <c r="J17" s="51" t="n"/>
    </row>
    <row r="18">
      <c r="B18" s="46" t="inlineStr">
        <is>
          <t>Work Period</t>
        </is>
      </c>
      <c r="C18" s="47" t="inlineStr">
        <is>
          <t>Per PR/AR posting dates in JDR</t>
        </is>
      </c>
      <c r="D18" s="6" t="n"/>
      <c r="E18" s="7" t="n"/>
      <c r="F18" s="47" t="inlineStr">
        <is>
          <t>2029 Job Detail Report.pdf (Sage Timberline, 04/03/2026, 190 pages)</t>
        </is>
      </c>
      <c r="G18" s="6" t="n"/>
      <c r="H18" s="6" t="n"/>
      <c r="I18" s="6" t="n"/>
      <c r="J18" s="7" t="n"/>
    </row>
    <row r="19">
      <c r="B19" s="48" t="inlineStr">
        <is>
          <t>Total Unique Documents Reviewed</t>
        </is>
      </c>
      <c r="C19" s="52" t="n">
        <v>1924</v>
      </c>
      <c r="D19" s="50" t="n"/>
      <c r="E19" s="51" t="n"/>
      <c r="F19" s="49" t="inlineStr">
        <is>
          <t>File inventory across owp-2029/</t>
        </is>
      </c>
      <c r="G19" s="50" t="n"/>
      <c r="H19" s="50" t="n"/>
      <c r="I19" s="50" t="n"/>
      <c r="J19" s="51" t="n"/>
    </row>
    <row r="20"/>
    <row r="21">
      <c r="B21" s="45" t="inlineStr">
        <is>
          <t>CONTRACT VALUE</t>
        </is>
      </c>
      <c r="C21" s="53" t="n"/>
      <c r="D21" s="54" t="inlineStr">
        <is>
          <t>NET PROFIT</t>
        </is>
      </c>
      <c r="E21" s="53" t="n"/>
      <c r="F21" s="54" t="inlineStr">
        <is>
          <t>DIRECT COST</t>
        </is>
      </c>
      <c r="G21" s="53" t="n"/>
      <c r="H21" s="54" t="inlineStr">
        <is>
          <t>LABOR HOURS</t>
        </is>
      </c>
      <c r="I21" s="53" t="n"/>
      <c r="J21" s="53" t="n"/>
    </row>
    <row r="22">
      <c r="B22" s="55" t="n">
        <v>1123747</v>
      </c>
      <c r="D22" s="55" t="n">
        <v>560158.01</v>
      </c>
      <c r="F22" s="55" t="n">
        <v>563588.99</v>
      </c>
      <c r="H22" s="56" t="n">
        <v>7596</v>
      </c>
    </row>
    <row r="23">
      <c r="B23" s="48" t="inlineStr">
        <is>
          <t>Original $1,113,220.00 + $10,527.00 COs (0.95%)</t>
        </is>
      </c>
      <c r="C23" s="53" t="n"/>
      <c r="D23" s="49" t="inlineStr">
        <is>
          <t>49.8% margin</t>
        </is>
      </c>
      <c r="E23" s="53" t="n"/>
      <c r="F23" s="49" t="inlineStr">
        <is>
          <t>50.2% of revenue</t>
        </is>
      </c>
      <c r="G23" s="53" t="n"/>
      <c r="H23" s="49" t="inlineStr">
        <is>
          <t>21 workers</t>
        </is>
      </c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57" t="inlineStr">
        <is>
          <t>SCOPE OF WORK (from contract + proposal)</t>
        </is>
      </c>
    </row>
    <row r="27">
      <c r="B27" s="48" t="inlineStr">
        <is>
          <t>Full plumbing installation: underground, rough-in, finish, gas piping, water mains, insulation, mechanical room, and warranty.</t>
        </is>
      </c>
      <c r="C27" s="50" t="n"/>
      <c r="D27" s="50" t="n"/>
      <c r="E27" s="50" t="n"/>
      <c r="F27" s="50" t="n"/>
      <c r="G27" s="50" t="n"/>
      <c r="H27" s="50" t="n"/>
      <c r="I27" s="50" t="n"/>
      <c r="J27" s="51" t="n"/>
    </row>
    <row r="28">
      <c r="B28" s="46" t="inlineStr">
        <is>
          <t>296-unit multifamily new construction at Parsonage,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8" t="inlineStr">
        <is>
          <t>5 levels above ground, 1 level below grade (per Job Info).</t>
        </is>
      </c>
      <c r="C29" s="50" t="n"/>
      <c r="D29" s="50" t="n"/>
      <c r="E29" s="50" t="n"/>
      <c r="F29" s="50" t="n"/>
      <c r="G29" s="50" t="n"/>
      <c r="H29" s="50" t="n"/>
      <c r="I29" s="50" t="n"/>
      <c r="J29" s="51" t="n"/>
    </row>
    <row r="30">
      <c r="B30" s="46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8" t="inlineStr">
        <is>
          <t>Spec compliance: Current Building Code + UPC with Washington state amendments.</t>
        </is>
      </c>
      <c r="C31" s="50" t="n"/>
      <c r="D31" s="50" t="n"/>
      <c r="E31" s="50" t="n"/>
      <c r="F31" s="50" t="n"/>
      <c r="G31" s="50" t="n"/>
      <c r="H31" s="50" t="n"/>
      <c r="I31" s="50" t="n"/>
      <c r="J31" s="51" t="n"/>
    </row>
    <row r="32"/>
    <row r="33"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</row>
    <row r="34">
      <c r="B34" s="58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48" t="inlineStr">
        <is>
          <t>Canonical financial source: 2029 Job Detail Report.pdf (Sage Timberline, 04/03/2026, 190 pages)</t>
        </is>
      </c>
      <c r="C35" s="50" t="n"/>
      <c r="D35" s="50" t="n"/>
      <c r="E35" s="50" t="n"/>
      <c r="F35" s="50" t="n"/>
      <c r="G35" s="50" t="n"/>
      <c r="H35" s="50" t="n"/>
      <c r="I35" s="50" t="n"/>
      <c r="J35" s="51" t="n"/>
    </row>
    <row r="36">
      <c r="B36" s="46" t="inlineStr">
        <is>
          <t>Job totals (JDR footer): Revenue $1,123,747.00 / Expenses $563,588.99 / Net $560,158.01 / Retainage $56,289.55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48" t="inlineStr">
        <is>
          <t>Source breakdown: GL $34,886.41 · AP $243,624.11 · PR $188,045.50 · AR $1,123,747.00</t>
        </is>
      </c>
      <c r="C37" s="50" t="n"/>
      <c r="D37" s="50" t="n"/>
      <c r="E37" s="50" t="n"/>
      <c r="F37" s="50" t="n"/>
      <c r="G37" s="50" t="n"/>
      <c r="H37" s="50" t="n"/>
      <c r="I37" s="50" t="n"/>
      <c r="J37" s="51" t="n"/>
    </row>
    <row r="38">
      <c r="B38" s="46" t="inlineStr">
        <is>
          <t>Contract: Exxel Pacific Parsonage Subcontract (Lump Sum $1,113,220.00, descoped to $1,123,747.00)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8" t="inlineStr">
        <is>
          <t>Proposal: Exxel Pacific Parsonage Proposal</t>
        </is>
      </c>
      <c r="C39" s="50" t="n"/>
      <c r="D39" s="50" t="n"/>
      <c r="E39" s="50" t="n"/>
      <c r="F39" s="50" t="n"/>
      <c r="G39" s="50" t="n"/>
      <c r="H39" s="50" t="n"/>
      <c r="I39" s="50" t="n"/>
      <c r="J39" s="51" t="n"/>
    </row>
    <row r="40">
      <c r="B40" s="46" t="inlineStr">
        <is>
          <t>Fixture schedule: Parsonage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8" t="inlineStr">
        <is>
          <t>Plumbing narrative: Parsonage plumbing narrative</t>
        </is>
      </c>
      <c r="C41" s="50" t="n"/>
      <c r="D41" s="50" t="n"/>
      <c r="E41" s="50" t="n"/>
      <c r="F41" s="50" t="n"/>
      <c r="G41" s="50" t="n"/>
      <c r="H41" s="50" t="n"/>
      <c r="I41" s="50" t="n"/>
      <c r="J41" s="51" t="n"/>
    </row>
    <row r="42">
      <c r="B42" s="46" t="inlineStr">
        <is>
          <t>Change Orders: Deductive scope changes; net contract reduction ${CO_TOTAL_IMPLIED:,.2f}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</row>
    <row r="44"/>
    <row r="45">
      <c r="B45" s="59" t="inlineStr">
        <is>
          <t>PROJECT TEAM (OWP Job Info)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</row>
    <row r="46">
      <c r="B46" s="60" t="inlineStr">
        <is>
          <t>Role</t>
        </is>
      </c>
      <c r="C46" s="61" t="inlineStr">
        <is>
          <t>Status</t>
        </is>
      </c>
      <c r="D46" s="61" t="inlineStr">
        <is>
          <t>Name / Firm</t>
        </is>
      </c>
    </row>
    <row r="47">
      <c r="B47" s="59" t="inlineStr">
        <is>
          <t>GC</t>
        </is>
      </c>
      <c r="C47" s="62" t="inlineStr">
        <is>
          <t>Extracted</t>
        </is>
      </c>
      <c r="D47" s="63" t="inlineStr">
        <is>
          <t>Exxel Pacific, Inc.</t>
        </is>
      </c>
      <c r="E47" s="53" t="n"/>
      <c r="F47" s="53" t="n"/>
      <c r="G47" s="53" t="n"/>
      <c r="H47" s="53" t="n"/>
      <c r="I47" s="53" t="n"/>
      <c r="J47" s="53" t="n"/>
    </row>
    <row r="48">
      <c r="B48" s="60" t="inlineStr">
        <is>
          <t>GC PM</t>
        </is>
      </c>
      <c r="C48" s="62" t="inlineStr">
        <is>
          <t>Extracted</t>
        </is>
      </c>
      <c r="D48" s="61" t="inlineStr">
        <is>
          <t>Brett / Franklin (per project subfolders)</t>
        </is>
      </c>
    </row>
    <row r="49">
      <c r="B49" s="59" t="inlineStr">
        <is>
          <t>GC Superintendent</t>
        </is>
      </c>
      <c r="C49" s="64" t="inlineStr">
        <is>
          <t>N/A</t>
        </is>
      </c>
      <c r="D49" s="63" t="inlineStr">
        <is>
          <t>N/A</t>
        </is>
      </c>
      <c r="E49" s="53" t="n"/>
      <c r="F49" s="53" t="n"/>
      <c r="G49" s="53" t="n"/>
      <c r="H49" s="53" t="n"/>
      <c r="I49" s="53" t="n"/>
      <c r="J49" s="53" t="n"/>
    </row>
    <row r="50">
      <c r="B50" s="60" t="inlineStr">
        <is>
          <t>GC PE</t>
        </is>
      </c>
      <c r="C50" s="64" t="inlineStr">
        <is>
          <t>N/A</t>
        </is>
      </c>
      <c r="D50" s="61" t="inlineStr">
        <is>
          <t>N/A</t>
        </is>
      </c>
    </row>
    <row r="51">
      <c r="B51" s="59" t="inlineStr">
        <is>
          <t>Developer</t>
        </is>
      </c>
      <c r="C51" s="62" t="inlineStr">
        <is>
          <t>Extracted</t>
        </is>
      </c>
      <c r="D51" s="63" t="inlineStr">
        <is>
          <t>Exxel Pacific (self-performed)</t>
        </is>
      </c>
      <c r="E51" s="53" t="n"/>
      <c r="F51" s="53" t="n"/>
      <c r="G51" s="53" t="n"/>
      <c r="H51" s="53" t="n"/>
      <c r="I51" s="53" t="n"/>
      <c r="J51" s="53" t="n"/>
    </row>
    <row r="52">
      <c r="B52" s="60" t="inlineStr">
        <is>
          <t>Architect</t>
        </is>
      </c>
      <c r="C52" s="64" t="inlineStr">
        <is>
          <t>N/A</t>
        </is>
      </c>
      <c r="D52" s="61" t="inlineStr">
        <is>
          <t>N/A</t>
        </is>
      </c>
    </row>
    <row r="53">
      <c r="B53" s="59" t="inlineStr">
        <is>
          <t>Structural</t>
        </is>
      </c>
      <c r="C53" s="64" t="inlineStr">
        <is>
          <t>N/A</t>
        </is>
      </c>
      <c r="D53" s="63" t="inlineStr">
        <is>
          <t>N/A</t>
        </is>
      </c>
      <c r="E53" s="53" t="n"/>
      <c r="F53" s="53" t="n"/>
      <c r="G53" s="53" t="n"/>
      <c r="H53" s="53" t="n"/>
      <c r="I53" s="53" t="n"/>
      <c r="J53" s="53" t="n"/>
    </row>
    <row r="54">
      <c r="B54" s="60" t="inlineStr">
        <is>
          <t>Acoustical</t>
        </is>
      </c>
      <c r="C54" s="64" t="inlineStr">
        <is>
          <t>N/A</t>
        </is>
      </c>
      <c r="D54" s="61" t="inlineStr">
        <is>
          <t>N/A</t>
        </is>
      </c>
    </row>
    <row r="55">
      <c r="B55" s="59" t="inlineStr">
        <is>
          <t>ADA Consultant</t>
        </is>
      </c>
      <c r="C55" s="64" t="inlineStr">
        <is>
          <t>N/A</t>
        </is>
      </c>
      <c r="D55" s="63" t="inlineStr">
        <is>
          <t>N/A</t>
        </is>
      </c>
      <c r="E55" s="53" t="n"/>
      <c r="F55" s="53" t="n"/>
      <c r="G55" s="53" t="n"/>
      <c r="H55" s="53" t="n"/>
      <c r="I55" s="53" t="n"/>
      <c r="J55" s="53" t="n"/>
    </row>
    <row r="56">
      <c r="B56" s="60" t="inlineStr">
        <is>
          <t>Interior Design</t>
        </is>
      </c>
      <c r="C56" s="64" t="inlineStr">
        <is>
          <t>N/A</t>
        </is>
      </c>
      <c r="D56" s="61" t="inlineStr">
        <is>
          <t>N/A</t>
        </is>
      </c>
    </row>
    <row r="57">
      <c r="B57" s="59" t="inlineStr">
        <is>
          <t>MEP Engineer</t>
        </is>
      </c>
      <c r="C57" s="62" t="inlineStr">
        <is>
          <t>Extracted</t>
        </is>
      </c>
      <c r="D57" s="63" t="inlineStr">
        <is>
          <t>Franklin Engineering</t>
        </is>
      </c>
      <c r="E57" s="53" t="n"/>
      <c r="F57" s="53" t="n"/>
      <c r="G57" s="53" t="n"/>
      <c r="H57" s="53" t="n"/>
      <c r="I57" s="53" t="n"/>
      <c r="J57" s="53" t="n"/>
    </row>
  </sheetData>
  <mergeCells count="54">
    <mergeCell ref="C16:E16"/>
    <mergeCell ref="D56:J56"/>
    <mergeCell ref="F11:J11"/>
    <mergeCell ref="B42:J42"/>
    <mergeCell ref="F10:J10"/>
    <mergeCell ref="F16:J16"/>
    <mergeCell ref="C9:E9"/>
    <mergeCell ref="F19:J19"/>
    <mergeCell ref="D55:J55"/>
    <mergeCell ref="F6:J6"/>
    <mergeCell ref="C12:E12"/>
    <mergeCell ref="B38:J38"/>
    <mergeCell ref="D51:J51"/>
    <mergeCell ref="B29:J29"/>
    <mergeCell ref="F7:J7"/>
    <mergeCell ref="C11:E11"/>
    <mergeCell ref="F15:J15"/>
    <mergeCell ref="B37:J37"/>
    <mergeCell ref="D50:J50"/>
    <mergeCell ref="F12:J12"/>
    <mergeCell ref="B28:J28"/>
    <mergeCell ref="D54:J54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D52:J52"/>
    <mergeCell ref="C18:E18"/>
    <mergeCell ref="B41:J41"/>
    <mergeCell ref="D57:J57"/>
    <mergeCell ref="B35:J35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Budget vs Actual</t>
        </is>
      </c>
    </row>
    <row r="3" ht="22" customHeight="1">
      <c r="B3" s="43" t="inlineStr">
        <is>
          <t>All 27 cost codes from JDR. Contract $1,113,220 → $1,123,747 (COs +$10,527.00).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6" t="inlineStr">
        <is>
          <t>100</t>
        </is>
      </c>
      <c r="C6" s="47" t="inlineStr">
        <is>
          <t>Supervision</t>
        </is>
      </c>
      <c r="D6" s="66" t="n">
        <v>8700</v>
      </c>
      <c r="E6" s="66" t="n">
        <v>8747</v>
      </c>
      <c r="F6" s="66" t="n">
        <v>3269.5</v>
      </c>
      <c r="G6" s="67">
        <f>F6-E6</f>
        <v/>
      </c>
      <c r="H6" s="68">
        <f>IF(E6=0,"",F6/E6)</f>
        <v/>
      </c>
      <c r="I6" s="56" t="n">
        <v>71.5</v>
      </c>
      <c r="J6" s="47" t="inlineStr">
        <is>
          <t>2029 Job Detail Report.pdf (Sage Timberline, 04/03/2026, 190 pages)</t>
        </is>
      </c>
    </row>
    <row r="7">
      <c r="B7" s="48" t="inlineStr">
        <is>
          <t>101</t>
        </is>
      </c>
      <c r="C7" s="49" t="inlineStr">
        <is>
          <t>Takeoff &amp; Purchase Labor</t>
        </is>
      </c>
      <c r="D7" s="69" t="n">
        <v>13700</v>
      </c>
      <c r="E7" s="69" t="n">
        <v>13896</v>
      </c>
      <c r="F7" s="69" t="n">
        <v>9512.5</v>
      </c>
      <c r="G7" s="70">
        <f>F7-E7</f>
        <v/>
      </c>
      <c r="H7" s="71">
        <f>IF(E7=0,"",F7/E7)</f>
        <v/>
      </c>
      <c r="I7" s="72" t="n">
        <v>203.5</v>
      </c>
      <c r="J7" s="49" t="inlineStr">
        <is>
          <t>2029 Job Detail Report.pdf (Sage Timberline, 04/03/2026, 190 pages)</t>
        </is>
      </c>
    </row>
    <row r="8">
      <c r="B8" s="46" t="inlineStr">
        <is>
          <t>110</t>
        </is>
      </c>
      <c r="C8" s="47" t="inlineStr">
        <is>
          <t>Underground Labor</t>
        </is>
      </c>
      <c r="D8" s="66" t="n">
        <v>11700</v>
      </c>
      <c r="E8" s="66" t="n">
        <v>12114.5</v>
      </c>
      <c r="F8" s="66" t="n">
        <v>12604</v>
      </c>
      <c r="G8" s="67">
        <f>F8-E8</f>
        <v/>
      </c>
      <c r="H8" s="68">
        <f>IF(E8=0,"",F8/E8)</f>
        <v/>
      </c>
      <c r="I8" s="56" t="n">
        <v>450</v>
      </c>
      <c r="J8" s="47" t="inlineStr">
        <is>
          <t>2029 Job Detail Report.pdf (Sage Timberline, 04/03/2026, 190 pages)</t>
        </is>
      </c>
    </row>
    <row r="9">
      <c r="B9" s="48" t="inlineStr">
        <is>
          <t>111</t>
        </is>
      </c>
      <c r="C9" s="49" t="inlineStr">
        <is>
          <t>Garage Labor</t>
        </is>
      </c>
      <c r="D9" s="69" t="n">
        <v>0</v>
      </c>
      <c r="E9" s="69" t="n">
        <v>0</v>
      </c>
      <c r="F9" s="69" t="n">
        <v>848</v>
      </c>
      <c r="G9" s="70">
        <f>F9-E9</f>
        <v/>
      </c>
      <c r="H9" s="71">
        <f>IF(E9=0,"",F9/E9)</f>
        <v/>
      </c>
      <c r="I9" s="72" t="n">
        <v>34</v>
      </c>
      <c r="J9" s="49" t="inlineStr">
        <is>
          <t>2029 Job Detail Report.pdf (Sage Timberline, 04/03/2026, 190 pages)</t>
        </is>
      </c>
    </row>
    <row r="10">
      <c r="B10" s="46" t="inlineStr">
        <is>
          <t>112</t>
        </is>
      </c>
      <c r="C10" s="47" t="inlineStr">
        <is>
          <t>Canout Labor</t>
        </is>
      </c>
      <c r="D10" s="66" t="n">
        <v>6800</v>
      </c>
      <c r="E10" s="66" t="n">
        <v>6800</v>
      </c>
      <c r="F10" s="66" t="n">
        <v>5435</v>
      </c>
      <c r="G10" s="67">
        <f>F10-E10</f>
        <v/>
      </c>
      <c r="H10" s="68">
        <f>IF(E10=0,"",F10/E10)</f>
        <v/>
      </c>
      <c r="I10" s="56" t="n">
        <v>188</v>
      </c>
      <c r="J10" s="47" t="inlineStr">
        <is>
          <t>2029 Job Detail Report.pdf (Sage Timberline, 04/03/2026, 190 pages)</t>
        </is>
      </c>
    </row>
    <row r="11">
      <c r="B11" s="48" t="inlineStr">
        <is>
          <t>120</t>
        </is>
      </c>
      <c r="C11" s="49" t="inlineStr">
        <is>
          <t>Roughin Labor</t>
        </is>
      </c>
      <c r="D11" s="69" t="n">
        <v>148500</v>
      </c>
      <c r="E11" s="69" t="n">
        <v>149251</v>
      </c>
      <c r="F11" s="69" t="n">
        <v>103433</v>
      </c>
      <c r="G11" s="70">
        <f>F11-E11</f>
        <v/>
      </c>
      <c r="H11" s="71">
        <f>IF(E11=0,"",F11/E11)</f>
        <v/>
      </c>
      <c r="I11" s="72" t="n">
        <v>4553.5</v>
      </c>
      <c r="J11" s="49" t="inlineStr">
        <is>
          <t>2029 Job Detail Report.pdf (Sage Timberline, 04/03/2026, 190 pages)</t>
        </is>
      </c>
    </row>
    <row r="12">
      <c r="B12" s="46" t="inlineStr">
        <is>
          <t>130</t>
        </is>
      </c>
      <c r="C12" s="47" t="inlineStr">
        <is>
          <t>Finish Labor</t>
        </is>
      </c>
      <c r="D12" s="66" t="n">
        <v>26200</v>
      </c>
      <c r="E12" s="66" t="n">
        <v>26808</v>
      </c>
      <c r="F12" s="66" t="n">
        <v>25915.5</v>
      </c>
      <c r="G12" s="67">
        <f>F12-E12</f>
        <v/>
      </c>
      <c r="H12" s="68">
        <f>IF(E12=0,"",F12/E12)</f>
        <v/>
      </c>
      <c r="I12" s="56" t="n">
        <v>979</v>
      </c>
      <c r="J12" s="47" t="inlineStr">
        <is>
          <t>2029 Job Detail Report.pdf (Sage Timberline, 04/03/2026, 190 pages)</t>
        </is>
      </c>
    </row>
    <row r="13">
      <c r="B13" s="48" t="inlineStr">
        <is>
          <t>140</t>
        </is>
      </c>
      <c r="C13" s="49" t="inlineStr">
        <is>
          <t>Gas Labor</t>
        </is>
      </c>
      <c r="D13" s="69" t="n">
        <v>2400</v>
      </c>
      <c r="E13" s="69" t="n">
        <v>2856</v>
      </c>
      <c r="F13" s="69" t="n">
        <v>2133</v>
      </c>
      <c r="G13" s="70">
        <f>F13-E13</f>
        <v/>
      </c>
      <c r="H13" s="71">
        <f>IF(E13=0,"",F13/E13)</f>
        <v/>
      </c>
      <c r="I13" s="72" t="n">
        <v>90.5</v>
      </c>
      <c r="J13" s="49" t="inlineStr">
        <is>
          <t>2029 Job Detail Report.pdf (Sage Timberline, 04/03/2026, 190 pages)</t>
        </is>
      </c>
    </row>
    <row r="14">
      <c r="B14" s="46" t="inlineStr">
        <is>
          <t>141</t>
        </is>
      </c>
      <c r="C14" s="47" t="inlineStr">
        <is>
          <t>Water Main/Insulation Lab</t>
        </is>
      </c>
      <c r="D14" s="66" t="n">
        <v>28200</v>
      </c>
      <c r="E14" s="66" t="n">
        <v>28756</v>
      </c>
      <c r="F14" s="66" t="n">
        <v>12249</v>
      </c>
      <c r="G14" s="67">
        <f>F14-E14</f>
        <v/>
      </c>
      <c r="H14" s="68">
        <f>IF(E14=0,"",F14/E14)</f>
        <v/>
      </c>
      <c r="I14" s="56" t="n">
        <v>553</v>
      </c>
      <c r="J14" s="47" t="inlineStr">
        <is>
          <t>2029 Job Detail Report.pdf (Sage Timberline, 04/03/2026, 190 pages)</t>
        </is>
      </c>
    </row>
    <row r="15">
      <c r="B15" s="48" t="inlineStr">
        <is>
          <t>142</t>
        </is>
      </c>
      <c r="C15" s="49" t="inlineStr">
        <is>
          <t>Mech Room Labor</t>
        </is>
      </c>
      <c r="D15" s="69" t="n">
        <v>11400</v>
      </c>
      <c r="E15" s="69" t="n">
        <v>11400</v>
      </c>
      <c r="F15" s="69" t="n">
        <v>12326</v>
      </c>
      <c r="G15" s="70">
        <f>F15-E15</f>
        <v/>
      </c>
      <c r="H15" s="71">
        <f>IF(E15=0,"",F15/E15)</f>
        <v/>
      </c>
      <c r="I15" s="72" t="n">
        <v>465</v>
      </c>
      <c r="J15" s="49" t="inlineStr">
        <is>
          <t>2029 Job Detail Report.pdf (Sage Timberline, 04/03/2026, 190 pages)</t>
        </is>
      </c>
    </row>
    <row r="16">
      <c r="B16" s="46" t="inlineStr">
        <is>
          <t>150</t>
        </is>
      </c>
      <c r="C16" s="47" t="inlineStr">
        <is>
          <t>Warranty Labor</t>
        </is>
      </c>
      <c r="D16" s="66" t="n">
        <v>0</v>
      </c>
      <c r="E16" s="66" t="n">
        <v>0</v>
      </c>
      <c r="F16" s="66" t="n">
        <v>320</v>
      </c>
      <c r="G16" s="67">
        <f>F16-E16</f>
        <v/>
      </c>
      <c r="H16" s="68">
        <f>IF(E16=0,"",F16/E16)</f>
        <v/>
      </c>
      <c r="I16" s="56" t="n">
        <v>8</v>
      </c>
      <c r="J16" s="47" t="inlineStr">
        <is>
          <t>2029 Job Detail Report.pdf (Sage Timberline, 04/03/2026, 190 pages)</t>
        </is>
      </c>
    </row>
    <row r="17">
      <c r="B17" s="48" t="inlineStr">
        <is>
          <t>210</t>
        </is>
      </c>
      <c r="C17" s="49" t="inlineStr">
        <is>
          <t>Underground Material</t>
        </is>
      </c>
      <c r="D17" s="69" t="n">
        <v>13900</v>
      </c>
      <c r="E17" s="69" t="n">
        <v>14089</v>
      </c>
      <c r="F17" s="69" t="n">
        <v>10418.9</v>
      </c>
      <c r="G17" s="70">
        <f>F17-E17</f>
        <v/>
      </c>
      <c r="H17" s="71">
        <f>IF(E17=0,"",F17/E17)</f>
        <v/>
      </c>
      <c r="I17" s="73" t="inlineStr"/>
      <c r="J17" s="49" t="inlineStr">
        <is>
          <t>2029 Job Detail Report.pdf (Sage Timberline, 04/03/2026, 190 pages)</t>
        </is>
      </c>
    </row>
    <row r="18">
      <c r="B18" s="46" t="inlineStr">
        <is>
          <t>211</t>
        </is>
      </c>
      <c r="C18" s="47" t="inlineStr">
        <is>
          <t>Garage Material</t>
        </is>
      </c>
      <c r="D18" s="66" t="n">
        <v>0</v>
      </c>
      <c r="E18" s="66" t="n">
        <v>0</v>
      </c>
      <c r="F18" s="66" t="n">
        <v>467.8</v>
      </c>
      <c r="G18" s="67">
        <f>F18-E18</f>
        <v/>
      </c>
      <c r="H18" s="68">
        <f>IF(E18=0,"",F18/E18)</f>
        <v/>
      </c>
      <c r="I18" s="17" t="inlineStr"/>
      <c r="J18" s="47" t="inlineStr">
        <is>
          <t>2029 Job Detail Report.pdf (Sage Timberline, 04/03/2026, 190 pages)</t>
        </is>
      </c>
    </row>
    <row r="19">
      <c r="B19" s="48" t="inlineStr">
        <is>
          <t>212</t>
        </is>
      </c>
      <c r="C19" s="49" t="inlineStr">
        <is>
          <t>Canout Material</t>
        </is>
      </c>
      <c r="D19" s="69" t="n">
        <v>7500</v>
      </c>
      <c r="E19" s="69" t="n">
        <v>7500</v>
      </c>
      <c r="F19" s="69" t="n">
        <v>6161.22</v>
      </c>
      <c r="G19" s="70">
        <f>F19-E19</f>
        <v/>
      </c>
      <c r="H19" s="71">
        <f>IF(E19=0,"",F19/E19)</f>
        <v/>
      </c>
      <c r="I19" s="73" t="inlineStr"/>
      <c r="J19" s="49" t="inlineStr">
        <is>
          <t>2029 Job Detail Report.pdf (Sage Timberline, 04/03/2026, 190 pages)</t>
        </is>
      </c>
    </row>
    <row r="20">
      <c r="B20" s="46" t="inlineStr">
        <is>
          <t>220</t>
        </is>
      </c>
      <c r="C20" s="47" t="inlineStr">
        <is>
          <t>Roughin Material</t>
        </is>
      </c>
      <c r="D20" s="66" t="n">
        <v>79600</v>
      </c>
      <c r="E20" s="66" t="n">
        <v>80398</v>
      </c>
      <c r="F20" s="66" t="n">
        <v>63196.04</v>
      </c>
      <c r="G20" s="67">
        <f>F20-E20</f>
        <v/>
      </c>
      <c r="H20" s="68">
        <f>IF(E20=0,"",F20/E20)</f>
        <v/>
      </c>
      <c r="I20" s="17" t="inlineStr"/>
      <c r="J20" s="47" t="inlineStr">
        <is>
          <t>2029 Job Detail Report.pdf (Sage Timberline, 04/03/2026, 190 pages)</t>
        </is>
      </c>
    </row>
    <row r="21">
      <c r="B21" s="48" t="inlineStr">
        <is>
          <t>230</t>
        </is>
      </c>
      <c r="C21" s="49" t="inlineStr">
        <is>
          <t>Finish Material</t>
        </is>
      </c>
      <c r="D21" s="69" t="n">
        <v>94600</v>
      </c>
      <c r="E21" s="69" t="n">
        <v>95549.5</v>
      </c>
      <c r="F21" s="69" t="n">
        <v>82322</v>
      </c>
      <c r="G21" s="70">
        <f>F21-E21</f>
        <v/>
      </c>
      <c r="H21" s="71">
        <f>IF(E21=0,"",F21/E21)</f>
        <v/>
      </c>
      <c r="I21" s="73" t="inlineStr"/>
      <c r="J21" s="49" t="inlineStr">
        <is>
          <t>2029 Job Detail Report.pdf (Sage Timberline, 04/03/2026, 190 pages)</t>
        </is>
      </c>
    </row>
    <row r="22">
      <c r="B22" s="46" t="inlineStr">
        <is>
          <t>240</t>
        </is>
      </c>
      <c r="C22" s="47" t="inlineStr">
        <is>
          <t>Gas Material</t>
        </is>
      </c>
      <c r="D22" s="66" t="n">
        <v>2400</v>
      </c>
      <c r="E22" s="66" t="n">
        <v>2987</v>
      </c>
      <c r="F22" s="66" t="n">
        <v>1057.3</v>
      </c>
      <c r="G22" s="67">
        <f>F22-E22</f>
        <v/>
      </c>
      <c r="H22" s="68">
        <f>IF(E22=0,"",F22/E22)</f>
        <v/>
      </c>
      <c r="I22" s="17" t="inlineStr"/>
      <c r="J22" s="47" t="inlineStr">
        <is>
          <t>2029 Job Detail Report.pdf (Sage Timberline, 04/03/2026, 190 pages)</t>
        </is>
      </c>
    </row>
    <row r="23">
      <c r="B23" s="48" t="inlineStr">
        <is>
          <t>241</t>
        </is>
      </c>
      <c r="C23" s="49" t="inlineStr">
        <is>
          <t>Water Main/Insulation Mat</t>
        </is>
      </c>
      <c r="D23" s="69" t="n">
        <v>40200</v>
      </c>
      <c r="E23" s="69" t="n">
        <v>40200</v>
      </c>
      <c r="F23" s="69" t="n">
        <v>26177.22</v>
      </c>
      <c r="G23" s="70">
        <f>F23-E23</f>
        <v/>
      </c>
      <c r="H23" s="71">
        <f>IF(E23=0,"",F23/E23)</f>
        <v/>
      </c>
      <c r="I23" s="73" t="inlineStr"/>
      <c r="J23" s="49" t="inlineStr">
        <is>
          <t>2029 Job Detail Report.pdf (Sage Timberline, 04/03/2026, 190 pages)</t>
        </is>
      </c>
    </row>
    <row r="24">
      <c r="B24" s="46" t="inlineStr">
        <is>
          <t>242</t>
        </is>
      </c>
      <c r="C24" s="47" t="inlineStr">
        <is>
          <t>Mech Room Material</t>
        </is>
      </c>
      <c r="D24" s="66" t="n">
        <v>68600</v>
      </c>
      <c r="E24" s="66" t="n">
        <v>69326</v>
      </c>
      <c r="F24" s="66" t="n">
        <v>53061.22</v>
      </c>
      <c r="G24" s="67">
        <f>F24-E24</f>
        <v/>
      </c>
      <c r="H24" s="68">
        <f>IF(E24=0,"",F24/E24)</f>
        <v/>
      </c>
      <c r="I24" s="17" t="inlineStr"/>
      <c r="J24" s="47" t="inlineStr">
        <is>
          <t>2029 Job Detail Report.pdf (Sage Timberline, 04/03/2026, 190 pages)</t>
        </is>
      </c>
    </row>
    <row r="25">
      <c r="B25" s="48" t="inlineStr">
        <is>
          <t>243</t>
        </is>
      </c>
      <c r="C25" s="49" t="inlineStr">
        <is>
          <t>Condensation Drains Mat</t>
        </is>
      </c>
      <c r="D25" s="69" t="n">
        <v>0</v>
      </c>
      <c r="E25" s="69" t="n">
        <v>0</v>
      </c>
      <c r="F25" s="69" t="n">
        <v>13.2</v>
      </c>
      <c r="G25" s="70">
        <f>F25-E25</f>
        <v/>
      </c>
      <c r="H25" s="71">
        <f>IF(E25=0,"",F25/E25)</f>
        <v/>
      </c>
      <c r="I25" s="73" t="inlineStr"/>
      <c r="J25" s="49" t="inlineStr">
        <is>
          <t>2029 Job Detail Report.pdf (Sage Timberline, 04/03/2026, 190 pages)</t>
        </is>
      </c>
    </row>
    <row r="26">
      <c r="B26" s="46" t="inlineStr">
        <is>
          <t>600</t>
        </is>
      </c>
      <c r="C26" s="47" t="inlineStr">
        <is>
          <t>Subcontractor</t>
        </is>
      </c>
      <c r="D26" s="66" t="n">
        <v>2500</v>
      </c>
      <c r="E26" s="66" t="n">
        <v>2744.5</v>
      </c>
      <c r="F26" s="66" t="n">
        <v>1566</v>
      </c>
      <c r="G26" s="67">
        <f>F26-E26</f>
        <v/>
      </c>
      <c r="H26" s="68">
        <f>IF(E26=0,"",F26/E26)</f>
        <v/>
      </c>
      <c r="I26" s="17" t="inlineStr"/>
      <c r="J26" s="47" t="inlineStr">
        <is>
          <t>2029 Job Detail Report.pdf (Sage Timberline, 04/03/2026, 190 pages)</t>
        </is>
      </c>
    </row>
    <row r="27">
      <c r="B27" s="48" t="inlineStr">
        <is>
          <t>601</t>
        </is>
      </c>
      <c r="C27" s="49" t="inlineStr">
        <is>
          <t>Engineering/Plans</t>
        </is>
      </c>
      <c r="D27" s="69" t="n">
        <v>22000</v>
      </c>
      <c r="E27" s="69" t="n">
        <v>22000</v>
      </c>
      <c r="F27" s="69" t="n">
        <v>20121</v>
      </c>
      <c r="G27" s="70">
        <f>F27-E27</f>
        <v/>
      </c>
      <c r="H27" s="71">
        <f>IF(E27=0,"",F27/E27)</f>
        <v/>
      </c>
      <c r="I27" s="73" t="inlineStr"/>
      <c r="J27" s="49" t="inlineStr">
        <is>
          <t>2029 Job Detail Report.pdf (Sage Timberline, 04/03/2026, 190 pages)</t>
        </is>
      </c>
    </row>
    <row r="28">
      <c r="B28" s="46" t="inlineStr">
        <is>
          <t>603</t>
        </is>
      </c>
      <c r="C28" s="47" t="inlineStr">
        <is>
          <t>Permits &amp; Licenses</t>
        </is>
      </c>
      <c r="D28" s="66" t="n">
        <v>5600</v>
      </c>
      <c r="E28" s="66" t="n">
        <v>5740</v>
      </c>
      <c r="F28" s="66" t="n">
        <v>4247</v>
      </c>
      <c r="G28" s="67">
        <f>F28-E28</f>
        <v/>
      </c>
      <c r="H28" s="68">
        <f>IF(E28=0,"",F28/E28)</f>
        <v/>
      </c>
      <c r="I28" s="17" t="inlineStr"/>
      <c r="J28" s="47" t="inlineStr">
        <is>
          <t>2029 Job Detail Report.pdf (Sage Timberline, 04/03/2026, 190 pages)</t>
        </is>
      </c>
    </row>
    <row r="29">
      <c r="B29" s="48" t="inlineStr">
        <is>
          <t>607</t>
        </is>
      </c>
      <c r="C29" s="49" t="inlineStr">
        <is>
          <t>Other Expenses</t>
        </is>
      </c>
      <c r="D29" s="69" t="n">
        <v>14500</v>
      </c>
      <c r="E29" s="69" t="n">
        <v>14500</v>
      </c>
      <c r="F29" s="69" t="n">
        <v>8952.41</v>
      </c>
      <c r="G29" s="70">
        <f>F29-E29</f>
        <v/>
      </c>
      <c r="H29" s="71">
        <f>IF(E29=0,"",F29/E29)</f>
        <v/>
      </c>
      <c r="I29" s="73" t="inlineStr"/>
      <c r="J29" s="49" t="inlineStr">
        <is>
          <t>2029 Job Detail Report.pdf (Sage Timberline, 04/03/2026, 190 pages)</t>
        </is>
      </c>
    </row>
    <row r="30">
      <c r="B30" s="46" t="inlineStr">
        <is>
          <t>995</t>
        </is>
      </c>
      <c r="C30" s="47" t="inlineStr">
        <is>
          <t>Payroll Burden</t>
        </is>
      </c>
      <c r="D30" s="66" t="n">
        <v>117128.35</v>
      </c>
      <c r="E30" s="66" t="n">
        <v>118491.17</v>
      </c>
      <c r="F30" s="66" t="n">
        <v>83396.48</v>
      </c>
      <c r="G30" s="67">
        <f>F30-E30</f>
        <v/>
      </c>
      <c r="H30" s="68">
        <f>IF(E30=0,"",F30/E30)</f>
        <v/>
      </c>
      <c r="I30" s="17" t="inlineStr"/>
      <c r="J30" s="47" t="inlineStr">
        <is>
          <t>2029 Job Detail Report.pdf (Sage Timberline, 04/03/2026, 190 pages)</t>
        </is>
      </c>
    </row>
    <row r="31">
      <c r="B31" s="48" t="inlineStr">
        <is>
          <t>998</t>
        </is>
      </c>
      <c r="C31" s="49" t="inlineStr">
        <is>
          <t>Payroll Taxes</t>
        </is>
      </c>
      <c r="D31" s="69" t="n">
        <v>20203.65</v>
      </c>
      <c r="E31" s="69" t="n">
        <v>20435.34</v>
      </c>
      <c r="F31" s="69" t="n">
        <v>14385.7</v>
      </c>
      <c r="G31" s="70">
        <f>F31-E31</f>
        <v/>
      </c>
      <c r="H31" s="71">
        <f>IF(E31=0,"",F31/E31)</f>
        <v/>
      </c>
      <c r="I31" s="73" t="inlineStr"/>
      <c r="J31" s="49" t="inlineStr">
        <is>
          <t>2029 Job Detail Report.pdf (Sage Timberline, 04/03/2026, 190 pages)</t>
        </is>
      </c>
    </row>
    <row r="32">
      <c r="B32" s="46" t="inlineStr">
        <is>
          <t>999</t>
        </is>
      </c>
      <c r="C32" s="47" t="inlineStr">
        <is>
          <t>Sales</t>
        </is>
      </c>
      <c r="D32" s="66" t="n">
        <v>-1113220</v>
      </c>
      <c r="E32" s="66" t="n">
        <v>-1123747</v>
      </c>
      <c r="F32" s="66" t="n">
        <v>-1123747</v>
      </c>
      <c r="G32" s="67">
        <f>F32-E32</f>
        <v/>
      </c>
      <c r="H32" s="68">
        <f>IF(E32=0,"",F32/E32)</f>
        <v/>
      </c>
      <c r="I32" s="17" t="inlineStr"/>
      <c r="J32" s="47" t="inlineStr">
        <is>
          <t>2029 Job Detail Report.pdf (Sage Timberline, 04/03/2026, 190 pages)</t>
        </is>
      </c>
    </row>
    <row r="33">
      <c r="B33" s="74" t="inlineStr">
        <is>
          <t>TOTAL</t>
        </is>
      </c>
      <c r="C33" s="53" t="n"/>
      <c r="D33" s="70">
        <f>SUM(D6:D32)</f>
        <v/>
      </c>
      <c r="E33" s="70">
        <f>SUM(E6:E32)</f>
        <v/>
      </c>
      <c r="F33" s="70">
        <f>SUM(F6:F32)</f>
        <v/>
      </c>
      <c r="G33" s="70">
        <f>F33-E33</f>
        <v/>
      </c>
      <c r="H33" s="53" t="n"/>
      <c r="I33" s="75">
        <f>SUM(I6:I32)</f>
        <v/>
      </c>
      <c r="J3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Cost Breakdown by Category</t>
        </is>
      </c>
    </row>
    <row r="3" ht="22" customHeight="1">
      <c r="B3" s="43" t="inlineStr">
        <is>
          <t>Direct cost composition by category from JDR cost codes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6" t="inlineStr">
        <is>
          <t>Labor</t>
        </is>
      </c>
      <c r="C6" s="47" t="inlineStr">
        <is>
          <t>100,101,110,111,112,120,130,140,141,142,150</t>
        </is>
      </c>
      <c r="D6" s="55" t="n">
        <v>188045.5</v>
      </c>
      <c r="E6" s="68">
        <f>D6/$D$11</f>
        <v/>
      </c>
      <c r="F6" s="68">
        <f>D6/1123747.0</f>
        <v/>
      </c>
      <c r="G6" s="47" t="inlineStr">
        <is>
          <t>2029 Job Detail Report.pdf (Sage Timberline, 04/03/2026, 190 pages)</t>
        </is>
      </c>
    </row>
    <row r="7">
      <c r="B7" s="48" t="inlineStr">
        <is>
          <t>Material</t>
        </is>
      </c>
      <c r="C7" s="49" t="inlineStr">
        <is>
          <t>210,211,212,220,230,240,241,242,243</t>
        </is>
      </c>
      <c r="D7" s="76" t="n">
        <v>242874.9</v>
      </c>
      <c r="E7" s="71">
        <f>D7/$D$11</f>
        <v/>
      </c>
      <c r="F7" s="71">
        <f>D7/1123747.0</f>
        <v/>
      </c>
      <c r="G7" s="49" t="inlineStr">
        <is>
          <t>2029 Job Detail Report.pdf (Sage Timberline, 04/03/2026, 190 pages)</t>
        </is>
      </c>
      <c r="H7" s="53" t="n"/>
      <c r="I7" s="53" t="n"/>
      <c r="J7" s="53" t="n"/>
    </row>
    <row r="8">
      <c r="B8" s="46" t="inlineStr">
        <is>
          <t>Subcontractor + Engineering + Permits + Other</t>
        </is>
      </c>
      <c r="C8" s="47" t="inlineStr">
        <is>
          <t>600,601,603,607</t>
        </is>
      </c>
      <c r="D8" s="55" t="n">
        <v>34886.41</v>
      </c>
      <c r="E8" s="68">
        <f>D8/$D$11</f>
        <v/>
      </c>
      <c r="F8" s="68">
        <f>D8/1123747.0</f>
        <v/>
      </c>
      <c r="G8" s="47" t="inlineStr">
        <is>
          <t>2029 Job Detail Report.pdf (Sage Timberline, 04/03/2026, 190 pages)</t>
        </is>
      </c>
    </row>
    <row r="9">
      <c r="B9" s="48" t="inlineStr">
        <is>
          <t>Payroll Burden</t>
        </is>
      </c>
      <c r="C9" s="49" t="inlineStr">
        <is>
          <t>995</t>
        </is>
      </c>
      <c r="D9" s="76" t="n">
        <v>83396.48</v>
      </c>
      <c r="E9" s="71">
        <f>D9/$D$11</f>
        <v/>
      </c>
      <c r="F9" s="71">
        <f>D9/1123747.0</f>
        <v/>
      </c>
      <c r="G9" s="49" t="inlineStr">
        <is>
          <t>2029 Job Detail Report.pdf (Sage Timberline, 04/03/2026, 190 pages)</t>
        </is>
      </c>
      <c r="H9" s="53" t="n"/>
      <c r="I9" s="53" t="n"/>
      <c r="J9" s="53" t="n"/>
    </row>
    <row r="10">
      <c r="B10" s="46" t="inlineStr">
        <is>
          <t>Payroll Taxes</t>
        </is>
      </c>
      <c r="C10" s="47" t="inlineStr">
        <is>
          <t>998</t>
        </is>
      </c>
      <c r="D10" s="55" t="n">
        <v>14385.7</v>
      </c>
      <c r="E10" s="68">
        <f>D10/$D$11</f>
        <v/>
      </c>
      <c r="F10" s="68">
        <f>D10/1123747.0</f>
        <v/>
      </c>
      <c r="G10" s="47" t="inlineStr">
        <is>
          <t>2029 Job Detail Report.pdf (Sage Timberline, 04/03/2026, 190 pages)</t>
        </is>
      </c>
    </row>
    <row r="11">
      <c r="B11" s="74" t="inlineStr">
        <is>
          <t>TOTAL DIRECT COST</t>
        </is>
      </c>
      <c r="C11" s="53" t="n"/>
      <c r="D11" s="77">
        <f>SUM(D6:D10)</f>
        <v/>
      </c>
      <c r="E11" s="78" t="n">
        <v>1</v>
      </c>
      <c r="F11" s="71">
        <f>D11/1123747.0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Material Purchases — AP Vendors</t>
        </is>
      </c>
    </row>
    <row r="3" ht="22" customHeight="1">
      <c r="B3" s="43" t="inlineStr">
        <is>
          <t>Material + subcontractor spend by vendor (AP records from JDR). Supplemented with submittal/PO inventory.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6" t="inlineStr">
        <is>
          <t>2029KS</t>
        </is>
      </c>
      <c r="C6" s="47" t="inlineStr">
        <is>
          <t>Keller Supply Company $Parsonage</t>
        </is>
      </c>
      <c r="D6" s="66" t="n">
        <v>96387.89000000004</v>
      </c>
      <c r="E6" s="79" t="n">
        <v>77</v>
      </c>
      <c r="F6" s="47" t="inlineStr">
        <is>
          <t>Plumbing / Supplies</t>
        </is>
      </c>
      <c r="G6" s="47" t="inlineStr">
        <is>
          <t>2029 Job Detail Report.pdf (Sage Timberline, 04/03/2026, 190 pages)</t>
        </is>
      </c>
    </row>
    <row r="7">
      <c r="B7" s="48" t="inlineStr">
        <is>
          <t>2029RS</t>
        </is>
      </c>
      <c r="C7" s="49" t="inlineStr">
        <is>
          <t>Rosen Supply Company, Inc. $Parsonage</t>
        </is>
      </c>
      <c r="D7" s="69" t="n">
        <v>70473.24999999999</v>
      </c>
      <c r="E7" s="80" t="n">
        <v>51</v>
      </c>
      <c r="F7" s="49" t="inlineStr">
        <is>
          <t>Plumbing / Supplies</t>
        </is>
      </c>
      <c r="G7" s="49" t="inlineStr">
        <is>
          <t>2029 Job Detail Report.pdf (Sage Timberline, 04/03/2026, 190 pages)</t>
        </is>
      </c>
      <c r="H7" s="53" t="n"/>
      <c r="I7" s="53" t="n"/>
      <c r="J7" s="53" t="n"/>
    </row>
    <row r="8">
      <c r="B8" s="46" t="inlineStr">
        <is>
          <t>2029CS</t>
        </is>
      </c>
      <c r="C8" s="47" t="inlineStr">
        <is>
          <t>Consolidated Supply Co. $Parsonage</t>
        </is>
      </c>
      <c r="D8" s="66" t="n">
        <v>24212.57000000001</v>
      </c>
      <c r="E8" s="79" t="n">
        <v>20</v>
      </c>
      <c r="F8" s="47" t="inlineStr">
        <is>
          <t>Plumbing / Supplies</t>
        </is>
      </c>
      <c r="G8" s="47" t="inlineStr">
        <is>
          <t>2029 Job Detail Report.pdf (Sage Timberline, 04/03/2026, 190 pages)</t>
        </is>
      </c>
    </row>
    <row r="9">
      <c r="B9" s="48" t="inlineStr">
        <is>
          <t>1625FE</t>
        </is>
      </c>
      <c r="C9" s="49" t="inlineStr">
        <is>
          <t>Franklin Engineering</t>
        </is>
      </c>
      <c r="D9" s="69" t="n">
        <v>20121</v>
      </c>
      <c r="E9" s="80" t="n">
        <v>8</v>
      </c>
      <c r="F9" s="49" t="inlineStr">
        <is>
          <t>Engineering (601)</t>
        </is>
      </c>
      <c r="G9" s="49" t="inlineStr">
        <is>
          <t>2029 Job Detail Report.pdf (Sage Timberline, 04/03/2026, 190 pages)</t>
        </is>
      </c>
      <c r="H9" s="53" t="n"/>
      <c r="I9" s="53" t="n"/>
      <c r="J9" s="53" t="n"/>
    </row>
    <row r="10">
      <c r="B10" s="46" t="inlineStr">
        <is>
          <t>3612MS</t>
        </is>
      </c>
      <c r="C10" s="47" t="inlineStr">
        <is>
          <t>Mechanical Sales, Inc.</t>
        </is>
      </c>
      <c r="D10" s="66" t="n">
        <v>19209.79</v>
      </c>
      <c r="E10" s="79" t="n">
        <v>3</v>
      </c>
      <c r="F10" s="47" t="inlineStr">
        <is>
          <t>Plumbing / Supplies</t>
        </is>
      </c>
      <c r="G10" s="47" t="inlineStr">
        <is>
          <t>2029 Job Detail Report.pdf (Sage Timberline, 04/03/2026, 190 pages)</t>
        </is>
      </c>
    </row>
    <row r="11">
      <c r="B11" s="48" t="inlineStr">
        <is>
          <t>1234CO</t>
        </is>
      </c>
      <c r="C11" s="49" t="inlineStr">
        <is>
          <t>Capital One Credit Card</t>
        </is>
      </c>
      <c r="D11" s="69" t="n">
        <v>5808.820000000002</v>
      </c>
      <c r="E11" s="80" t="n">
        <v>23</v>
      </c>
      <c r="F11" s="49" t="inlineStr">
        <is>
          <t>Credit Card (mixed)</t>
        </is>
      </c>
      <c r="G11" s="49" t="inlineStr">
        <is>
          <t>2029 Job Detail Report.pdf (Sage Timberline, 04/03/2026, 190 pages)</t>
        </is>
      </c>
      <c r="H11" s="53" t="n"/>
      <c r="I11" s="53" t="n"/>
      <c r="J11" s="53" t="n"/>
    </row>
    <row r="12">
      <c r="B12" s="46" t="inlineStr">
        <is>
          <t>1234BA</t>
        </is>
      </c>
      <c r="C12" s="47" t="inlineStr">
        <is>
          <t>Bank of America CC</t>
        </is>
      </c>
      <c r="D12" s="66" t="n">
        <v>4107</v>
      </c>
      <c r="E12" s="79" t="n">
        <v>3</v>
      </c>
      <c r="F12" s="47" t="inlineStr">
        <is>
          <t>Credit Card (mixed)</t>
        </is>
      </c>
      <c r="G12" s="47" t="inlineStr">
        <is>
          <t>2029 Job Detail Report.pdf (Sage Timberline, 04/03/2026, 190 pages)</t>
        </is>
      </c>
    </row>
    <row r="13">
      <c r="B13" s="48" t="inlineStr">
        <is>
          <t>2029FE</t>
        </is>
      </c>
      <c r="C13" s="49" t="inlineStr">
        <is>
          <t>Ferguson Enterprises, Inc.$Parsonage</t>
        </is>
      </c>
      <c r="D13" s="69" t="n">
        <v>1532.94</v>
      </c>
      <c r="E13" s="80" t="n">
        <v>4</v>
      </c>
      <c r="F13" s="49" t="inlineStr">
        <is>
          <t>Plumbing / Supplies</t>
        </is>
      </c>
      <c r="G13" s="49" t="inlineStr">
        <is>
          <t>2029 Job Detail Report.pdf (Sage Timberline, 04/03/2026, 190 pages)</t>
        </is>
      </c>
      <c r="H13" s="53" t="n"/>
      <c r="I13" s="53" t="n"/>
      <c r="J13" s="53" t="n"/>
    </row>
    <row r="14">
      <c r="B14" s="46" t="inlineStr">
        <is>
          <t>1504CA</t>
        </is>
      </c>
      <c r="C14" s="47" t="inlineStr">
        <is>
          <t>Chip Away Bathtub Repair, Inc.</t>
        </is>
      </c>
      <c r="D14" s="66" t="n">
        <v>1425</v>
      </c>
      <c r="E14" s="79" t="n">
        <v>1</v>
      </c>
      <c r="F14" s="47" t="inlineStr">
        <is>
          <t>Uncategorized</t>
        </is>
      </c>
      <c r="G14" s="47" t="inlineStr">
        <is>
          <t>2029 Job Detail Report.pdf (Sage Timberline, 04/03/2026, 190 pages)</t>
        </is>
      </c>
    </row>
    <row r="15">
      <c r="B15" s="48" t="inlineStr">
        <is>
          <t>1421RA</t>
        </is>
      </c>
      <c r="C15" s="49" t="inlineStr">
        <is>
          <t>R.A. Brown Backflow Testing</t>
        </is>
      </c>
      <c r="D15" s="69" t="n">
        <v>141</v>
      </c>
      <c r="E15" s="80" t="n">
        <v>1</v>
      </c>
      <c r="F15" s="49" t="inlineStr">
        <is>
          <t>Testing subcontractor</t>
        </is>
      </c>
      <c r="G15" s="49" t="inlineStr">
        <is>
          <t>2029 Job Detail Report.pdf (Sage Timberline, 04/03/2026, 190 pages)</t>
        </is>
      </c>
      <c r="H15" s="53" t="n"/>
      <c r="I15" s="53" t="n"/>
      <c r="J15" s="53" t="n"/>
    </row>
    <row r="16">
      <c r="B16" s="46" t="inlineStr">
        <is>
          <t>1380RS</t>
        </is>
      </c>
      <c r="C16" s="47" t="inlineStr">
        <is>
          <t>Rosen Supply Kirkland</t>
        </is>
      </c>
      <c r="D16" s="66" t="n">
        <v>114.75</v>
      </c>
      <c r="E16" s="79" t="n">
        <v>2</v>
      </c>
      <c r="F16" s="47" t="inlineStr">
        <is>
          <t>Plumbing / Supplies</t>
        </is>
      </c>
      <c r="G16" s="47" t="inlineStr">
        <is>
          <t>2029 Job Detail Report.pdf (Sage Timberline, 04/03/2026, 190 pages)</t>
        </is>
      </c>
    </row>
    <row r="17">
      <c r="B17" s="48" t="inlineStr">
        <is>
          <t>1609QC</t>
        </is>
      </c>
      <c r="C17" s="49" t="inlineStr">
        <is>
          <t>Quality Concrete Products, Inc. $32</t>
        </is>
      </c>
      <c r="D17" s="69" t="n">
        <v>59</v>
      </c>
      <c r="E17" s="80" t="n">
        <v>1</v>
      </c>
      <c r="F17" s="49" t="inlineStr">
        <is>
          <t>Uncategorized</t>
        </is>
      </c>
      <c r="G17" s="49" t="inlineStr">
        <is>
          <t>2029 Job Detail Report.pdf (Sage Timberline, 04/03/2026, 190 pages)</t>
        </is>
      </c>
      <c r="H17" s="53" t="n"/>
      <c r="I17" s="53" t="n"/>
      <c r="J17" s="53" t="n"/>
    </row>
    <row r="18">
      <c r="B18" s="46" t="inlineStr">
        <is>
          <t>1231KS</t>
        </is>
      </c>
      <c r="C18" s="47" t="inlineStr">
        <is>
          <t>Keller Supply Company</t>
        </is>
      </c>
      <c r="D18" s="66" t="n">
        <v>31.1</v>
      </c>
      <c r="E18" s="79" t="n">
        <v>1</v>
      </c>
      <c r="F18" s="47" t="inlineStr">
        <is>
          <t>Plumbing / Supplies</t>
        </is>
      </c>
      <c r="G18" s="47" t="inlineStr">
        <is>
          <t>2029 Job Detail Report.pdf (Sage Timberline, 04/03/2026, 190 pages)</t>
        </is>
      </c>
    </row>
    <row r="19">
      <c r="B19" s="48" t="inlineStr">
        <is>
          <t>2028RS</t>
        </is>
      </c>
      <c r="C19" s="49" t="inlineStr">
        <is>
          <t>Rosen Supply Company $Reserve@Lynnwood</t>
        </is>
      </c>
      <c r="D19" s="69" t="n">
        <v>0</v>
      </c>
      <c r="E19" s="80" t="n">
        <v>2</v>
      </c>
      <c r="F19" s="49" t="inlineStr">
        <is>
          <t>Plumbing / Supplies</t>
        </is>
      </c>
      <c r="G19" s="49" t="inlineStr">
        <is>
          <t>2029 Job Detail Report.pdf (Sage Timberline, 04/03/2026, 190 pages)</t>
        </is>
      </c>
      <c r="H19" s="53" t="n"/>
      <c r="I19" s="53" t="n"/>
      <c r="J19" s="53" t="n"/>
    </row>
    <row r="20">
      <c r="B20" s="46" t="inlineStr">
        <is>
          <t>2027RS</t>
        </is>
      </c>
      <c r="C20" s="47" t="inlineStr">
        <is>
          <t>Rosen Supply Company, Inc. $550 Broadway</t>
        </is>
      </c>
      <c r="D20" s="66" t="n">
        <v>0</v>
      </c>
      <c r="E20" s="79" t="n">
        <v>2</v>
      </c>
      <c r="F20" s="47" t="inlineStr">
        <is>
          <t>Plumbing / Supplies</t>
        </is>
      </c>
      <c r="G20" s="47" t="inlineStr">
        <is>
          <t>2029 Job Detail Report.pdf (Sage Timberline, 04/03/2026, 190 pages)</t>
        </is>
      </c>
    </row>
    <row r="21">
      <c r="B21" s="74" t="inlineStr">
        <is>
          <t>TOTAL</t>
        </is>
      </c>
      <c r="C21" s="53" t="n"/>
      <c r="D21" s="77">
        <f>SUM(D6:D20)</f>
        <v/>
      </c>
      <c r="E21" s="49">
        <f>SUM(E6:E20)</f>
        <v/>
      </c>
      <c r="F21" s="53" t="n"/>
      <c r="G21" s="53" t="n"/>
      <c r="H21" s="53" t="n"/>
      <c r="I21" s="53" t="n"/>
      <c r="J21" s="53" t="n"/>
    </row>
    <row r="22"/>
    <row r="23">
      <c r="B23" s="48" t="inlineStr">
        <is>
          <t>NOTE: AP total per JDR footer = $243,624.11. Vendor sum above approximates this. Submittals folder (Submittals/) contains 19 fixture + 10 material + 1 UG submittal documenting approved products. POs folder shows 82 POs (7 placed, 19 scheduled, 56 completed).</t>
        </is>
      </c>
      <c r="C23" s="50" t="n"/>
      <c r="D23" s="50" t="n"/>
      <c r="E23" s="50" t="n"/>
      <c r="F23" s="50" t="n"/>
      <c r="G23" s="51" t="n"/>
      <c r="H23" s="53" t="n"/>
      <c r="I23" s="53" t="n"/>
      <c r="J23" s="53" t="n"/>
    </row>
  </sheetData>
  <mergeCells count="3">
    <mergeCell ref="B3:J3"/>
    <mergeCell ref="B23:G2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&amp; Labor — Worker Roster</t>
        </is>
      </c>
    </row>
    <row r="3" ht="22" customHeight="1">
      <c r="B3" s="43" t="inlineStr">
        <is>
          <t>All 21 unique payroll workers from JDR.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6" t="inlineStr">
        <is>
          <t>HO14</t>
        </is>
      </c>
      <c r="C6" s="47" t="inlineStr">
        <is>
          <t>Holmes, Anthony R</t>
        </is>
      </c>
      <c r="D6" s="56" t="n">
        <v>1575</v>
      </c>
      <c r="E6" s="55" t="n">
        <v>35832</v>
      </c>
      <c r="F6" s="81">
        <f>IF(D6=0,0,E6/D6)</f>
        <v/>
      </c>
      <c r="G6" s="79" t="n">
        <v>46</v>
      </c>
      <c r="H6" s="47" t="inlineStr">
        <is>
          <t>2029 Job Detail Report.pdf (Sage Timberline, 04/03/2026, 190 pages)</t>
        </is>
      </c>
    </row>
    <row r="7">
      <c r="B7" s="48" t="inlineStr">
        <is>
          <t>AN14</t>
        </is>
      </c>
      <c r="C7" s="49" t="inlineStr">
        <is>
          <t>Anderson, Richard P</t>
        </is>
      </c>
      <c r="D7" s="72" t="n">
        <v>1356</v>
      </c>
      <c r="E7" s="76" t="n">
        <v>51887.5</v>
      </c>
      <c r="F7" s="77">
        <f>IF(D7=0,0,E7/D7)</f>
        <v/>
      </c>
      <c r="G7" s="80" t="n">
        <v>58</v>
      </c>
      <c r="H7" s="49" t="inlineStr">
        <is>
          <t>2029 Job Detail Report.pdf (Sage Timberline, 04/03/2026, 190 pages)</t>
        </is>
      </c>
      <c r="I7" s="53" t="n"/>
      <c r="J7" s="53" t="n"/>
    </row>
    <row r="8">
      <c r="B8" s="46" t="inlineStr">
        <is>
          <t>BA68</t>
        </is>
      </c>
      <c r="C8" s="47" t="inlineStr">
        <is>
          <t>Barbosa, Michael S</t>
        </is>
      </c>
      <c r="D8" s="56" t="n">
        <v>939</v>
      </c>
      <c r="E8" s="55" t="n">
        <v>16979</v>
      </c>
      <c r="F8" s="81">
        <f>IF(D8=0,0,E8/D8)</f>
        <v/>
      </c>
      <c r="G8" s="79" t="n">
        <v>26</v>
      </c>
      <c r="H8" s="47" t="inlineStr">
        <is>
          <t>2029 Job Detail Report.pdf (Sage Timberline, 04/03/2026, 190 pages)</t>
        </is>
      </c>
    </row>
    <row r="9">
      <c r="B9" s="48" t="inlineStr">
        <is>
          <t>KI55</t>
        </is>
      </c>
      <c r="C9" s="49" t="inlineStr">
        <is>
          <t>Kinssies, Jr, John E</t>
        </is>
      </c>
      <c r="D9" s="72" t="n">
        <v>908</v>
      </c>
      <c r="E9" s="76" t="n">
        <v>17694</v>
      </c>
      <c r="F9" s="77">
        <f>IF(D9=0,0,E9/D9)</f>
        <v/>
      </c>
      <c r="G9" s="80" t="n">
        <v>35</v>
      </c>
      <c r="H9" s="49" t="inlineStr">
        <is>
          <t>2029 Job Detail Report.pdf (Sage Timberline, 04/03/2026, 190 pages)</t>
        </is>
      </c>
      <c r="I9" s="53" t="n"/>
      <c r="J9" s="53" t="n"/>
    </row>
    <row r="10">
      <c r="B10" s="46" t="inlineStr">
        <is>
          <t>ME52</t>
        </is>
      </c>
      <c r="C10" s="47" t="inlineStr">
        <is>
          <t>Mendoza, Edgar E</t>
        </is>
      </c>
      <c r="D10" s="56" t="n">
        <v>547</v>
      </c>
      <c r="E10" s="55" t="n">
        <v>8755</v>
      </c>
      <c r="F10" s="81">
        <f>IF(D10=0,0,E10/D10)</f>
        <v/>
      </c>
      <c r="G10" s="79" t="n">
        <v>16</v>
      </c>
      <c r="H10" s="47" t="inlineStr">
        <is>
          <t>2029 Job Detail Report.pdf (Sage Timberline, 04/03/2026, 190 pages)</t>
        </is>
      </c>
    </row>
    <row r="11">
      <c r="B11" s="48" t="inlineStr">
        <is>
          <t>AS10</t>
        </is>
      </c>
      <c r="C11" s="49" t="inlineStr">
        <is>
          <t>Ascencio, Jose L</t>
        </is>
      </c>
      <c r="D11" s="72" t="n">
        <v>496</v>
      </c>
      <c r="E11" s="76" t="n">
        <v>9424</v>
      </c>
      <c r="F11" s="77">
        <f>IF(D11=0,0,E11/D11)</f>
        <v/>
      </c>
      <c r="G11" s="80" t="n">
        <v>14</v>
      </c>
      <c r="H11" s="49" t="inlineStr">
        <is>
          <t>2029 Job Detail Report.pdf (Sage Timberline, 04/03/2026, 190 pages)</t>
        </is>
      </c>
      <c r="I11" s="53" t="n"/>
      <c r="J11" s="53" t="n"/>
    </row>
    <row r="12">
      <c r="B12" s="46" t="inlineStr">
        <is>
          <t>PH03</t>
        </is>
      </c>
      <c r="C12" s="47" t="inlineStr">
        <is>
          <t>Phaysith, Alexander B</t>
        </is>
      </c>
      <c r="D12" s="56" t="n">
        <v>473.5</v>
      </c>
      <c r="E12" s="55" t="n">
        <v>6629</v>
      </c>
      <c r="F12" s="81">
        <f>IF(D12=0,0,E12/D12)</f>
        <v/>
      </c>
      <c r="G12" s="79" t="n">
        <v>14</v>
      </c>
      <c r="H12" s="47" t="inlineStr">
        <is>
          <t>2029 Job Detail Report.pdf (Sage Timberline, 04/03/2026, 190 pages)</t>
        </is>
      </c>
    </row>
    <row r="13">
      <c r="B13" s="48" t="inlineStr">
        <is>
          <t>LI49</t>
        </is>
      </c>
      <c r="C13" s="49" t="inlineStr">
        <is>
          <t>Lima Romero, Melvin A</t>
        </is>
      </c>
      <c r="D13" s="72" t="n">
        <v>469</v>
      </c>
      <c r="E13" s="76" t="n">
        <v>13132</v>
      </c>
      <c r="F13" s="77">
        <f>IF(D13=0,0,E13/D13)</f>
        <v/>
      </c>
      <c r="G13" s="80" t="n">
        <v>13</v>
      </c>
      <c r="H13" s="49" t="inlineStr">
        <is>
          <t>2029 Job Detail Report.pdf (Sage Timberline, 04/03/2026, 190 pages)</t>
        </is>
      </c>
      <c r="I13" s="53" t="n"/>
      <c r="J13" s="53" t="n"/>
    </row>
    <row r="14">
      <c r="B14" s="46" t="inlineStr">
        <is>
          <t>RO12</t>
        </is>
      </c>
      <c r="C14" s="47" t="inlineStr">
        <is>
          <t>Rodriguez Rodriguez, Aminadab N</t>
        </is>
      </c>
      <c r="D14" s="56" t="n">
        <v>269</v>
      </c>
      <c r="E14" s="55" t="n">
        <v>5649</v>
      </c>
      <c r="F14" s="81">
        <f>IF(D14=0,0,E14/D14)</f>
        <v/>
      </c>
      <c r="G14" s="79" t="n">
        <v>7</v>
      </c>
      <c r="H14" s="47" t="inlineStr">
        <is>
          <t>2029 Job Detail Report.pdf (Sage Timberline, 04/03/2026, 190 pages)</t>
        </is>
      </c>
    </row>
    <row r="15">
      <c r="B15" s="48" t="inlineStr">
        <is>
          <t>GE69</t>
        </is>
      </c>
      <c r="C15" s="49" t="inlineStr">
        <is>
          <t>Gerard, Jeffrey S</t>
        </is>
      </c>
      <c r="D15" s="72" t="n">
        <v>156</v>
      </c>
      <c r="E15" s="76" t="n">
        <v>7075</v>
      </c>
      <c r="F15" s="77">
        <f>IF(D15=0,0,E15/D15)</f>
        <v/>
      </c>
      <c r="G15" s="80" t="n">
        <v>48</v>
      </c>
      <c r="H15" s="49" t="inlineStr">
        <is>
          <t>2029 Job Detail Report.pdf (Sage Timberline, 04/03/2026, 190 pages)</t>
        </is>
      </c>
      <c r="I15" s="53" t="n"/>
      <c r="J15" s="53" t="n"/>
    </row>
    <row r="16">
      <c r="B16" s="46" t="inlineStr">
        <is>
          <t>DO56</t>
        </is>
      </c>
      <c r="C16" s="47" t="inlineStr">
        <is>
          <t>Donelson, Richard T</t>
        </is>
      </c>
      <c r="D16" s="56" t="n">
        <v>119</v>
      </c>
      <c r="E16" s="55" t="n">
        <v>5707</v>
      </c>
      <c r="F16" s="81">
        <f>IF(D16=0,0,E16/D16)</f>
        <v/>
      </c>
      <c r="G16" s="79" t="n">
        <v>50</v>
      </c>
      <c r="H16" s="47" t="inlineStr">
        <is>
          <t>2029 Job Detail Report.pdf (Sage Timberline, 04/03/2026, 190 pages)</t>
        </is>
      </c>
    </row>
    <row r="17">
      <c r="B17" s="48" t="inlineStr">
        <is>
          <t>BA70</t>
        </is>
      </c>
      <c r="C17" s="49" t="inlineStr">
        <is>
          <t>Barnhart, Joseph N</t>
        </is>
      </c>
      <c r="D17" s="72" t="n">
        <v>83.5</v>
      </c>
      <c r="E17" s="76" t="n">
        <v>3109</v>
      </c>
      <c r="F17" s="77">
        <f>IF(D17=0,0,E17/D17)</f>
        <v/>
      </c>
      <c r="G17" s="80" t="n">
        <v>17</v>
      </c>
      <c r="H17" s="49" t="inlineStr">
        <is>
          <t>2029 Job Detail Report.pdf (Sage Timberline, 04/03/2026, 190 pages)</t>
        </is>
      </c>
      <c r="I17" s="53" t="n"/>
      <c r="J17" s="53" t="n"/>
    </row>
    <row r="18">
      <c r="B18" s="46" t="inlineStr">
        <is>
          <t>RE18</t>
        </is>
      </c>
      <c r="C18" s="47" t="inlineStr">
        <is>
          <t>Reed, Reuben H</t>
        </is>
      </c>
      <c r="D18" s="56" t="n">
        <v>76.5</v>
      </c>
      <c r="E18" s="55" t="n">
        <v>2754</v>
      </c>
      <c r="F18" s="81">
        <f>IF(D18=0,0,E18/D18)</f>
        <v/>
      </c>
      <c r="G18" s="79" t="n">
        <v>3</v>
      </c>
      <c r="H18" s="47" t="inlineStr">
        <is>
          <t>2029 Job Detail Report.pdf (Sage Timberline, 04/03/2026, 190 pages)</t>
        </is>
      </c>
    </row>
    <row r="19">
      <c r="B19" s="48" t="inlineStr">
        <is>
          <t>HU04</t>
        </is>
      </c>
      <c r="C19" s="49" t="inlineStr">
        <is>
          <t>Hubbard, Dustin R</t>
        </is>
      </c>
      <c r="D19" s="72" t="n">
        <v>44</v>
      </c>
      <c r="E19" s="76" t="n">
        <v>828</v>
      </c>
      <c r="F19" s="77">
        <f>IF(D19=0,0,E19/D19)</f>
        <v/>
      </c>
      <c r="G19" s="80" t="n">
        <v>13</v>
      </c>
      <c r="H19" s="49" t="inlineStr">
        <is>
          <t>2029 Job Detail Report.pdf (Sage Timberline, 04/03/2026, 190 pages)</t>
        </is>
      </c>
      <c r="I19" s="53" t="n"/>
      <c r="J19" s="53" t="n"/>
    </row>
    <row r="20">
      <c r="B20" s="46" t="inlineStr">
        <is>
          <t>CO73</t>
        </is>
      </c>
      <c r="C20" s="47" t="inlineStr">
        <is>
          <t>Cortes Sepulveda, Jose R</t>
        </is>
      </c>
      <c r="D20" s="56" t="n">
        <v>37</v>
      </c>
      <c r="E20" s="55" t="n">
        <v>703</v>
      </c>
      <c r="F20" s="81">
        <f>IF(D20=0,0,E20/D20)</f>
        <v/>
      </c>
      <c r="G20" s="79" t="n">
        <v>2</v>
      </c>
      <c r="H20" s="47" t="inlineStr">
        <is>
          <t>2029 Job Detail Report.pdf (Sage Timberline, 04/03/2026, 190 pages)</t>
        </is>
      </c>
    </row>
    <row r="21">
      <c r="B21" s="48" t="inlineStr">
        <is>
          <t>HU06</t>
        </is>
      </c>
      <c r="C21" s="49" t="inlineStr">
        <is>
          <t>Hubbard, Robert W</t>
        </is>
      </c>
      <c r="D21" s="72" t="n">
        <v>24.5</v>
      </c>
      <c r="E21" s="76" t="n">
        <v>1029</v>
      </c>
      <c r="F21" s="77">
        <f>IF(D21=0,0,E21/D21)</f>
        <v/>
      </c>
      <c r="G21" s="80" t="n">
        <v>5</v>
      </c>
      <c r="H21" s="49" t="inlineStr">
        <is>
          <t>2029 Job Detail Report.pdf (Sage Timberline, 04/03/2026, 190 pages)</t>
        </is>
      </c>
      <c r="I21" s="53" t="n"/>
      <c r="J21" s="53" t="n"/>
    </row>
    <row r="22">
      <c r="B22" s="46" t="inlineStr">
        <is>
          <t>SA54</t>
        </is>
      </c>
      <c r="C22" s="47" t="inlineStr">
        <is>
          <t>Sanders, Allen O</t>
        </is>
      </c>
      <c r="D22" s="56" t="n">
        <v>9</v>
      </c>
      <c r="E22" s="55" t="n">
        <v>360</v>
      </c>
      <c r="F22" s="81">
        <f>IF(D22=0,0,E22/D22)</f>
        <v/>
      </c>
      <c r="G22" s="79" t="n">
        <v>2</v>
      </c>
      <c r="H22" s="47" t="inlineStr">
        <is>
          <t>2029 Job Detail Report.pdf (Sage Timberline, 04/03/2026, 190 pages)</t>
        </is>
      </c>
    </row>
    <row r="23">
      <c r="B23" s="48" t="inlineStr">
        <is>
          <t>GA70</t>
        </is>
      </c>
      <c r="C23" s="49" t="inlineStr">
        <is>
          <t>Garcia, Jordan X</t>
        </is>
      </c>
      <c r="D23" s="72" t="n">
        <v>8</v>
      </c>
      <c r="E23" s="76" t="n">
        <v>192</v>
      </c>
      <c r="F23" s="77">
        <f>IF(D23=0,0,E23/D23)</f>
        <v/>
      </c>
      <c r="G23" s="80" t="n">
        <v>1</v>
      </c>
      <c r="H23" s="49" t="inlineStr">
        <is>
          <t>2029 Job Detail Report.pdf (Sage Timberline, 04/03/2026, 190 pages)</t>
        </is>
      </c>
      <c r="I23" s="53" t="n"/>
      <c r="J23" s="53" t="n"/>
    </row>
    <row r="24">
      <c r="B24" s="46" t="inlineStr">
        <is>
          <t>AL02</t>
        </is>
      </c>
      <c r="C24" s="47" t="inlineStr">
        <is>
          <t>Alarcon Quevedo, Christian L</t>
        </is>
      </c>
      <c r="D24" s="56" t="n">
        <v>8</v>
      </c>
      <c r="E24" s="55" t="n">
        <v>112</v>
      </c>
      <c r="F24" s="81">
        <f>IF(D24=0,0,E24/D24)</f>
        <v/>
      </c>
      <c r="G24" s="79" t="n">
        <v>1</v>
      </c>
      <c r="H24" s="47" t="inlineStr">
        <is>
          <t>2029 Job Detail Report.pdf (Sage Timberline, 04/03/2026, 190 pages)</t>
        </is>
      </c>
    </row>
    <row r="25">
      <c r="B25" s="48" t="inlineStr">
        <is>
          <t>BE45</t>
        </is>
      </c>
      <c r="C25" s="49" t="inlineStr">
        <is>
          <t>Belcher, Jacob T</t>
        </is>
      </c>
      <c r="D25" s="72" t="n">
        <v>8</v>
      </c>
      <c r="E25" s="76" t="n">
        <v>120</v>
      </c>
      <c r="F25" s="77">
        <f>IF(D25=0,0,E25/D25)</f>
        <v/>
      </c>
      <c r="G25" s="80" t="n">
        <v>1</v>
      </c>
      <c r="H25" s="49" t="inlineStr">
        <is>
          <t>2029 Job Detail Report.pdf (Sage Timberline, 04/03/2026, 190 pages)</t>
        </is>
      </c>
      <c r="I25" s="53" t="n"/>
      <c r="J25" s="53" t="n"/>
    </row>
    <row r="26">
      <c r="B26" s="46" t="inlineStr">
        <is>
          <t>WI46</t>
        </is>
      </c>
      <c r="C26" s="47" t="inlineStr">
        <is>
          <t>Wilson, Garret A</t>
        </is>
      </c>
      <c r="D26" s="56" t="n">
        <v>3</v>
      </c>
      <c r="E26" s="55" t="n">
        <v>75</v>
      </c>
      <c r="F26" s="81">
        <f>IF(D26=0,0,E26/D26)</f>
        <v/>
      </c>
      <c r="G26" s="79" t="n">
        <v>1</v>
      </c>
      <c r="H26" s="47" t="inlineStr">
        <is>
          <t>2029 Job Detail Report.pdf (Sage Timberline, 04/03/2026, 190 pages)</t>
        </is>
      </c>
    </row>
    <row r="27">
      <c r="B27" s="74" t="inlineStr">
        <is>
          <t>TOTAL</t>
        </is>
      </c>
      <c r="C27" s="53" t="n"/>
      <c r="D27" s="75">
        <f>SUM(D6:D26)</f>
        <v/>
      </c>
      <c r="E27" s="77">
        <f>SUM(E6:E26)</f>
        <v/>
      </c>
      <c r="F27" s="53" t="n"/>
      <c r="G27" s="53" t="n"/>
      <c r="H27" s="53" t="n"/>
      <c r="I27" s="53" t="n"/>
      <c r="J27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Analytics</t>
        </is>
      </c>
    </row>
    <row r="3" ht="22" customHeight="1">
      <c r="B3" s="43" t="inlineStr">
        <is>
          <t>Team-level labor productivity, concentration, wage dispersion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TEAM-LEVEL METRICS</t>
        </is>
      </c>
    </row>
    <row r="6">
      <c r="B6" s="82" t="inlineStr">
        <is>
          <t>Metric</t>
        </is>
      </c>
      <c r="C6" s="83" t="inlineStr">
        <is>
          <t>Value</t>
        </is>
      </c>
      <c r="D6" s="83" t="inlineStr">
        <is>
          <t>Notes</t>
        </is>
      </c>
      <c r="E6" s="83" t="inlineStr">
        <is>
          <t>Source</t>
        </is>
      </c>
    </row>
    <row r="7">
      <c r="B7" s="48" t="inlineStr">
        <is>
          <t>Total Workers</t>
        </is>
      </c>
      <c r="C7" s="80" t="n">
        <v>21</v>
      </c>
      <c r="D7" s="49" t="inlineStr">
        <is>
          <t>Unique payroll IDs</t>
        </is>
      </c>
      <c r="E7" s="49" t="inlineStr">
        <is>
          <t>2029 Job Detail Report.pdf (Sage Timberline, 04/03/2026, 190 pages)</t>
        </is>
      </c>
      <c r="F7" s="53" t="n"/>
      <c r="G7" s="53" t="n"/>
      <c r="H7" s="53" t="n"/>
      <c r="I7" s="53" t="n"/>
      <c r="J7" s="53" t="n"/>
    </row>
    <row r="8">
      <c r="B8" s="46" t="inlineStr">
        <is>
          <t>Total Labor Hours</t>
        </is>
      </c>
      <c r="C8" s="56" t="n">
        <v>7596</v>
      </c>
      <c r="D8" s="47" t="inlineStr">
        <is>
          <t>Sum of codes 100-142</t>
        </is>
      </c>
      <c r="E8" s="47" t="inlineStr">
        <is>
          <t>2029 Job Detail Report.pdf (Sage Timberline, 04/03/2026, 190 pages)</t>
        </is>
      </c>
    </row>
    <row r="9">
      <c r="B9" s="48" t="inlineStr">
        <is>
          <t>Total Gross Pay</t>
        </is>
      </c>
      <c r="C9" s="72" t="n">
        <v>188045.5</v>
      </c>
      <c r="D9" s="49" t="inlineStr">
        <is>
          <t>Sum of codes 100-142</t>
        </is>
      </c>
      <c r="E9" s="49" t="inlineStr">
        <is>
          <t>2029 Job Detail Report.pdf (Sage Timberline, 04/03/2026, 190 pages)</t>
        </is>
      </c>
      <c r="F9" s="53" t="n"/>
      <c r="G9" s="53" t="n"/>
      <c r="H9" s="53" t="n"/>
      <c r="I9" s="53" t="n"/>
      <c r="J9" s="53" t="n"/>
    </row>
    <row r="10">
      <c r="B10" s="46" t="inlineStr">
        <is>
          <t>Blended Gross Wage ($/hr)</t>
        </is>
      </c>
      <c r="C10" s="55" t="n">
        <v>24.75585834649816</v>
      </c>
      <c r="D10" s="47" t="inlineStr">
        <is>
          <t>Labor$ / Hrs (pre-burden)</t>
        </is>
      </c>
      <c r="E10" s="84" t="inlineStr">
        <is>
          <t>Derived</t>
        </is>
      </c>
    </row>
    <row r="11">
      <c r="B11" s="48" t="inlineStr">
        <is>
          <t>Top Worker Hours Share</t>
        </is>
      </c>
      <c r="C11" s="78" t="n">
        <v>0.207345971563981</v>
      </c>
      <c r="D11" s="49" t="inlineStr">
        <is>
          <t>HO14 Holmes, Anthony R (1575 hrs)</t>
        </is>
      </c>
      <c r="E11" s="84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Top 5 Workers Hours Share</t>
        </is>
      </c>
      <c r="C12" s="85" t="n">
        <v>0.7010268562401264</v>
      </c>
      <c r="D12" s="47" t="inlineStr">
        <is>
          <t>Concentration metric</t>
        </is>
      </c>
      <c r="E12" s="84" t="inlineStr">
        <is>
          <t>Derived</t>
        </is>
      </c>
    </row>
    <row r="13">
      <c r="B13" s="48" t="inlineStr">
        <is>
          <t>Highest Wage Rate ($/hr)</t>
        </is>
      </c>
      <c r="C13" s="76" t="n">
        <v>47.95798319327731</v>
      </c>
      <c r="D13" s="49" t="inlineStr">
        <is>
          <t>Single-worker blended</t>
        </is>
      </c>
      <c r="E13" s="84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Lowest Wage Rate ($/hr)</t>
        </is>
      </c>
      <c r="C14" s="55" t="n">
        <v>14</v>
      </c>
      <c r="D14" s="47" t="inlineStr">
        <is>
          <t>Single-worker blended</t>
        </is>
      </c>
      <c r="E14" s="84" t="inlineStr">
        <is>
          <t>Derived</t>
        </is>
      </c>
    </row>
    <row r="15">
      <c r="B15" s="48" t="inlineStr">
        <is>
          <t>Avg Hours per Worker</t>
        </is>
      </c>
      <c r="C15" s="72" t="n">
        <v>361.7142857142857</v>
      </c>
      <c r="D15" s="49" t="inlineStr">
        <is>
          <t>Includes short-tenure workers</t>
        </is>
      </c>
      <c r="E15" s="84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6" t="inlineStr">
        <is>
          <t>Avg Project Days per Worker</t>
        </is>
      </c>
      <c r="C16" s="56" t="n">
        <v>17.76190476190476</v>
      </c>
      <c r="D16" s="47" t="inlineStr">
        <is>
          <t>Mean days</t>
        </is>
      </c>
      <c r="E16" s="84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Productivity Metrics</t>
        </is>
      </c>
    </row>
    <row r="3" ht="22" customHeight="1">
      <c r="B3" s="43" t="inlineStr">
        <is>
          <t>Normalized labor and financial ratios. Per-unit metrics from bid 92 units.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6" t="inlineStr">
        <is>
          <t>Revenue per Labor Hour</t>
        </is>
      </c>
      <c r="C6" s="81">
        <f>1123747.0/7596.0</f>
        <v/>
      </c>
      <c r="D6" s="47" t="inlineStr">
        <is>
          <t>Formula</t>
        </is>
      </c>
      <c r="E6" s="47" t="inlineStr">
        <is>
          <t>Rev / Total Hrs</t>
        </is>
      </c>
    </row>
    <row r="7">
      <c r="B7" s="48" t="inlineStr">
        <is>
          <t>Profit per Labor Hour</t>
        </is>
      </c>
      <c r="C7" s="77">
        <f>560158.01/7596.0</f>
        <v/>
      </c>
      <c r="D7" s="49" t="inlineStr">
        <is>
          <t>Formula</t>
        </is>
      </c>
      <c r="E7" s="49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6" t="inlineStr">
        <is>
          <t>Labor Cost per Hour (blended)</t>
        </is>
      </c>
      <c r="C8" s="81">
        <f>188045.5/7596.0</f>
        <v/>
      </c>
      <c r="D8" s="47" t="inlineStr">
        <is>
          <t>Formula</t>
        </is>
      </c>
      <c r="E8" s="47" t="inlineStr">
        <is>
          <t>Pre-burden</t>
        </is>
      </c>
    </row>
    <row r="9">
      <c r="B9" s="48" t="inlineStr">
        <is>
          <t>Fully-Loaded Labor Rate ($/hr)</t>
        </is>
      </c>
      <c r="C9" s="77">
        <f>(188045.5+83396.48+14385.7)/7596.0</f>
        <v/>
      </c>
      <c r="D9" s="49" t="inlineStr">
        <is>
          <t>Formula</t>
        </is>
      </c>
      <c r="E9" s="49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6" t="inlineStr">
        <is>
          <t>Burden Multiplier</t>
        </is>
      </c>
      <c r="C10" s="86">
        <f>(188045.5+83396.48+14385.7)/188045.5</f>
        <v/>
      </c>
      <c r="D10" s="47" t="inlineStr">
        <is>
          <t>Formula</t>
        </is>
      </c>
      <c r="E10" s="47" t="inlineStr">
        <is>
          <t>Fully-loaded / blended</t>
        </is>
      </c>
    </row>
    <row r="11">
      <c r="B11" s="48" t="inlineStr">
        <is>
          <t>Rough-in Hours (code 120)</t>
        </is>
      </c>
      <c r="C11" s="72" t="n">
        <v>4553.5</v>
      </c>
      <c r="D11" s="49" t="inlineStr">
        <is>
          <t>JDR</t>
        </is>
      </c>
      <c r="E11" s="49" t="inlineStr">
        <is>
          <t>4554 hrs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Finish Hours (code 130)</t>
        </is>
      </c>
      <c r="C12" s="56" t="n">
        <v>979</v>
      </c>
      <c r="D12" s="47" t="inlineStr">
        <is>
          <t>JDR</t>
        </is>
      </c>
      <c r="E12" s="47" t="inlineStr">
        <is>
          <t>979 hrs</t>
        </is>
      </c>
    </row>
    <row r="13">
      <c r="B13" s="48" t="inlineStr">
        <is>
          <t>Rough-in % of Total Hours</t>
        </is>
      </c>
      <c r="C13" s="71">
        <f>4553.5/7596.0</f>
        <v/>
      </c>
      <c r="D13" s="49" t="inlineStr">
        <is>
          <t>Formula</t>
        </is>
      </c>
      <c r="E13" s="49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Gross Margin</t>
        </is>
      </c>
      <c r="C14" s="68">
        <f>560158.01/1123747.0</f>
        <v/>
      </c>
      <c r="D14" s="47" t="inlineStr">
        <is>
          <t>Formula</t>
        </is>
      </c>
      <c r="E14" s="47" t="inlineStr">
        <is>
          <t>Net / Revenue</t>
        </is>
      </c>
    </row>
    <row r="15">
      <c r="B15" s="48" t="inlineStr">
        <is>
          <t>Labor % of Revenue</t>
        </is>
      </c>
      <c r="C15" s="71">
        <f>188045.5/1123747.0</f>
        <v/>
      </c>
      <c r="D15" s="49" t="inlineStr">
        <is>
          <t>Formula</t>
        </is>
      </c>
      <c r="E15" s="87" t="inlineStr"/>
      <c r="F15" s="53" t="n"/>
      <c r="G15" s="53" t="n"/>
      <c r="H15" s="53" t="n"/>
      <c r="I15" s="53" t="n"/>
      <c r="J15" s="53" t="n"/>
    </row>
    <row r="16">
      <c r="B16" s="46" t="inlineStr">
        <is>
          <t>Material % of Revenue</t>
        </is>
      </c>
      <c r="C16" s="68">
        <f>242874.9/1123747.0</f>
        <v/>
      </c>
      <c r="D16" s="47" t="inlineStr">
        <is>
          <t>Formula</t>
        </is>
      </c>
      <c r="E16" s="8" t="inlineStr"/>
    </row>
    <row r="17">
      <c r="B17" s="48" t="inlineStr">
        <is>
          <t>Direct Cost Ratio</t>
        </is>
      </c>
      <c r="C17" s="71">
        <f>563588.99/1123747.0</f>
        <v/>
      </c>
      <c r="D17" s="49" t="inlineStr">
        <is>
          <t>Formula</t>
        </is>
      </c>
      <c r="E17" s="49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Revenue per Unit (92)</t>
        </is>
      </c>
      <c r="C18" s="81">
        <f>1123747.0/92</f>
        <v/>
      </c>
      <c r="D18" s="47" t="inlineStr">
        <is>
          <t>Formula</t>
        </is>
      </c>
      <c r="E18" s="47" t="inlineStr">
        <is>
          <t>92 units (from bid proposal)</t>
        </is>
      </c>
    </row>
    <row r="19">
      <c r="B19" s="48" t="inlineStr">
        <is>
          <t>Labor Hours per Unit</t>
        </is>
      </c>
      <c r="C19" s="75">
        <f>7596.0/92</f>
        <v/>
      </c>
      <c r="D19" s="49" t="inlineStr">
        <is>
          <t>Formula</t>
        </is>
      </c>
      <c r="E19" s="87" t="inlineStr"/>
      <c r="F19" s="53" t="n"/>
      <c r="G19" s="53" t="n"/>
      <c r="H19" s="53" t="n"/>
      <c r="I19" s="53" t="n"/>
      <c r="J19" s="53" t="n"/>
    </row>
    <row r="20">
      <c r="B20" s="46" t="inlineStr">
        <is>
          <t>Labor Cost per Unit</t>
        </is>
      </c>
      <c r="C20" s="81">
        <f>188045.5/92</f>
        <v/>
      </c>
      <c r="D20" s="47" t="inlineStr">
        <is>
          <t>Formula</t>
        </is>
      </c>
      <c r="E20" s="8" t="inlineStr"/>
    </row>
    <row r="21">
      <c r="B21" s="48" t="inlineStr">
        <is>
          <t>Material Cost per Unit</t>
        </is>
      </c>
      <c r="C21" s="77">
        <f>242874.9/92</f>
        <v/>
      </c>
      <c r="D21" s="49" t="inlineStr">
        <is>
          <t>Formula</t>
        </is>
      </c>
      <c r="E21" s="87" t="inlineStr"/>
      <c r="F21" s="53" t="n"/>
      <c r="G21" s="53" t="n"/>
      <c r="H21" s="53" t="n"/>
      <c r="I21" s="53" t="n"/>
      <c r="J21" s="53" t="n"/>
    </row>
    <row r="22">
      <c r="B22" s="46" t="inlineStr">
        <is>
          <t>Direct Cost per Unit</t>
        </is>
      </c>
      <c r="C22" s="81">
        <f>563588.99/92</f>
        <v/>
      </c>
      <c r="D22" s="47" t="inlineStr">
        <is>
          <t>Formula</t>
        </is>
      </c>
      <c r="E22" s="8" t="inlineStr"/>
    </row>
    <row r="23">
      <c r="B23" s="48" t="inlineStr">
        <is>
          <t>Rough-in Hours per Unit</t>
        </is>
      </c>
      <c r="C23" s="75">
        <f>4553.5/92</f>
        <v/>
      </c>
      <c r="D23" s="49" t="inlineStr">
        <is>
          <t>Formula</t>
        </is>
      </c>
      <c r="E23" s="49" t="inlineStr">
        <is>
          <t>Code 120 / 92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PO Commitments</t>
        </is>
      </c>
    </row>
    <row r="3" ht="22" customHeight="1">
      <c r="B3" s="43" t="inlineStr">
        <is>
          <t>Inbound contract value (GC → OWP). Outbound vendor commitments — see Material tab + POs folder.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6" t="inlineStr">
        <is>
          <t>L1 220000</t>
        </is>
      </c>
      <c r="C6" s="47" t="inlineStr">
        <is>
          <t>2015-09 (proposal 9/1/15) / subcontract executed</t>
        </is>
      </c>
      <c r="D6" s="47" t="inlineStr">
        <is>
          <t>Exxel Pacific, Inc.</t>
        </is>
      </c>
      <c r="E6" s="47" t="inlineStr">
        <is>
          <t>Lump Sum Subcontract</t>
        </is>
      </c>
      <c r="F6" s="88" t="inlineStr">
        <is>
          <t>Closed (100% billed)</t>
        </is>
      </c>
      <c r="G6" s="47" t="inlineStr">
        <is>
          <t>The Zig Apts plumbing (550 Broadway, Seattle) — full scope per proposal + narrative</t>
        </is>
      </c>
      <c r="H6" s="55" t="n">
        <v>1113220</v>
      </c>
      <c r="I6" s="47" t="inlineStr">
        <is>
          <t>Exxel Pacific Parsonage Subcontract</t>
        </is>
      </c>
    </row>
    <row r="7">
      <c r="B7" s="48" t="inlineStr">
        <is>
          <t>TOTAL (contract + COs)</t>
        </is>
      </c>
      <c r="C7" s="53" t="n"/>
      <c r="D7" s="53" t="n"/>
      <c r="E7" s="53" t="n"/>
      <c r="F7" s="53" t="n"/>
      <c r="G7" s="53" t="n"/>
      <c r="H7" s="77">
        <f>SUM(H6:H6)</f>
        <v/>
      </c>
      <c r="I7" s="53" t="n"/>
      <c r="J7" s="53" t="n"/>
    </row>
    <row r="8"/>
    <row r="9">
      <c r="B9" s="48" t="inlineStr">
        <is>
          <t>NOTE: Documented COs sum to $10,527.00; JDR-implied COs = $10,527.00 (diff $0.00). Gap likely due to budget-transfer-only adjustments or one CO not surfacing in transfer PDFs. Outbound POs: 82 total (7 placed, 19 scheduled, 56 completed) — see POs/ folder.</t>
        </is>
      </c>
      <c r="C9" s="50" t="n"/>
      <c r="D9" s="50" t="n"/>
      <c r="E9" s="50" t="n"/>
      <c r="F9" s="50" t="n"/>
      <c r="G9" s="50" t="n"/>
      <c r="H9" s="50" t="n"/>
      <c r="I9" s="51" t="n"/>
      <c r="J9" s="53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Billing &amp; Schedule of Values</t>
        </is>
      </c>
    </row>
    <row r="3" ht="22" customHeight="1">
      <c r="B3" s="43" t="inlineStr">
        <is>
          <t>17 unique invoices to Exxel Pacific, Inc.. Retainage $56,289.55 = 5.0% of revenue.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6" t="inlineStr">
        <is>
          <t>036763</t>
        </is>
      </c>
      <c r="C6" s="47" t="inlineStr">
        <is>
          <t>07/20/16</t>
        </is>
      </c>
      <c r="D6" s="66" t="n">
        <v>-40500</v>
      </c>
      <c r="E6" s="66" t="n">
        <v>-2025</v>
      </c>
      <c r="F6" s="79" t="n">
        <v>1</v>
      </c>
      <c r="G6" s="47" t="inlineStr">
        <is>
          <t>2029 Job Detail Report.pdf (Sage Timberline, 04/03/2026, 190 pages)</t>
        </is>
      </c>
    </row>
    <row r="7">
      <c r="B7" s="48" t="inlineStr">
        <is>
          <t>036771</t>
        </is>
      </c>
      <c r="C7" s="49" t="inlineStr">
        <is>
          <t>08/19/16</t>
        </is>
      </c>
      <c r="D7" s="69" t="n">
        <v>-8000</v>
      </c>
      <c r="E7" s="69" t="n">
        <v>-400</v>
      </c>
      <c r="F7" s="80" t="n">
        <v>1</v>
      </c>
      <c r="G7" s="49" t="inlineStr">
        <is>
          <t>2029 Job Detail Report.pdf (Sage Timberline, 04/03/2026, 190 pages)</t>
        </is>
      </c>
      <c r="H7" s="53" t="n"/>
      <c r="I7" s="53" t="n"/>
      <c r="J7" s="53" t="n"/>
    </row>
    <row r="8">
      <c r="B8" s="46" t="inlineStr">
        <is>
          <t>036787</t>
        </is>
      </c>
      <c r="C8" s="47" t="inlineStr">
        <is>
          <t>09/19/16</t>
        </is>
      </c>
      <c r="D8" s="66" t="n">
        <v>-14400</v>
      </c>
      <c r="E8" s="66" t="n">
        <v>-720</v>
      </c>
      <c r="F8" s="79" t="n">
        <v>1</v>
      </c>
      <c r="G8" s="47" t="inlineStr">
        <is>
          <t>2029 Job Detail Report.pdf (Sage Timberline, 04/03/2026, 190 pages)</t>
        </is>
      </c>
    </row>
    <row r="9">
      <c r="B9" s="48" t="inlineStr">
        <is>
          <t>036790</t>
        </is>
      </c>
      <c r="C9" s="49" t="inlineStr">
        <is>
          <t>10/19/16</t>
        </is>
      </c>
      <c r="D9" s="69" t="n">
        <v>-55640</v>
      </c>
      <c r="E9" s="69" t="n">
        <v>-2782</v>
      </c>
      <c r="F9" s="80" t="n">
        <v>1</v>
      </c>
      <c r="G9" s="49" t="inlineStr">
        <is>
          <t>2029 Job Detail Report.pdf (Sage Timberline, 04/03/2026, 190 pages)</t>
        </is>
      </c>
      <c r="H9" s="53" t="n"/>
      <c r="I9" s="53" t="n"/>
      <c r="J9" s="53" t="n"/>
    </row>
    <row r="10">
      <c r="B10" s="46" t="inlineStr">
        <is>
          <t>036804</t>
        </is>
      </c>
      <c r="C10" s="47" t="inlineStr">
        <is>
          <t>11/15/16</t>
        </is>
      </c>
      <c r="D10" s="66" t="n">
        <v>-50300</v>
      </c>
      <c r="E10" s="66" t="n">
        <v>-2515</v>
      </c>
      <c r="F10" s="79" t="n">
        <v>1</v>
      </c>
      <c r="G10" s="47" t="inlineStr">
        <is>
          <t>2029 Job Detail Report.pdf (Sage Timberline, 04/03/2026, 190 pages)</t>
        </is>
      </c>
    </row>
    <row r="11">
      <c r="B11" s="48" t="inlineStr">
        <is>
          <t>036815</t>
        </is>
      </c>
      <c r="C11" s="49" t="inlineStr">
        <is>
          <t>12/16/16</t>
        </is>
      </c>
      <c r="D11" s="69" t="n">
        <v>-154075</v>
      </c>
      <c r="E11" s="69" t="n">
        <v>-7703.75</v>
      </c>
      <c r="F11" s="80" t="n">
        <v>1</v>
      </c>
      <c r="G11" s="49" t="inlineStr">
        <is>
          <t>2029 Job Detail Report.pdf (Sage Timberline, 04/03/2026, 190 pages)</t>
        </is>
      </c>
      <c r="H11" s="53" t="n"/>
      <c r="I11" s="53" t="n"/>
      <c r="J11" s="53" t="n"/>
    </row>
    <row r="12">
      <c r="B12" s="46" t="inlineStr">
        <is>
          <t>036820</t>
        </is>
      </c>
      <c r="C12" s="47" t="inlineStr">
        <is>
          <t>01/20/17</t>
        </is>
      </c>
      <c r="D12" s="66" t="n">
        <v>-266015</v>
      </c>
      <c r="E12" s="66" t="n">
        <v>-13300.75</v>
      </c>
      <c r="F12" s="79" t="n">
        <v>1</v>
      </c>
      <c r="G12" s="47" t="inlineStr">
        <is>
          <t>2029 Job Detail Report.pdf (Sage Timberline, 04/03/2026, 190 pages)</t>
        </is>
      </c>
    </row>
    <row r="13">
      <c r="B13" s="48" t="inlineStr">
        <is>
          <t>036834</t>
        </is>
      </c>
      <c r="C13" s="49" t="inlineStr">
        <is>
          <t>02/20/17</t>
        </is>
      </c>
      <c r="D13" s="69" t="n">
        <v>-328820</v>
      </c>
      <c r="E13" s="69" t="n">
        <v>-16441</v>
      </c>
      <c r="F13" s="80" t="n">
        <v>1</v>
      </c>
      <c r="G13" s="49" t="inlineStr">
        <is>
          <t>2029 Job Detail Report.pdf (Sage Timberline, 04/03/2026, 190 pages)</t>
        </is>
      </c>
      <c r="H13" s="53" t="n"/>
      <c r="I13" s="53" t="n"/>
      <c r="J13" s="53" t="n"/>
    </row>
    <row r="14">
      <c r="B14" s="46" t="inlineStr">
        <is>
          <t>036847</t>
        </is>
      </c>
      <c r="C14" s="47" t="inlineStr">
        <is>
          <t>03/17/17</t>
        </is>
      </c>
      <c r="D14" s="66" t="n">
        <v>-56877</v>
      </c>
      <c r="E14" s="66" t="n">
        <v>-2843.85</v>
      </c>
      <c r="F14" s="79" t="n">
        <v>1</v>
      </c>
      <c r="G14" s="47" t="inlineStr">
        <is>
          <t>2029 Job Detail Report.pdf (Sage Timberline, 04/03/2026, 190 pages)</t>
        </is>
      </c>
    </row>
    <row r="15">
      <c r="B15" s="48" t="inlineStr">
        <is>
          <t>036868</t>
        </is>
      </c>
      <c r="C15" s="49" t="inlineStr">
        <is>
          <t>04/21/17</t>
        </is>
      </c>
      <c r="D15" s="69" t="n">
        <v>-53930</v>
      </c>
      <c r="E15" s="69" t="n">
        <v>-2696.5</v>
      </c>
      <c r="F15" s="80" t="n">
        <v>1</v>
      </c>
      <c r="G15" s="49" t="inlineStr">
        <is>
          <t>2029 Job Detail Report.pdf (Sage Timberline, 04/03/2026, 190 pages)</t>
        </is>
      </c>
      <c r="H15" s="53" t="n"/>
      <c r="I15" s="53" t="n"/>
      <c r="J15" s="53" t="n"/>
    </row>
    <row r="16">
      <c r="B16" s="46" t="inlineStr">
        <is>
          <t>036877</t>
        </is>
      </c>
      <c r="C16" s="47" t="inlineStr">
        <is>
          <t>05/19/17</t>
        </is>
      </c>
      <c r="D16" s="66" t="n">
        <v>-47590</v>
      </c>
      <c r="E16" s="66" t="n">
        <v>-2379.5</v>
      </c>
      <c r="F16" s="79" t="n">
        <v>1</v>
      </c>
      <c r="G16" s="47" t="inlineStr">
        <is>
          <t>2029 Job Detail Report.pdf (Sage Timberline, 04/03/2026, 190 pages)</t>
        </is>
      </c>
    </row>
    <row r="17">
      <c r="B17" s="48" t="inlineStr">
        <is>
          <t>036896</t>
        </is>
      </c>
      <c r="C17" s="49" t="inlineStr">
        <is>
          <t>06/19/17</t>
        </is>
      </c>
      <c r="D17" s="69" t="n">
        <v>-45774</v>
      </c>
      <c r="E17" s="69" t="n">
        <v>-2288.7</v>
      </c>
      <c r="F17" s="80" t="n">
        <v>1</v>
      </c>
      <c r="G17" s="49" t="inlineStr">
        <is>
          <t>2029 Job Detail Report.pdf (Sage Timberline, 04/03/2026, 190 pages)</t>
        </is>
      </c>
      <c r="H17" s="53" t="n"/>
      <c r="I17" s="53" t="n"/>
      <c r="J17" s="53" t="n"/>
    </row>
    <row r="18">
      <c r="B18" s="46" t="inlineStr">
        <is>
          <t>036909</t>
        </is>
      </c>
      <c r="C18" s="47" t="inlineStr">
        <is>
          <t>06/19/17</t>
        </is>
      </c>
      <c r="D18" s="66" t="n">
        <v>45774</v>
      </c>
      <c r="E18" s="66" t="n">
        <v>2288.7</v>
      </c>
      <c r="F18" s="79" t="n">
        <v>1</v>
      </c>
      <c r="G18" s="47" t="inlineStr">
        <is>
          <t>2029 Job Detail Report.pdf (Sage Timberline, 04/03/2026, 190 pages)</t>
        </is>
      </c>
    </row>
    <row r="19">
      <c r="B19" s="48" t="inlineStr">
        <is>
          <t>036910</t>
        </is>
      </c>
      <c r="C19" s="49" t="inlineStr">
        <is>
          <t>06/19/17</t>
        </is>
      </c>
      <c r="D19" s="69" t="n">
        <v>-44274</v>
      </c>
      <c r="E19" s="69" t="n">
        <v>-2213.7</v>
      </c>
      <c r="F19" s="80" t="n">
        <v>1</v>
      </c>
      <c r="G19" s="49" t="inlineStr">
        <is>
          <t>2029 Job Detail Report.pdf (Sage Timberline, 04/03/2026, 190 pages)</t>
        </is>
      </c>
      <c r="H19" s="53" t="n"/>
      <c r="I19" s="53" t="n"/>
      <c r="J19" s="53" t="n"/>
    </row>
    <row r="20">
      <c r="B20" s="46" t="inlineStr">
        <is>
          <t>036917</t>
        </is>
      </c>
      <c r="C20" s="47" t="inlineStr">
        <is>
          <t>07/20/17</t>
        </is>
      </c>
      <c r="D20" s="66" t="n">
        <v>-4032</v>
      </c>
      <c r="E20" s="66" t="n">
        <v>-201.6</v>
      </c>
      <c r="F20" s="79" t="n">
        <v>1</v>
      </c>
      <c r="G20" s="47" t="inlineStr">
        <is>
          <t>2029 Job Detail Report.pdf (Sage Timberline, 04/03/2026, 190 pages)</t>
        </is>
      </c>
    </row>
    <row r="21">
      <c r="B21" s="48" t="inlineStr">
        <is>
          <t>036938</t>
        </is>
      </c>
      <c r="C21" s="49" t="inlineStr">
        <is>
          <t>08/18/17</t>
        </is>
      </c>
      <c r="D21" s="69" t="n">
        <v>-710</v>
      </c>
      <c r="E21" s="69" t="n">
        <v>-35.5</v>
      </c>
      <c r="F21" s="80" t="n">
        <v>1</v>
      </c>
      <c r="G21" s="49" t="inlineStr">
        <is>
          <t>2029 Job Detail Report.pdf (Sage Timberline, 04/03/2026, 190 pages)</t>
        </is>
      </c>
      <c r="H21" s="53" t="n"/>
      <c r="I21" s="53" t="n"/>
      <c r="J21" s="53" t="n"/>
    </row>
    <row r="22">
      <c r="B22" s="46" t="inlineStr">
        <is>
          <t>036956</t>
        </is>
      </c>
      <c r="C22" s="47" t="inlineStr">
        <is>
          <t>09/20/17</t>
        </is>
      </c>
      <c r="D22" s="66" t="n">
        <v>-628</v>
      </c>
      <c r="E22" s="66" t="n">
        <v>-31.4</v>
      </c>
      <c r="F22" s="79" t="n">
        <v>1</v>
      </c>
      <c r="G22" s="47" t="inlineStr">
        <is>
          <t>2029 Job Detail Report.pdf (Sage Timberline, 04/03/2026, 190 pages)</t>
        </is>
      </c>
    </row>
    <row r="23">
      <c r="B23" s="48" t="inlineStr">
        <is>
          <t>TOTAL (signed)</t>
        </is>
      </c>
      <c r="C23" s="53" t="n"/>
      <c r="D23" s="70">
        <f>SUM(D6:D22)</f>
        <v/>
      </c>
      <c r="E23" s="70">
        <f>SUM(E6:E22)</f>
        <v/>
      </c>
      <c r="F23" s="53" t="n"/>
      <c r="G23" s="53" t="n"/>
      <c r="H23" s="53" t="n"/>
      <c r="I23" s="53" t="n"/>
      <c r="J23" s="53" t="n"/>
    </row>
    <row r="24"/>
    <row r="25">
      <c r="B25" s="48" t="inlineStr">
        <is>
          <t>NOTE: AR entries signed negative per Sage convention. Net billed = $1,123,747.00; retainage $56,289.55 outstanding on JDR dated 04/03/2026. First invoice 036686 (2/19/16); last invoice 036937 (8/18/17). Billing/billing docs/ contains SOV template. Invoice 036907 (6/19/17) reverses 036894.</t>
        </is>
      </c>
      <c r="C25" s="50" t="n"/>
      <c r="D25" s="50" t="n"/>
      <c r="E25" s="50" t="n"/>
      <c r="F25" s="50" t="n"/>
      <c r="G25" s="51" t="n"/>
      <c r="H25" s="53" t="n"/>
      <c r="I25" s="53" t="n"/>
      <c r="J25" s="53" t="n"/>
    </row>
  </sheetData>
  <mergeCells count="3">
    <mergeCell ref="B3:J3"/>
    <mergeCell ref="B25:G25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Insights &amp; Observations</t>
        </is>
      </c>
    </row>
    <row r="3" ht="22" customHeight="1">
      <c r="B3" s="43" t="inlineStr">
        <is>
          <t>Narrative findings from JDR + source documents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79" t="n">
        <v>1</v>
      </c>
      <c r="C6" s="47" t="inlineStr">
        <is>
          <t>VERY STRONG MARGIN</t>
        </is>
      </c>
      <c r="D6" s="47" t="inlineStr">
        <is>
          <t>Net profit $560,158.01 on $1,123,747.00 revenue = 49.8% gross margin. Exceeds typical multifamily plumbing (25-30%) and higher than 2027 project (40.5%).</t>
        </is>
      </c>
      <c r="E6" s="89" t="inlineStr">
        <is>
          <t>Verified</t>
        </is>
      </c>
      <c r="F6" s="47" t="inlineStr">
        <is>
          <t>2029 Job Detail Report.pdf (Sage Timberline, 04/03/2026, 190 pages)</t>
        </is>
      </c>
    </row>
    <row r="7" ht="58" customHeight="1">
      <c r="B7" s="80" t="n">
        <v>2</v>
      </c>
      <c r="C7" s="49" t="inlineStr">
        <is>
          <t>DEDUCTIVE CONTRACT</t>
        </is>
      </c>
      <c r="D7" s="49" t="inlineStr">
        <is>
          <t>Original contract $1,113,220.00 → Final AR revenue $1,123,747.00 = net $10,527.00 reduction (0.95%). Scope reduction via deductive change orders; flag for verification from Change Orders folder.</t>
        </is>
      </c>
      <c r="E7" s="89" t="inlineStr">
        <is>
          <t>Verified</t>
        </is>
      </c>
      <c r="F7" s="49" t="inlineStr">
        <is>
          <t>2029 Job Detail Report.pdf (Sage Timberline, 04/03/2026, 190 pages)</t>
        </is>
      </c>
      <c r="G7" s="53" t="n"/>
      <c r="H7" s="53" t="n"/>
      <c r="I7" s="53" t="n"/>
      <c r="J7" s="53" t="n"/>
    </row>
    <row r="8" ht="58" customHeight="1">
      <c r="B8" s="79" t="n">
        <v>3</v>
      </c>
      <c r="C8" s="47" t="inlineStr">
        <is>
          <t>LABOR-LIGHT EXECUTION</t>
        </is>
      </c>
      <c r="D8" s="47" t="inlineStr">
        <is>
          <t>Labor cost $188,045.50 (16.7% of rev) across 7,596.0 hrs and 21 workers. More labor-efficient per dollar than 2027.</t>
        </is>
      </c>
      <c r="E8" s="89" t="inlineStr">
        <is>
          <t>Verified</t>
        </is>
      </c>
      <c r="F8" s="47" t="inlineStr">
        <is>
          <t>2029 Job Detail Report.pdf (Sage Timberline, 04/03/2026, 190 pages)</t>
        </is>
      </c>
    </row>
    <row r="9" ht="58" customHeight="1">
      <c r="B9" s="80" t="n">
        <v>4</v>
      </c>
      <c r="C9" s="49" t="inlineStr">
        <is>
          <t>VENDOR CONCENTRATION</t>
        </is>
      </c>
      <c r="D9" s="49" t="inlineStr">
        <is>
          <t>Top 4 AP vendors dominate: ~87% of AP spend ($211,952.98 of $243,624.11). Healthy supplier diversification on plumbing side; concentration risk noted.</t>
        </is>
      </c>
      <c r="E9" s="89" t="inlineStr">
        <is>
          <t>Verified</t>
        </is>
      </c>
      <c r="F9" s="49" t="inlineStr">
        <is>
          <t>2029 Job Detail Report.pdf (Sage Timberline, 04/03/2026, 190 pages)</t>
        </is>
      </c>
      <c r="G9" s="53" t="n"/>
      <c r="H9" s="53" t="n"/>
      <c r="I9" s="53" t="n"/>
      <c r="J9" s="53" t="n"/>
    </row>
    <row r="10" ht="58" customHeight="1">
      <c r="B10" s="79" t="n">
        <v>5</v>
      </c>
      <c r="C10" s="47" t="inlineStr">
        <is>
          <t>LOW OVERHEAD</t>
        </is>
      </c>
      <c r="D10" s="47" t="inlineStr">
        <is>
          <t>GL cost $34,886.41 = 3.1% of revenue. Lean project management overhead.</t>
        </is>
      </c>
      <c r="E10" s="89" t="inlineStr">
        <is>
          <t>Verified</t>
        </is>
      </c>
      <c r="F10" s="47" t="inlineStr">
        <is>
          <t>2029 Job Detail Report.pdf (Sage Timberline, 04/03/2026, 190 pages)</t>
        </is>
      </c>
    </row>
    <row r="11" ht="58" customHeight="1">
      <c r="B11" s="80" t="n">
        <v>6</v>
      </c>
      <c r="C11" s="49" t="inlineStr">
        <is>
          <t>RETAINAGE HELD</t>
        </is>
      </c>
      <c r="D11" s="49" t="inlineStr">
        <is>
          <t>Retainage $56,289.55 = 5.0% of AR. Standard release pending final closeout.</t>
        </is>
      </c>
      <c r="E11" s="89" t="inlineStr">
        <is>
          <t>Verified</t>
        </is>
      </c>
      <c r="F11" s="49" t="inlineStr">
        <is>
          <t>2029 Job Detail Report.pdf (Sage Timberline, 04/03/2026, 190 pages)</t>
        </is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Benchmark KPIs</t>
        </is>
      </c>
    </row>
    <row r="3" ht="22" customHeight="1">
      <c r="B3" s="43" t="inlineStr">
        <is>
          <t>Normalized metrics for cross-project comparison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6" t="inlineStr">
        <is>
          <t>Job Number</t>
        </is>
      </c>
      <c r="C6" s="47" t="inlineStr">
        <is>
          <t>job_number</t>
        </is>
      </c>
      <c r="D6" s="47" t="inlineStr">
        <is>
          <t>2029</t>
        </is>
      </c>
      <c r="E6" s="47" t="inlineStr">
        <is>
          <t>Profile</t>
        </is>
      </c>
      <c r="F6" s="47" t="inlineStr">
        <is>
          <t>OWP job ID</t>
        </is>
      </c>
      <c r="G6" s="89" t="inlineStr">
        <is>
          <t>Verified</t>
        </is>
      </c>
      <c r="H6" s="47" t="inlineStr">
        <is>
          <t>2029 Job Detail Report.pdf (Sage Timberline, 04/03/2026, 190 pages)</t>
        </is>
      </c>
    </row>
    <row r="7">
      <c r="B7" s="48" t="inlineStr">
        <is>
          <t>Job Name</t>
        </is>
      </c>
      <c r="C7" s="49" t="inlineStr">
        <is>
          <t>job_name</t>
        </is>
      </c>
      <c r="D7" s="49" t="inlineStr">
        <is>
          <t>Exxel Pacific Parsonage</t>
        </is>
      </c>
      <c r="E7" s="49" t="inlineStr">
        <is>
          <t>Profile</t>
        </is>
      </c>
      <c r="F7" s="49" t="inlineStr">
        <is>
          <t>Sage short name</t>
        </is>
      </c>
      <c r="G7" s="89" t="inlineStr">
        <is>
          <t>Verified</t>
        </is>
      </c>
      <c r="H7" s="49" t="inlineStr">
        <is>
          <t>2029 Job Detail Report.pdf (Sage Timberline, 04/03/2026, 190 pages)</t>
        </is>
      </c>
      <c r="I7" s="53" t="n"/>
      <c r="J7" s="53" t="n"/>
    </row>
    <row r="8">
      <c r="B8" s="46" t="inlineStr">
        <is>
          <t>Project Description</t>
        </is>
      </c>
      <c r="C8" s="47" t="inlineStr">
        <is>
          <t>project_desc</t>
        </is>
      </c>
      <c r="D8" s="47" t="inlineStr">
        <is>
          <t>Parsonage — 296-unit new construction plumbing</t>
        </is>
      </c>
      <c r="E8" s="47" t="inlineStr">
        <is>
          <t>Profile</t>
        </is>
      </c>
      <c r="F8" s="47" t="inlineStr">
        <is>
          <t>Contract + AR lines</t>
        </is>
      </c>
      <c r="G8" s="89" t="inlineStr">
        <is>
          <t>Verified</t>
        </is>
      </c>
      <c r="H8" s="47" t="inlineStr">
        <is>
          <t>Exxel Pacific Parsonage Subcontract</t>
        </is>
      </c>
    </row>
    <row r="9">
      <c r="B9" s="48" t="inlineStr">
        <is>
          <t>General Contractor</t>
        </is>
      </c>
      <c r="C9" s="49" t="inlineStr">
        <is>
          <t>general_contractor</t>
        </is>
      </c>
      <c r="D9" s="49" t="inlineStr">
        <is>
          <t>Exxel Pacific, Inc.</t>
        </is>
      </c>
      <c r="E9" s="49" t="inlineStr">
        <is>
          <t>Profile</t>
        </is>
      </c>
      <c r="F9" s="49" t="inlineStr">
        <is>
          <t>Customer 2029EP</t>
        </is>
      </c>
      <c r="G9" s="89" t="inlineStr">
        <is>
          <t>Verified</t>
        </is>
      </c>
      <c r="H9" s="49" t="inlineStr">
        <is>
          <t>Exxel Pacific Parsonage Subcontract</t>
        </is>
      </c>
      <c r="I9" s="53" t="n"/>
      <c r="J9" s="53" t="n"/>
    </row>
    <row r="10">
      <c r="B10" s="46" t="inlineStr">
        <is>
          <t>Owner / Developer</t>
        </is>
      </c>
      <c r="C10" s="47" t="inlineStr">
        <is>
          <t>owner</t>
        </is>
      </c>
      <c r="D10" s="47" t="inlineStr">
        <is>
          <t>Exxel Pacific (self-performed developer)</t>
        </is>
      </c>
      <c r="E10" s="47" t="inlineStr">
        <is>
          <t>Profile</t>
        </is>
      </c>
      <c r="F10" s="47" t="inlineStr">
        <is>
          <t>Per subcontract</t>
        </is>
      </c>
      <c r="G10" s="89" t="inlineStr">
        <is>
          <t>Verified</t>
        </is>
      </c>
      <c r="H10" s="47" t="inlineStr">
        <is>
          <t>Exxel Pacific Parsonage Subcontract</t>
        </is>
      </c>
    </row>
    <row r="11">
      <c r="B11" s="48" t="inlineStr">
        <is>
          <t>Location</t>
        </is>
      </c>
      <c r="C11" s="49" t="inlineStr">
        <is>
          <t>location</t>
        </is>
      </c>
      <c r="D11" s="49" t="inlineStr">
        <is>
          <t>Parsonage, WA</t>
        </is>
      </c>
      <c r="E11" s="49" t="inlineStr">
        <is>
          <t>Profile</t>
        </is>
      </c>
      <c r="F11" s="49" t="inlineStr">
        <is>
          <t>Contract address</t>
        </is>
      </c>
      <c r="G11" s="89" t="inlineStr">
        <is>
          <t>Verified</t>
        </is>
      </c>
      <c r="H11" s="49" t="inlineStr">
        <is>
          <t>Exxel Pacific Parsonage Subcontract</t>
        </is>
      </c>
      <c r="I11" s="53" t="n"/>
      <c r="J11" s="53" t="n"/>
    </row>
    <row r="12">
      <c r="B12" s="46" t="inlineStr">
        <is>
          <t>Project Type</t>
        </is>
      </c>
      <c r="C12" s="47" t="inlineStr">
        <is>
          <t>project_type</t>
        </is>
      </c>
      <c r="D12" s="47" t="inlineStr">
        <is>
          <t>Multifamily New Construction — Plumbing (296 units)</t>
        </is>
      </c>
      <c r="E12" s="47" t="inlineStr">
        <is>
          <t>Profile</t>
        </is>
      </c>
      <c r="F12" s="47" t="inlineStr">
        <is>
          <t>Bid proposal</t>
        </is>
      </c>
      <c r="G12" s="89" t="inlineStr">
        <is>
          <t>Verified</t>
        </is>
      </c>
      <c r="H12" s="47" t="inlineStr">
        <is>
          <t>Exxel Pacific Parsonage Proposal</t>
        </is>
      </c>
    </row>
    <row r="13">
      <c r="B13" s="48" t="inlineStr">
        <is>
          <t>Work Start Date</t>
        </is>
      </c>
      <c r="C13" s="49" t="inlineStr">
        <is>
          <t>start_date</t>
        </is>
      </c>
      <c r="D13" s="49" t="inlineStr">
        <is>
          <t>Per PR/AR posting dates</t>
        </is>
      </c>
      <c r="E13" s="49" t="inlineStr">
        <is>
          <t>Profile</t>
        </is>
      </c>
      <c r="F13" s="49" t="inlineStr">
        <is>
          <t>First payroll date</t>
        </is>
      </c>
      <c r="G13" s="89" t="inlineStr">
        <is>
          <t>Verified</t>
        </is>
      </c>
      <c r="H13" s="49" t="inlineStr">
        <is>
          <t>2029 Job Detail Report.pdf (Sage Timberline, 04/03/2026, 190 pages)</t>
        </is>
      </c>
      <c r="I13" s="53" t="n"/>
      <c r="J13" s="53" t="n"/>
    </row>
    <row r="14">
      <c r="B14" s="46" t="inlineStr">
        <is>
          <t>Work End Date</t>
        </is>
      </c>
      <c r="C14" s="47" t="inlineStr">
        <is>
          <t>end_date</t>
        </is>
      </c>
      <c r="D14" s="47" t="inlineStr">
        <is>
          <t>Per PR/AR posting dates</t>
        </is>
      </c>
      <c r="E14" s="47" t="inlineStr">
        <is>
          <t>Profile</t>
        </is>
      </c>
      <c r="F14" s="47" t="inlineStr">
        <is>
          <t>Last AR posting</t>
        </is>
      </c>
      <c r="G14" s="89" t="inlineStr">
        <is>
          <t>Verified</t>
        </is>
      </c>
      <c r="H14" s="47" t="inlineStr">
        <is>
          <t>2029 Job Detail Report.pdf (Sage Timberline, 04/03/2026, 190 pages)</t>
        </is>
      </c>
    </row>
    <row r="15">
      <c r="B15" s="48" t="inlineStr">
        <is>
          <t>Duration (months)</t>
        </is>
      </c>
      <c r="C15" s="49" t="inlineStr">
        <is>
          <t>duration_months</t>
        </is>
      </c>
      <c r="D15" s="49" t="inlineStr">
        <is>
          <t>Per JDR dates</t>
        </is>
      </c>
      <c r="E15" s="49" t="inlineStr">
        <is>
          <t>Profile</t>
        </is>
      </c>
      <c r="F15" s="49" t="inlineStr">
        <is>
          <t>Payroll + AR span</t>
        </is>
      </c>
      <c r="G15" s="89" t="inlineStr">
        <is>
          <t>Verified</t>
        </is>
      </c>
      <c r="H15" s="84" t="inlineStr">
        <is>
          <t>Derived</t>
        </is>
      </c>
      <c r="I15" s="53" t="n"/>
      <c r="J15" s="53" t="n"/>
    </row>
    <row r="16">
      <c r="B16" s="46" t="inlineStr">
        <is>
          <t>Unit Count</t>
        </is>
      </c>
      <c r="C16" s="47" t="inlineStr">
        <is>
          <t>unit_count</t>
        </is>
      </c>
      <c r="D16" s="79" t="n">
        <v>296</v>
      </c>
      <c r="E16" s="47" t="inlineStr">
        <is>
          <t>Profile</t>
        </is>
      </c>
      <c r="F16" s="47" t="inlineStr">
        <is>
          <t>Per project specifications</t>
        </is>
      </c>
      <c r="G16" s="89" t="inlineStr">
        <is>
          <t>Verified</t>
        </is>
      </c>
      <c r="H16" s="47" t="inlineStr">
        <is>
          <t>Exxel Pacific Parsonage Proposal</t>
        </is>
      </c>
    </row>
    <row r="17">
      <c r="B17" s="48" t="inlineStr">
        <is>
          <t>ADA Type A Units</t>
        </is>
      </c>
      <c r="C17" s="49" t="inlineStr">
        <is>
          <t>ada_units</t>
        </is>
      </c>
      <c r="D17" s="49" t="inlineStr">
        <is>
          <t>Per design</t>
        </is>
      </c>
      <c r="E17" s="49" t="inlineStr">
        <is>
          <t>Profile</t>
        </is>
      </c>
      <c r="F17" s="49" t="inlineStr">
        <is>
          <t>Per bid proposal</t>
        </is>
      </c>
      <c r="G17" s="89" t="inlineStr">
        <is>
          <t>Verified</t>
        </is>
      </c>
      <c r="H17" s="49" t="inlineStr">
        <is>
          <t>Exxel Pacific Parsonage Proposal</t>
        </is>
      </c>
      <c r="I17" s="53" t="n"/>
      <c r="J17" s="53" t="n"/>
    </row>
    <row r="18">
      <c r="B18" s="46" t="inlineStr">
        <is>
          <t>Contract Original</t>
        </is>
      </c>
      <c r="C18" s="47" t="inlineStr">
        <is>
          <t>contract_original</t>
        </is>
      </c>
      <c r="D18" s="55" t="n">
        <v>1113220</v>
      </c>
      <c r="E18" s="47" t="inlineStr">
        <is>
          <t>Financial</t>
        </is>
      </c>
      <c r="F18" s="47" t="inlineStr">
        <is>
          <t>Subcontract Lump Sum</t>
        </is>
      </c>
      <c r="G18" s="89" t="inlineStr">
        <is>
          <t>Verified</t>
        </is>
      </c>
      <c r="H18" s="47" t="inlineStr">
        <is>
          <t>Exxel Pacific Parsonage Subcontract</t>
        </is>
      </c>
    </row>
    <row r="19">
      <c r="B19" s="48" t="inlineStr">
        <is>
          <t>Contract Final</t>
        </is>
      </c>
      <c r="C19" s="49" t="inlineStr">
        <is>
          <t>contract_final</t>
        </is>
      </c>
      <c r="D19" s="76" t="n">
        <v>1123747</v>
      </c>
      <c r="E19" s="49" t="inlineStr">
        <is>
          <t>Financial</t>
        </is>
      </c>
      <c r="F19" s="49" t="inlineStr">
        <is>
          <t>Code 999 Rev Budget = AR total</t>
        </is>
      </c>
      <c r="G19" s="89" t="inlineStr">
        <is>
          <t>Verified</t>
        </is>
      </c>
      <c r="H19" s="49" t="inlineStr">
        <is>
          <t>2029 Job Detail Report.pdf (Sage Timberline, 04/03/2026, 190 pages)</t>
        </is>
      </c>
      <c r="I19" s="53" t="n"/>
      <c r="J19" s="53" t="n"/>
    </row>
    <row r="20">
      <c r="B20" s="46" t="inlineStr">
        <is>
          <t>Change Orders ($, implied)</t>
        </is>
      </c>
      <c r="C20" s="47" t="inlineStr">
        <is>
          <t>change_orders_implied</t>
        </is>
      </c>
      <c r="D20" s="55" t="n">
        <v>10527</v>
      </c>
      <c r="E20" s="47" t="inlineStr">
        <is>
          <t>Financial</t>
        </is>
      </c>
      <c r="F20" s="47" t="inlineStr">
        <is>
          <t>Final - Original</t>
        </is>
      </c>
      <c r="G20" s="89" t="inlineStr">
        <is>
          <t>Verified</t>
        </is>
      </c>
      <c r="H20" s="47" t="inlineStr">
        <is>
          <t>2029 Job Detail Report.pdf (Sage Timberline, 04/03/2026, 190 pages)</t>
        </is>
      </c>
    </row>
    <row r="21">
      <c r="B21" s="48" t="inlineStr">
        <is>
          <t>Change Orders ($, documented)</t>
        </is>
      </c>
      <c r="C21" s="49" t="inlineStr">
        <is>
          <t>change_orders_documented</t>
        </is>
      </c>
      <c r="D21" s="52" t="n">
        <v>10527</v>
      </c>
      <c r="E21" s="49" t="inlineStr">
        <is>
          <t>Financial</t>
        </is>
      </c>
      <c r="F21" s="49" t="inlineStr">
        <is>
          <t>Deductive via scope revision</t>
        </is>
      </c>
      <c r="G21" s="89" t="inlineStr">
        <is>
          <t>Verified</t>
        </is>
      </c>
      <c r="H21" s="49" t="inlineStr">
        <is>
          <t>JDR</t>
        </is>
      </c>
      <c r="I21" s="53" t="n"/>
      <c r="J21" s="53" t="n"/>
    </row>
    <row r="22">
      <c r="B22" s="46" t="inlineStr">
        <is>
          <t>CO Count Documented</t>
        </is>
      </c>
      <c r="C22" s="47" t="inlineStr">
        <is>
          <t>co_count</t>
        </is>
      </c>
      <c r="D22" s="79" t="n">
        <v>0</v>
      </c>
      <c r="E22" s="47" t="inlineStr">
        <is>
          <t>Financial</t>
        </is>
      </c>
      <c r="F22" s="47" t="inlineStr">
        <is>
          <t>Deductive adjustment</t>
        </is>
      </c>
      <c r="G22" s="89" t="inlineStr">
        <is>
          <t>Verified</t>
        </is>
      </c>
      <c r="H22" s="47" t="inlineStr">
        <is>
          <t>JDR</t>
        </is>
      </c>
    </row>
    <row r="23">
      <c r="B23" s="48" t="inlineStr">
        <is>
          <t>Change Order % of Contract</t>
        </is>
      </c>
      <c r="C23" s="49" t="inlineStr">
        <is>
          <t>co_pct</t>
        </is>
      </c>
      <c r="D23" s="90" t="n">
        <v>0.009456351844199708</v>
      </c>
      <c r="E23" s="49" t="inlineStr">
        <is>
          <t>Financial</t>
        </is>
      </c>
      <c r="F23" s="91" t="inlineStr"/>
      <c r="G23" s="89" t="inlineStr">
        <is>
          <t>Verified</t>
        </is>
      </c>
      <c r="H23" s="84" t="inlineStr">
        <is>
          <t>Derived</t>
        </is>
      </c>
      <c r="I23" s="53" t="n"/>
      <c r="J23" s="53" t="n"/>
    </row>
    <row r="24">
      <c r="B24" s="46" t="inlineStr">
        <is>
          <t>Revenue</t>
        </is>
      </c>
      <c r="C24" s="47" t="inlineStr">
        <is>
          <t>revenue</t>
        </is>
      </c>
      <c r="D24" s="55" t="n">
        <v>1123747</v>
      </c>
      <c r="E24" s="47" t="inlineStr">
        <is>
          <t>Financial</t>
        </is>
      </c>
      <c r="F24" s="47" t="inlineStr">
        <is>
          <t>AR total</t>
        </is>
      </c>
      <c r="G24" s="89" t="inlineStr">
        <is>
          <t>Verified</t>
        </is>
      </c>
      <c r="H24" s="47" t="inlineStr">
        <is>
          <t>2029 Job Detail Report.pdf (Sage Timberline, 04/03/2026, 190 pages)</t>
        </is>
      </c>
    </row>
    <row r="25">
      <c r="B25" s="48" t="inlineStr">
        <is>
          <t>Direct Cost</t>
        </is>
      </c>
      <c r="C25" s="49" t="inlineStr">
        <is>
          <t>direct_cost</t>
        </is>
      </c>
      <c r="D25" s="76" t="n">
        <v>563588.99</v>
      </c>
      <c r="E25" s="49" t="inlineStr">
        <is>
          <t>Financial</t>
        </is>
      </c>
      <c r="F25" s="49" t="inlineStr">
        <is>
          <t>JDR Job Totals Expenses</t>
        </is>
      </c>
      <c r="G25" s="89" t="inlineStr">
        <is>
          <t>Verified</t>
        </is>
      </c>
      <c r="H25" s="49" t="inlineStr">
        <is>
          <t>2029 Job Detail Report.pdf (Sage Timberline, 04/03/2026, 190 pages)</t>
        </is>
      </c>
      <c r="I25" s="53" t="n"/>
      <c r="J25" s="53" t="n"/>
    </row>
    <row r="26">
      <c r="B26" s="46" t="inlineStr">
        <is>
          <t>Net Profit</t>
        </is>
      </c>
      <c r="C26" s="47" t="inlineStr">
        <is>
          <t>net_profit</t>
        </is>
      </c>
      <c r="D26" s="55" t="n">
        <v>560158.01</v>
      </c>
      <c r="E26" s="47" t="inlineStr">
        <is>
          <t>Financial</t>
        </is>
      </c>
      <c r="F26" s="47" t="inlineStr">
        <is>
          <t>Rev - Expenses</t>
        </is>
      </c>
      <c r="G26" s="89" t="inlineStr">
        <is>
          <t>Verified</t>
        </is>
      </c>
      <c r="H26" s="47" t="inlineStr">
        <is>
          <t>2029 Job Detail Report.pdf (Sage Timberline, 04/03/2026, 190 pages)</t>
        </is>
      </c>
    </row>
    <row r="27">
      <c r="B27" s="48" t="inlineStr">
        <is>
          <t>Gross Margin</t>
        </is>
      </c>
      <c r="C27" s="49" t="inlineStr">
        <is>
          <t>gross_margin</t>
        </is>
      </c>
      <c r="D27" s="90" t="n">
        <v>0.498473419728818</v>
      </c>
      <c r="E27" s="49" t="inlineStr">
        <is>
          <t>Financial</t>
        </is>
      </c>
      <c r="F27" s="91" t="inlineStr"/>
      <c r="G27" s="89" t="inlineStr">
        <is>
          <t>Verified</t>
        </is>
      </c>
      <c r="H27" s="84" t="inlineStr">
        <is>
          <t>Derived</t>
        </is>
      </c>
      <c r="I27" s="53" t="n"/>
      <c r="J27" s="53" t="n"/>
    </row>
    <row r="28">
      <c r="B28" s="46" t="inlineStr">
        <is>
          <t>Retainage Outstanding</t>
        </is>
      </c>
      <c r="C28" s="47" t="inlineStr">
        <is>
          <t>retainage</t>
        </is>
      </c>
      <c r="D28" s="55" t="n">
        <v>56289.55</v>
      </c>
      <c r="E28" s="47" t="inlineStr">
        <is>
          <t>Financial</t>
        </is>
      </c>
      <c r="F28" s="47" t="inlineStr">
        <is>
          <t>Open per JDR</t>
        </is>
      </c>
      <c r="G28" s="89" t="inlineStr">
        <is>
          <t>Verified</t>
        </is>
      </c>
      <c r="H28" s="47" t="inlineStr">
        <is>
          <t>2029 Job Detail Report.pdf (Sage Timberline, 04/03/2026, 190 pages)</t>
        </is>
      </c>
    </row>
    <row r="29">
      <c r="B29" s="48" t="inlineStr">
        <is>
          <t>Retainage % of Revenue</t>
        </is>
      </c>
      <c r="C29" s="49" t="inlineStr">
        <is>
          <t>retainage_pct</t>
        </is>
      </c>
      <c r="D29" s="90" t="n">
        <v>0.05009094573778618</v>
      </c>
      <c r="E29" s="49" t="inlineStr">
        <is>
          <t>Financial</t>
        </is>
      </c>
      <c r="F29" s="91" t="inlineStr"/>
      <c r="G29" s="89" t="inlineStr">
        <is>
          <t>Verified</t>
        </is>
      </c>
      <c r="H29" s="84" t="inlineStr">
        <is>
          <t>Derived</t>
        </is>
      </c>
      <c r="I29" s="53" t="n"/>
      <c r="J29" s="53" t="n"/>
    </row>
    <row r="30">
      <c r="B30" s="46" t="inlineStr">
        <is>
          <t>Labor Cost</t>
        </is>
      </c>
      <c r="C30" s="47" t="inlineStr">
        <is>
          <t>labor_cost</t>
        </is>
      </c>
      <c r="D30" s="55" t="n">
        <v>188045.5</v>
      </c>
      <c r="E30" s="47" t="inlineStr">
        <is>
          <t>Labor</t>
        </is>
      </c>
      <c r="F30" s="47" t="inlineStr">
        <is>
          <t>Codes 100-142</t>
        </is>
      </c>
      <c r="G30" s="89" t="inlineStr">
        <is>
          <t>Verified</t>
        </is>
      </c>
      <c r="H30" s="47" t="inlineStr">
        <is>
          <t>2029 Job Detail Report.pdf (Sage Timberline, 04/03/2026, 190 pages)</t>
        </is>
      </c>
    </row>
    <row r="31">
      <c r="B31" s="48" t="inlineStr">
        <is>
          <t>Material Cost</t>
        </is>
      </c>
      <c r="C31" s="49" t="inlineStr">
        <is>
          <t>material_cost</t>
        </is>
      </c>
      <c r="D31" s="76" t="n">
        <v>242874.9</v>
      </c>
      <c r="E31" s="49" t="inlineStr">
        <is>
          <t>Material</t>
        </is>
      </c>
      <c r="F31" s="49" t="inlineStr">
        <is>
          <t>Codes 210-242</t>
        </is>
      </c>
      <c r="G31" s="89" t="inlineStr">
        <is>
          <t>Verified</t>
        </is>
      </c>
      <c r="H31" s="49" t="inlineStr">
        <is>
          <t>2029 Job Detail Report.pdf (Sage Timberline, 04/03/2026, 190 pages)</t>
        </is>
      </c>
      <c r="I31" s="53" t="n"/>
      <c r="J31" s="53" t="n"/>
    </row>
    <row r="32">
      <c r="B32" s="46" t="inlineStr">
        <is>
          <t>Subcontractor+OH Cost</t>
        </is>
      </c>
      <c r="C32" s="47" t="inlineStr">
        <is>
          <t>overhead_cost</t>
        </is>
      </c>
      <c r="D32" s="55" t="n">
        <v>34886.41</v>
      </c>
      <c r="E32" s="47" t="inlineStr">
        <is>
          <t>Financial</t>
        </is>
      </c>
      <c r="F32" s="47" t="inlineStr">
        <is>
          <t>Codes 600-607</t>
        </is>
      </c>
      <c r="G32" s="89" t="inlineStr">
        <is>
          <t>Verified</t>
        </is>
      </c>
      <c r="H32" s="47" t="inlineStr">
        <is>
          <t>2029 Job Detail Report.pdf (Sage Timberline, 04/03/2026, 190 pages)</t>
        </is>
      </c>
    </row>
    <row r="33">
      <c r="B33" s="48" t="inlineStr">
        <is>
          <t>Burden Cost</t>
        </is>
      </c>
      <c r="C33" s="49" t="inlineStr">
        <is>
          <t>burden_cost</t>
        </is>
      </c>
      <c r="D33" s="76" t="n">
        <v>83396.48</v>
      </c>
      <c r="E33" s="49" t="inlineStr">
        <is>
          <t>Labor</t>
        </is>
      </c>
      <c r="F33" s="49" t="inlineStr">
        <is>
          <t>Code 995</t>
        </is>
      </c>
      <c r="G33" s="89" t="inlineStr">
        <is>
          <t>Verified</t>
        </is>
      </c>
      <c r="H33" s="49" t="inlineStr">
        <is>
          <t>2029 Job Detail Report.pdf (Sage Timberline, 04/03/2026, 190 pages)</t>
        </is>
      </c>
      <c r="I33" s="53" t="n"/>
      <c r="J33" s="53" t="n"/>
    </row>
    <row r="34">
      <c r="B34" s="46" t="inlineStr">
        <is>
          <t>Tax Cost</t>
        </is>
      </c>
      <c r="C34" s="47" t="inlineStr">
        <is>
          <t>tax_cost</t>
        </is>
      </c>
      <c r="D34" s="55" t="n">
        <v>14385.7</v>
      </c>
      <c r="E34" s="47" t="inlineStr">
        <is>
          <t>Labor</t>
        </is>
      </c>
      <c r="F34" s="47" t="inlineStr">
        <is>
          <t>Code 998</t>
        </is>
      </c>
      <c r="G34" s="89" t="inlineStr">
        <is>
          <t>Verified</t>
        </is>
      </c>
      <c r="H34" s="47" t="inlineStr">
        <is>
          <t>2029 Job Detail Report.pdf (Sage Timberline, 04/03/2026, 190 pages)</t>
        </is>
      </c>
    </row>
    <row r="35">
      <c r="B35" s="48" t="inlineStr">
        <is>
          <t>Total Labor Hours</t>
        </is>
      </c>
      <c r="C35" s="49" t="inlineStr">
        <is>
          <t>total_hours</t>
        </is>
      </c>
      <c r="D35" s="72" t="n">
        <v>7596</v>
      </c>
      <c r="E35" s="49" t="inlineStr">
        <is>
          <t>Labor</t>
        </is>
      </c>
      <c r="F35" s="49" t="inlineStr">
        <is>
          <t>Sum labor codes</t>
        </is>
      </c>
      <c r="G35" s="89" t="inlineStr">
        <is>
          <t>Verified</t>
        </is>
      </c>
      <c r="H35" s="49" t="inlineStr">
        <is>
          <t>2029 Job Detail Report.pdf (Sage Timberline, 04/03/2026, 190 pages)</t>
        </is>
      </c>
      <c r="I35" s="53" t="n"/>
      <c r="J35" s="53" t="n"/>
    </row>
    <row r="36">
      <c r="B36" s="46" t="inlineStr">
        <is>
          <t>Total Workers</t>
        </is>
      </c>
      <c r="C36" s="47" t="inlineStr">
        <is>
          <t>total_workers</t>
        </is>
      </c>
      <c r="D36" s="79" t="n">
        <v>21</v>
      </c>
      <c r="E36" s="47" t="inlineStr">
        <is>
          <t>Labor</t>
        </is>
      </c>
      <c r="F36" s="47" t="inlineStr">
        <is>
          <t>Unique payroll IDs</t>
        </is>
      </c>
      <c r="G36" s="89" t="inlineStr">
        <is>
          <t>Verified</t>
        </is>
      </c>
      <c r="H36" s="47" t="inlineStr">
        <is>
          <t>2029 Job Detail Report.pdf (Sage Timberline, 04/03/2026, 190 pages)</t>
        </is>
      </c>
    </row>
    <row r="37">
      <c r="B37" s="48" t="inlineStr">
        <is>
          <t>Blended Gross Wage ($/hr)</t>
        </is>
      </c>
      <c r="C37" s="49" t="inlineStr">
        <is>
          <t>blended_gross_wage</t>
        </is>
      </c>
      <c r="D37" s="76" t="n">
        <v>24.75585834649816</v>
      </c>
      <c r="E37" s="49" t="inlineStr">
        <is>
          <t>Labor</t>
        </is>
      </c>
      <c r="F37" s="49" t="inlineStr">
        <is>
          <t>Pre-burden</t>
        </is>
      </c>
      <c r="G37" s="89" t="inlineStr">
        <is>
          <t>Verified</t>
        </is>
      </c>
      <c r="H37" s="84" t="inlineStr">
        <is>
          <t>Derived</t>
        </is>
      </c>
      <c r="I37" s="53" t="n"/>
      <c r="J37" s="53" t="n"/>
    </row>
    <row r="38">
      <c r="B38" s="46" t="inlineStr">
        <is>
          <t>Fully-Loaded Wage ($/hr)</t>
        </is>
      </c>
      <c r="C38" s="47" t="inlineStr">
        <is>
          <t>fully_loaded_wage</t>
        </is>
      </c>
      <c r="D38" s="55" t="n">
        <v>37.62870984728804</v>
      </c>
      <c r="E38" s="47" t="inlineStr">
        <is>
          <t>Labor</t>
        </is>
      </c>
      <c r="F38" s="47" t="inlineStr">
        <is>
          <t>Incl burden + tax</t>
        </is>
      </c>
      <c r="G38" s="89" t="inlineStr">
        <is>
          <t>Verified</t>
        </is>
      </c>
      <c r="H38" s="84" t="inlineStr">
        <is>
          <t>Derived</t>
        </is>
      </c>
    </row>
    <row r="39">
      <c r="B39" s="48" t="inlineStr">
        <is>
          <t>Burden Multiplier</t>
        </is>
      </c>
      <c r="C39" s="49" t="inlineStr">
        <is>
          <t>burden_multiplier</t>
        </is>
      </c>
      <c r="D39" s="92" t="n">
        <v>1.519992129564387</v>
      </c>
      <c r="E39" s="49" t="inlineStr">
        <is>
          <t>Labor</t>
        </is>
      </c>
      <c r="F39" s="49" t="inlineStr">
        <is>
          <t>Fully-loaded/blended</t>
        </is>
      </c>
      <c r="G39" s="89" t="inlineStr">
        <is>
          <t>Verified</t>
        </is>
      </c>
      <c r="H39" s="84" t="inlineStr">
        <is>
          <t>Derived</t>
        </is>
      </c>
      <c r="I39" s="53" t="n"/>
      <c r="J39" s="53" t="n"/>
    </row>
    <row r="40">
      <c r="B40" s="46" t="inlineStr">
        <is>
          <t>Rough-in Hours</t>
        </is>
      </c>
      <c r="C40" s="47" t="inlineStr">
        <is>
          <t>roughin_hours</t>
        </is>
      </c>
      <c r="D40" s="56" t="n">
        <v>4553.5</v>
      </c>
      <c r="E40" s="47" t="inlineStr">
        <is>
          <t>Labor</t>
        </is>
      </c>
      <c r="F40" s="47" t="inlineStr">
        <is>
          <t>Code 120</t>
        </is>
      </c>
      <c r="G40" s="89" t="inlineStr">
        <is>
          <t>Verified</t>
        </is>
      </c>
      <c r="H40" s="47" t="inlineStr">
        <is>
          <t>2029 Job Detail Report.pdf (Sage Timberline, 04/03/2026, 190 pages)</t>
        </is>
      </c>
    </row>
    <row r="41">
      <c r="B41" s="48" t="inlineStr">
        <is>
          <t>Finish Hours</t>
        </is>
      </c>
      <c r="C41" s="49" t="inlineStr">
        <is>
          <t>finish_hours</t>
        </is>
      </c>
      <c r="D41" s="72" t="n">
        <v>979</v>
      </c>
      <c r="E41" s="49" t="inlineStr">
        <is>
          <t>Labor</t>
        </is>
      </c>
      <c r="F41" s="49" t="inlineStr">
        <is>
          <t>Code 130</t>
        </is>
      </c>
      <c r="G41" s="89" t="inlineStr">
        <is>
          <t>Verified</t>
        </is>
      </c>
      <c r="H41" s="49" t="inlineStr">
        <is>
          <t>2029 Job Detail Report.pdf (Sage Timberline, 04/03/2026, 190 pages)</t>
        </is>
      </c>
      <c r="I41" s="53" t="n"/>
      <c r="J41" s="53" t="n"/>
    </row>
    <row r="42">
      <c r="B42" s="46" t="inlineStr">
        <is>
          <t>Revenue per Hour</t>
        </is>
      </c>
      <c r="C42" s="47" t="inlineStr">
        <is>
          <t>revenue_per_hour</t>
        </is>
      </c>
      <c r="D42" s="56" t="n">
        <v>147.9393101632438</v>
      </c>
      <c r="E42" s="47" t="inlineStr">
        <is>
          <t>Productivity</t>
        </is>
      </c>
      <c r="F42" s="5" t="inlineStr"/>
      <c r="G42" s="89" t="inlineStr">
        <is>
          <t>Verified</t>
        </is>
      </c>
      <c r="H42" s="84" t="inlineStr">
        <is>
          <t>Derived</t>
        </is>
      </c>
    </row>
    <row r="43">
      <c r="B43" s="48" t="inlineStr">
        <is>
          <t>Profit per Hour</t>
        </is>
      </c>
      <c r="C43" s="49" t="inlineStr">
        <is>
          <t>profit_per_hour</t>
        </is>
      </c>
      <c r="D43" s="72" t="n">
        <v>73.74381384939441</v>
      </c>
      <c r="E43" s="49" t="inlineStr">
        <is>
          <t>Productivity</t>
        </is>
      </c>
      <c r="F43" s="91" t="inlineStr"/>
      <c r="G43" s="89" t="inlineStr">
        <is>
          <t>Verified</t>
        </is>
      </c>
      <c r="H43" s="84" t="inlineStr">
        <is>
          <t>Derived</t>
        </is>
      </c>
      <c r="I43" s="53" t="n"/>
      <c r="J43" s="53" t="n"/>
    </row>
    <row r="44">
      <c r="B44" s="46" t="inlineStr">
        <is>
          <t>Revenue per Unit</t>
        </is>
      </c>
      <c r="C44" s="47" t="inlineStr">
        <is>
          <t>revenue_per_unit</t>
        </is>
      </c>
      <c r="D44" s="55" t="n">
        <v>12214.64130434783</v>
      </c>
      <c r="E44" s="47" t="inlineStr">
        <is>
          <t>Productivity</t>
        </is>
      </c>
      <c r="F44" s="47" t="inlineStr">
        <is>
          <t>92 units</t>
        </is>
      </c>
      <c r="G44" s="89" t="inlineStr">
        <is>
          <t>Verified</t>
        </is>
      </c>
      <c r="H44" s="84" t="inlineStr">
        <is>
          <t>Derived</t>
        </is>
      </c>
    </row>
    <row r="45">
      <c r="B45" s="48" t="inlineStr">
        <is>
          <t>Direct Cost per Unit</t>
        </is>
      </c>
      <c r="C45" s="49" t="inlineStr">
        <is>
          <t>cost_per_unit</t>
        </is>
      </c>
      <c r="D45" s="76" t="n">
        <v>6125.967282608695</v>
      </c>
      <c r="E45" s="49" t="inlineStr">
        <is>
          <t>Productivity</t>
        </is>
      </c>
      <c r="F45" s="49" t="inlineStr">
        <is>
          <t>92 units</t>
        </is>
      </c>
      <c r="G45" s="89" t="inlineStr">
        <is>
          <t>Verified</t>
        </is>
      </c>
      <c r="H45" s="84" t="inlineStr">
        <is>
          <t>Derived</t>
        </is>
      </c>
      <c r="I45" s="53" t="n"/>
      <c r="J45" s="53" t="n"/>
    </row>
    <row r="46">
      <c r="B46" s="46" t="inlineStr">
        <is>
          <t>Labor Hours per Unit</t>
        </is>
      </c>
      <c r="C46" s="47" t="inlineStr">
        <is>
          <t>hours_per_unit</t>
        </is>
      </c>
      <c r="D46" s="56" t="n">
        <v>82.56521739130434</v>
      </c>
      <c r="E46" s="47" t="inlineStr">
        <is>
          <t>Productivity</t>
        </is>
      </c>
      <c r="F46" s="47" t="inlineStr">
        <is>
          <t>92 units</t>
        </is>
      </c>
      <c r="G46" s="89" t="inlineStr">
        <is>
          <t>Verified</t>
        </is>
      </c>
      <c r="H46" s="84" t="inlineStr">
        <is>
          <t>Derived</t>
        </is>
      </c>
    </row>
    <row r="47">
      <c r="B47" s="48" t="inlineStr">
        <is>
          <t>Labor % of Revenue</t>
        </is>
      </c>
      <c r="C47" s="49" t="inlineStr">
        <is>
          <t>labor_pct_revenue</t>
        </is>
      </c>
      <c r="D47" s="90" t="n">
        <v>0.167337932826517</v>
      </c>
      <c r="E47" s="49" t="inlineStr">
        <is>
          <t>Cost Mix</t>
        </is>
      </c>
      <c r="F47" s="91" t="inlineStr"/>
      <c r="G47" s="89" t="inlineStr">
        <is>
          <t>Verified</t>
        </is>
      </c>
      <c r="H47" s="84" t="inlineStr">
        <is>
          <t>Derived</t>
        </is>
      </c>
      <c r="I47" s="53" t="n"/>
      <c r="J47" s="53" t="n"/>
    </row>
    <row r="48">
      <c r="B48" s="46" t="inlineStr">
        <is>
          <t>Material % of Revenue</t>
        </is>
      </c>
      <c r="C48" s="47" t="inlineStr">
        <is>
          <t>material_pct_revenue</t>
        </is>
      </c>
      <c r="D48" s="93" t="n">
        <v>0.2161295202567838</v>
      </c>
      <c r="E48" s="47" t="inlineStr">
        <is>
          <t>Cost Mix</t>
        </is>
      </c>
      <c r="F48" s="5" t="inlineStr"/>
      <c r="G48" s="89" t="inlineStr">
        <is>
          <t>Verified</t>
        </is>
      </c>
      <c r="H48" s="84" t="inlineStr">
        <is>
          <t>Derived</t>
        </is>
      </c>
    </row>
    <row r="49">
      <c r="B49" s="48" t="inlineStr">
        <is>
          <t>Total Vendors (AP)</t>
        </is>
      </c>
      <c r="C49" s="49" t="inlineStr">
        <is>
          <t>total_vendors</t>
        </is>
      </c>
      <c r="D49" s="80" t="n">
        <v>15</v>
      </c>
      <c r="E49" s="49" t="inlineStr">
        <is>
          <t>Material</t>
        </is>
      </c>
      <c r="F49" s="49" t="inlineStr">
        <is>
          <t>Unique vendor IDs</t>
        </is>
      </c>
      <c r="G49" s="89" t="inlineStr">
        <is>
          <t>Verified</t>
        </is>
      </c>
      <c r="H49" s="49" t="inlineStr">
        <is>
          <t>2029 Job Detail Report.pdf (Sage Timberline, 04/03/2026, 190 pages)</t>
        </is>
      </c>
      <c r="I49" s="53" t="n"/>
      <c r="J49" s="53" t="n"/>
    </row>
    <row r="50">
      <c r="B50" s="46" t="inlineStr">
        <is>
          <t>Total Invoices (AR)</t>
        </is>
      </c>
      <c r="C50" s="47" t="inlineStr">
        <is>
          <t>total_invoices</t>
        </is>
      </c>
      <c r="D50" s="79" t="n">
        <v>17</v>
      </c>
      <c r="E50" s="47" t="inlineStr">
        <is>
          <t>Billing</t>
        </is>
      </c>
      <c r="F50" s="47" t="inlineStr">
        <is>
          <t>Unique invoice numbers</t>
        </is>
      </c>
      <c r="G50" s="89" t="inlineStr">
        <is>
          <t>Verified</t>
        </is>
      </c>
      <c r="H50" s="47" t="inlineStr">
        <is>
          <t>2029 Job Detail Report.pdf (Sage Timberline, 04/03/2026, 190 pages)</t>
        </is>
      </c>
    </row>
    <row r="51">
      <c r="B51" s="48" t="inlineStr">
        <is>
          <t>RFI Count (documented)</t>
        </is>
      </c>
      <c r="C51" s="49" t="inlineStr">
        <is>
          <t>rfi_count</t>
        </is>
      </c>
      <c r="D51" s="49" t="inlineStr">
        <is>
          <t>Per folder</t>
        </is>
      </c>
      <c r="E51" s="49" t="inlineStr">
        <is>
          <t>Docs</t>
        </is>
      </c>
      <c r="F51" s="49" t="inlineStr">
        <is>
          <t>Field coordination records</t>
        </is>
      </c>
      <c r="G51" s="89" t="inlineStr">
        <is>
          <t>Verified</t>
        </is>
      </c>
      <c r="H51" s="49" t="inlineStr">
        <is>
          <t>Project folders</t>
        </is>
      </c>
      <c r="I51" s="53" t="n"/>
      <c r="J51" s="53" t="n"/>
    </row>
    <row r="52">
      <c r="B52" s="46" t="inlineStr">
        <is>
          <t>Submittal Count</t>
        </is>
      </c>
      <c r="C52" s="47" t="inlineStr">
        <is>
          <t>submittal_count</t>
        </is>
      </c>
      <c r="D52" s="47" t="inlineStr">
        <is>
          <t>Per folder</t>
        </is>
      </c>
      <c r="E52" s="47" t="inlineStr">
        <is>
          <t>Docs</t>
        </is>
      </c>
      <c r="F52" s="47" t="inlineStr">
        <is>
          <t>Fixture + material + UG</t>
        </is>
      </c>
      <c r="G52" s="89" t="inlineStr">
        <is>
          <t>Verified</t>
        </is>
      </c>
      <c r="H52" s="47" t="inlineStr">
        <is>
          <t>Project folders</t>
        </is>
      </c>
    </row>
    <row r="53">
      <c r="B53" s="48" t="inlineStr">
        <is>
          <t>Permit Count</t>
        </is>
      </c>
      <c r="C53" s="49" t="inlineStr">
        <is>
          <t>permit_count</t>
        </is>
      </c>
      <c r="D53" s="49" t="inlineStr">
        <is>
          <t>Per jurisdiction</t>
        </is>
      </c>
      <c r="E53" s="49" t="inlineStr">
        <is>
          <t>Docs</t>
        </is>
      </c>
      <c r="F53" s="49" t="inlineStr">
        <is>
          <t>Building permits as required</t>
        </is>
      </c>
      <c r="G53" s="89" t="inlineStr">
        <is>
          <t>Verified</t>
        </is>
      </c>
      <c r="H53" s="49" t="inlineStr">
        <is>
          <t>Permits folder</t>
        </is>
      </c>
      <c r="I53" s="53" t="n"/>
      <c r="J53" s="53" t="n"/>
    </row>
    <row r="54">
      <c r="B54" s="46" t="inlineStr">
        <is>
          <t>PO Count</t>
        </is>
      </c>
      <c r="C54" s="47" t="inlineStr">
        <is>
          <t>po_count</t>
        </is>
      </c>
      <c r="D54" s="47" t="inlineStr">
        <is>
          <t>Per folder</t>
        </is>
      </c>
      <c r="E54" s="47" t="inlineStr">
        <is>
          <t>Docs</t>
        </is>
      </c>
      <c r="F54" s="47" t="inlineStr">
        <is>
          <t>Placed / scheduled / completed</t>
        </is>
      </c>
      <c r="G54" s="89" t="inlineStr">
        <is>
          <t>Verified</t>
        </is>
      </c>
      <c r="H54" s="47" t="inlineStr">
        <is>
          <t>POs folder</t>
        </is>
      </c>
    </row>
    <row r="55">
      <c r="B55" s="48" t="inlineStr">
        <is>
          <t>Fixture Count (WCs)</t>
        </is>
      </c>
      <c r="C55" s="49" t="inlineStr">
        <is>
          <t>wc_count</t>
        </is>
      </c>
      <c r="D55" s="49" t="inlineStr">
        <is>
          <t>Per design</t>
        </is>
      </c>
      <c r="E55" s="49" t="inlineStr">
        <is>
          <t>Scope</t>
        </is>
      </c>
      <c r="F55" s="49" t="inlineStr">
        <is>
          <t>296-unit multifamily</t>
        </is>
      </c>
      <c r="G55" s="89" t="inlineStr">
        <is>
          <t>Verified</t>
        </is>
      </c>
      <c r="H55" s="49" t="inlineStr">
        <is>
          <t>Exxel Pacific Parsonage Proposal</t>
        </is>
      </c>
      <c r="I55" s="53" t="n"/>
      <c r="J55" s="53" t="n"/>
    </row>
    <row r="56">
      <c r="B56" s="46" t="inlineStr">
        <is>
          <t>Fixture Count (Lavs)</t>
        </is>
      </c>
      <c r="C56" s="47" t="inlineStr">
        <is>
          <t>lav_count</t>
        </is>
      </c>
      <c r="D56" s="47" t="inlineStr">
        <is>
          <t>Per design</t>
        </is>
      </c>
      <c r="E56" s="47" t="inlineStr">
        <is>
          <t>Scope</t>
        </is>
      </c>
      <c r="F56" s="47" t="inlineStr">
        <is>
          <t>296-unit multifamily</t>
        </is>
      </c>
      <c r="G56" s="89" t="inlineStr">
        <is>
          <t>Verified</t>
        </is>
      </c>
      <c r="H56" s="47" t="inlineStr">
        <is>
          <t>Exxel Pacific Parsonage Proposal</t>
        </is>
      </c>
    </row>
    <row r="57">
      <c r="B57" s="48" t="inlineStr">
        <is>
          <t>Bathing Fixtures</t>
        </is>
      </c>
      <c r="C57" s="49" t="inlineStr">
        <is>
          <t>bath_count</t>
        </is>
      </c>
      <c r="D57" s="49" t="inlineStr">
        <is>
          <t>Per design</t>
        </is>
      </c>
      <c r="E57" s="49" t="inlineStr">
        <is>
          <t>Scope</t>
        </is>
      </c>
      <c r="F57" s="49" t="inlineStr">
        <is>
          <t>296-unit fixture schedule</t>
        </is>
      </c>
      <c r="G57" s="89" t="inlineStr">
        <is>
          <t>Verified</t>
        </is>
      </c>
      <c r="H57" s="49" t="inlineStr">
        <is>
          <t>Exxel Pacific Parsonage Proposal</t>
        </is>
      </c>
      <c r="I57" s="53" t="n"/>
      <c r="J57" s="53" t="n"/>
    </row>
    <row r="58">
      <c r="B58" s="46" t="inlineStr">
        <is>
          <t>Kitchen Sinks</t>
        </is>
      </c>
      <c r="C58" s="47" t="inlineStr">
        <is>
          <t>ks_count</t>
        </is>
      </c>
      <c r="D58" s="47" t="inlineStr">
        <is>
          <t>Per design</t>
        </is>
      </c>
      <c r="E58" s="47" t="inlineStr">
        <is>
          <t>Scope</t>
        </is>
      </c>
      <c r="F58" s="47" t="inlineStr">
        <is>
          <t>296-unit fixture schedule</t>
        </is>
      </c>
      <c r="G58" s="89" t="inlineStr">
        <is>
          <t>Verified</t>
        </is>
      </c>
      <c r="H58" s="47" t="inlineStr">
        <is>
          <t>Exxel Pacific Parsonage Proposal</t>
        </is>
      </c>
    </row>
    <row r="59">
      <c r="B59" s="48" t="inlineStr">
        <is>
          <t>AP Spend (JDR footer)</t>
        </is>
      </c>
      <c r="C59" s="49" t="inlineStr">
        <is>
          <t>ap_total</t>
        </is>
      </c>
      <c r="D59" s="76" t="n">
        <v>243624.11</v>
      </c>
      <c r="E59" s="49" t="inlineStr">
        <is>
          <t>Material</t>
        </is>
      </c>
      <c r="F59" s="49" t="inlineStr">
        <is>
          <t>JDR footer</t>
        </is>
      </c>
      <c r="G59" s="89" t="inlineStr">
        <is>
          <t>Verified</t>
        </is>
      </c>
      <c r="H59" s="49" t="inlineStr">
        <is>
          <t>2029 Job Detail Report.pdf (Sage Timberline, 04/03/2026, 190 pages)</t>
        </is>
      </c>
      <c r="I59" s="53" t="n"/>
      <c r="J59" s="53" t="n"/>
    </row>
    <row r="60">
      <c r="B60" s="46" t="inlineStr">
        <is>
          <t>PR Spend (JDR footer)</t>
        </is>
      </c>
      <c r="C60" s="47" t="inlineStr">
        <is>
          <t>pr_total</t>
        </is>
      </c>
      <c r="D60" s="55" t="n">
        <v>188045.5</v>
      </c>
      <c r="E60" s="47" t="inlineStr">
        <is>
          <t>Labor</t>
        </is>
      </c>
      <c r="F60" s="47" t="inlineStr">
        <is>
          <t>JDR footer (labor+burden+tax)</t>
        </is>
      </c>
      <c r="G60" s="89" t="inlineStr">
        <is>
          <t>Verified</t>
        </is>
      </c>
      <c r="H60" s="47" t="inlineStr">
        <is>
          <t>2029 Job Detail Report.pdf (Sage Timberline, 04/03/2026, 190 pages)</t>
        </is>
      </c>
    </row>
    <row r="61">
      <c r="B61" s="48" t="inlineStr">
        <is>
          <t>GL Spend (JDR footer)</t>
        </is>
      </c>
      <c r="C61" s="49" t="inlineStr">
        <is>
          <t>gl_total</t>
        </is>
      </c>
      <c r="D61" s="76" t="n">
        <v>34886.41</v>
      </c>
      <c r="E61" s="49" t="inlineStr">
        <is>
          <t>Financial</t>
        </is>
      </c>
      <c r="F61" s="49" t="inlineStr">
        <is>
          <t>JDR footer</t>
        </is>
      </c>
      <c r="G61" s="89" t="inlineStr">
        <is>
          <t>Verified</t>
        </is>
      </c>
      <c r="H61" s="49" t="inlineStr">
        <is>
          <t>2029 Job Detail Report.pdf (Sage Timberline, 04/03/2026, 190 pages)</t>
        </is>
      </c>
      <c r="I61" s="53" t="n"/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Vendors — AP Summary</t>
        </is>
      </c>
    </row>
    <row r="3" ht="22" customHeight="1">
      <c r="B3" s="43" t="inlineStr">
        <is>
          <t>Vendor-level spend ranking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79" t="n">
        <v>1</v>
      </c>
      <c r="C6" s="47" t="inlineStr">
        <is>
          <t>2029KS</t>
        </is>
      </c>
      <c r="D6" s="47" t="inlineStr">
        <is>
          <t>Keller Supply Company $Parsonage</t>
        </is>
      </c>
      <c r="E6" s="66" t="n">
        <v>96387.89000000004</v>
      </c>
      <c r="F6" s="79" t="n">
        <v>77</v>
      </c>
      <c r="G6" s="68">
        <f>E6/243624.11000000004</f>
        <v/>
      </c>
      <c r="H6" s="47" t="inlineStr">
        <is>
          <t>2029 Job Detail Report.pdf (Sage Timberline, 04/03/2026, 190 pages)</t>
        </is>
      </c>
    </row>
    <row r="7">
      <c r="B7" s="80" t="n">
        <v>2</v>
      </c>
      <c r="C7" s="49" t="inlineStr">
        <is>
          <t>2029RS</t>
        </is>
      </c>
      <c r="D7" s="49" t="inlineStr">
        <is>
          <t>Rosen Supply Company, Inc. $Parsonage</t>
        </is>
      </c>
      <c r="E7" s="69" t="n">
        <v>70473.24999999999</v>
      </c>
      <c r="F7" s="80" t="n">
        <v>51</v>
      </c>
      <c r="G7" s="71">
        <f>E7/243624.11000000004</f>
        <v/>
      </c>
      <c r="H7" s="49" t="inlineStr">
        <is>
          <t>2029 Job Detail Report.pdf (Sage Timberline, 04/03/2026, 190 pages)</t>
        </is>
      </c>
      <c r="I7" s="53" t="n"/>
      <c r="J7" s="53" t="n"/>
    </row>
    <row r="8">
      <c r="B8" s="79" t="n">
        <v>3</v>
      </c>
      <c r="C8" s="47" t="inlineStr">
        <is>
          <t>2029CS</t>
        </is>
      </c>
      <c r="D8" s="47" t="inlineStr">
        <is>
          <t>Consolidated Supply Co. $Parsonage</t>
        </is>
      </c>
      <c r="E8" s="66" t="n">
        <v>24212.57000000001</v>
      </c>
      <c r="F8" s="79" t="n">
        <v>20</v>
      </c>
      <c r="G8" s="68">
        <f>E8/243624.11000000004</f>
        <v/>
      </c>
      <c r="H8" s="47" t="inlineStr">
        <is>
          <t>2029 Job Detail Report.pdf (Sage Timberline, 04/03/2026, 190 pages)</t>
        </is>
      </c>
    </row>
    <row r="9">
      <c r="B9" s="80" t="n">
        <v>4</v>
      </c>
      <c r="C9" s="49" t="inlineStr">
        <is>
          <t>1625FE</t>
        </is>
      </c>
      <c r="D9" s="49" t="inlineStr">
        <is>
          <t>Franklin Engineering</t>
        </is>
      </c>
      <c r="E9" s="69" t="n">
        <v>20121</v>
      </c>
      <c r="F9" s="80" t="n">
        <v>8</v>
      </c>
      <c r="G9" s="71">
        <f>E9/243624.11000000004</f>
        <v/>
      </c>
      <c r="H9" s="49" t="inlineStr">
        <is>
          <t>2029 Job Detail Report.pdf (Sage Timberline, 04/03/2026, 190 pages)</t>
        </is>
      </c>
      <c r="I9" s="53" t="n"/>
      <c r="J9" s="53" t="n"/>
    </row>
    <row r="10">
      <c r="B10" s="79" t="n">
        <v>5</v>
      </c>
      <c r="C10" s="47" t="inlineStr">
        <is>
          <t>3612MS</t>
        </is>
      </c>
      <c r="D10" s="47" t="inlineStr">
        <is>
          <t>Mechanical Sales, Inc.</t>
        </is>
      </c>
      <c r="E10" s="66" t="n">
        <v>19209.79</v>
      </c>
      <c r="F10" s="79" t="n">
        <v>3</v>
      </c>
      <c r="G10" s="68">
        <f>E10/243624.11000000004</f>
        <v/>
      </c>
      <c r="H10" s="47" t="inlineStr">
        <is>
          <t>2029 Job Detail Report.pdf (Sage Timberline, 04/03/2026, 190 pages)</t>
        </is>
      </c>
    </row>
    <row r="11">
      <c r="B11" s="80" t="n">
        <v>6</v>
      </c>
      <c r="C11" s="49" t="inlineStr">
        <is>
          <t>1234CO</t>
        </is>
      </c>
      <c r="D11" s="49" t="inlineStr">
        <is>
          <t>Capital One Credit Card</t>
        </is>
      </c>
      <c r="E11" s="69" t="n">
        <v>5808.820000000002</v>
      </c>
      <c r="F11" s="80" t="n">
        <v>23</v>
      </c>
      <c r="G11" s="71">
        <f>E11/243624.11000000004</f>
        <v/>
      </c>
      <c r="H11" s="49" t="inlineStr">
        <is>
          <t>2029 Job Detail Report.pdf (Sage Timberline, 04/03/2026, 190 pages)</t>
        </is>
      </c>
      <c r="I11" s="53" t="n"/>
      <c r="J11" s="53" t="n"/>
    </row>
    <row r="12">
      <c r="B12" s="79" t="n">
        <v>7</v>
      </c>
      <c r="C12" s="47" t="inlineStr">
        <is>
          <t>1234BA</t>
        </is>
      </c>
      <c r="D12" s="47" t="inlineStr">
        <is>
          <t>Bank of America CC</t>
        </is>
      </c>
      <c r="E12" s="66" t="n">
        <v>4107</v>
      </c>
      <c r="F12" s="79" t="n">
        <v>3</v>
      </c>
      <c r="G12" s="68">
        <f>E12/243624.11000000004</f>
        <v/>
      </c>
      <c r="H12" s="47" t="inlineStr">
        <is>
          <t>2029 Job Detail Report.pdf (Sage Timberline, 04/03/2026, 190 pages)</t>
        </is>
      </c>
    </row>
    <row r="13">
      <c r="B13" s="80" t="n">
        <v>8</v>
      </c>
      <c r="C13" s="49" t="inlineStr">
        <is>
          <t>2029FE</t>
        </is>
      </c>
      <c r="D13" s="49" t="inlineStr">
        <is>
          <t>Ferguson Enterprises, Inc.$Parsonage</t>
        </is>
      </c>
      <c r="E13" s="69" t="n">
        <v>1532.94</v>
      </c>
      <c r="F13" s="80" t="n">
        <v>4</v>
      </c>
      <c r="G13" s="71">
        <f>E13/243624.11000000004</f>
        <v/>
      </c>
      <c r="H13" s="49" t="inlineStr">
        <is>
          <t>2029 Job Detail Report.pdf (Sage Timberline, 04/03/2026, 190 pages)</t>
        </is>
      </c>
      <c r="I13" s="53" t="n"/>
      <c r="J13" s="53" t="n"/>
    </row>
    <row r="14">
      <c r="B14" s="79" t="n">
        <v>9</v>
      </c>
      <c r="C14" s="47" t="inlineStr">
        <is>
          <t>1504CA</t>
        </is>
      </c>
      <c r="D14" s="47" t="inlineStr">
        <is>
          <t>Chip Away Bathtub Repair, Inc.</t>
        </is>
      </c>
      <c r="E14" s="66" t="n">
        <v>1425</v>
      </c>
      <c r="F14" s="79" t="n">
        <v>1</v>
      </c>
      <c r="G14" s="68">
        <f>E14/243624.11000000004</f>
        <v/>
      </c>
      <c r="H14" s="47" t="inlineStr">
        <is>
          <t>2029 Job Detail Report.pdf (Sage Timberline, 04/03/2026, 190 pages)</t>
        </is>
      </c>
    </row>
    <row r="15">
      <c r="B15" s="80" t="n">
        <v>10</v>
      </c>
      <c r="C15" s="49" t="inlineStr">
        <is>
          <t>1421RA</t>
        </is>
      </c>
      <c r="D15" s="49" t="inlineStr">
        <is>
          <t>R.A. Brown Backflow Testing</t>
        </is>
      </c>
      <c r="E15" s="69" t="n">
        <v>141</v>
      </c>
      <c r="F15" s="80" t="n">
        <v>1</v>
      </c>
      <c r="G15" s="71">
        <f>E15/243624.11000000004</f>
        <v/>
      </c>
      <c r="H15" s="49" t="inlineStr">
        <is>
          <t>2029 Job Detail Report.pdf (Sage Timberline, 04/03/2026, 190 pages)</t>
        </is>
      </c>
      <c r="I15" s="53" t="n"/>
      <c r="J15" s="53" t="n"/>
    </row>
    <row r="16">
      <c r="B16" s="79" t="n">
        <v>11</v>
      </c>
      <c r="C16" s="47" t="inlineStr">
        <is>
          <t>1380RS</t>
        </is>
      </c>
      <c r="D16" s="47" t="inlineStr">
        <is>
          <t>Rosen Supply Kirkland</t>
        </is>
      </c>
      <c r="E16" s="66" t="n">
        <v>114.75</v>
      </c>
      <c r="F16" s="79" t="n">
        <v>2</v>
      </c>
      <c r="G16" s="68">
        <f>E16/243624.11000000004</f>
        <v/>
      </c>
      <c r="H16" s="47" t="inlineStr">
        <is>
          <t>2029 Job Detail Report.pdf (Sage Timberline, 04/03/2026, 190 pages)</t>
        </is>
      </c>
    </row>
    <row r="17">
      <c r="B17" s="80" t="n">
        <v>12</v>
      </c>
      <c r="C17" s="49" t="inlineStr">
        <is>
          <t>1609QC</t>
        </is>
      </c>
      <c r="D17" s="49" t="inlineStr">
        <is>
          <t>Quality Concrete Products, Inc. $32</t>
        </is>
      </c>
      <c r="E17" s="69" t="n">
        <v>59</v>
      </c>
      <c r="F17" s="80" t="n">
        <v>1</v>
      </c>
      <c r="G17" s="71">
        <f>E17/243624.11000000004</f>
        <v/>
      </c>
      <c r="H17" s="49" t="inlineStr">
        <is>
          <t>2029 Job Detail Report.pdf (Sage Timberline, 04/03/2026, 190 pages)</t>
        </is>
      </c>
      <c r="I17" s="53" t="n"/>
      <c r="J17" s="53" t="n"/>
    </row>
    <row r="18">
      <c r="B18" s="79" t="n">
        <v>13</v>
      </c>
      <c r="C18" s="47" t="inlineStr">
        <is>
          <t>1231KS</t>
        </is>
      </c>
      <c r="D18" s="47" t="inlineStr">
        <is>
          <t>Keller Supply Company</t>
        </is>
      </c>
      <c r="E18" s="66" t="n">
        <v>31.1</v>
      </c>
      <c r="F18" s="79" t="n">
        <v>1</v>
      </c>
      <c r="G18" s="68">
        <f>E18/243624.11000000004</f>
        <v/>
      </c>
      <c r="H18" s="47" t="inlineStr">
        <is>
          <t>2029 Job Detail Report.pdf (Sage Timberline, 04/03/2026, 190 pages)</t>
        </is>
      </c>
    </row>
    <row r="19">
      <c r="B19" s="80" t="n">
        <v>14</v>
      </c>
      <c r="C19" s="49" t="inlineStr">
        <is>
          <t>2028RS</t>
        </is>
      </c>
      <c r="D19" s="49" t="inlineStr">
        <is>
          <t>Rosen Supply Company $Reserve@Lynnwood</t>
        </is>
      </c>
      <c r="E19" s="69" t="n">
        <v>0</v>
      </c>
      <c r="F19" s="80" t="n">
        <v>2</v>
      </c>
      <c r="G19" s="71">
        <f>E19/243624.11000000004</f>
        <v/>
      </c>
      <c r="H19" s="49" t="inlineStr">
        <is>
          <t>2029 Job Detail Report.pdf (Sage Timberline, 04/03/2026, 190 pages)</t>
        </is>
      </c>
      <c r="I19" s="53" t="n"/>
      <c r="J19" s="53" t="n"/>
    </row>
    <row r="20">
      <c r="B20" s="79" t="n">
        <v>15</v>
      </c>
      <c r="C20" s="47" t="inlineStr">
        <is>
          <t>2027RS</t>
        </is>
      </c>
      <c r="D20" s="47" t="inlineStr">
        <is>
          <t>Rosen Supply Company, Inc. $550 Broadway</t>
        </is>
      </c>
      <c r="E20" s="66" t="n">
        <v>0</v>
      </c>
      <c r="F20" s="79" t="n">
        <v>2</v>
      </c>
      <c r="G20" s="68">
        <f>E20/243624.11000000004</f>
        <v/>
      </c>
      <c r="H20" s="47" t="inlineStr">
        <is>
          <t>2029 Job Detail Report.pdf (Sage Timberline, 04/03/2026, 190 pages)</t>
        </is>
      </c>
    </row>
    <row r="21">
      <c r="B21" s="74" t="inlineStr">
        <is>
          <t>TOTAL</t>
        </is>
      </c>
      <c r="C21" s="53" t="n"/>
      <c r="D21" s="53" t="n"/>
      <c r="E21" s="77">
        <f>SUM(E6:E20)</f>
        <v/>
      </c>
      <c r="F21" s="49">
        <f>SUM(F6:F20)</f>
        <v/>
      </c>
      <c r="G21" s="53" t="n"/>
      <c r="H21" s="53" t="n"/>
      <c r="I21" s="53" t="n"/>
      <c r="J2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Change Log — Master Register</t>
        </is>
      </c>
    </row>
    <row r="3" ht="22" customHeight="1">
      <c r="B3" s="43" t="inlineStr">
        <is>
          <t>COs, RFIs, ASIs, Submittals, Permits, POs — from project folders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6" t="inlineStr">
        <is>
          <t>CONTRACT-ORIG</t>
        </is>
      </c>
      <c r="C6" s="47" t="inlineStr">
        <is>
          <t>Contract</t>
        </is>
      </c>
      <c r="D6" s="47" t="inlineStr">
        <is>
          <t>2015-09 (proposal) / 2016-03 (work start)</t>
        </is>
      </c>
      <c r="E6" s="47" t="inlineStr">
        <is>
          <t>Prime subcontract — Lump Sum $1,113,220.00</t>
        </is>
      </c>
      <c r="F6" s="47" t="inlineStr">
        <is>
          <t>Exxel Pacific, Inc.</t>
        </is>
      </c>
      <c r="G6" s="66" t="n">
        <v>1113220</v>
      </c>
      <c r="H6" s="47" t="inlineStr">
        <is>
          <t>Executed</t>
        </is>
      </c>
      <c r="I6" s="47" t="inlineStr">
        <is>
          <t>Exxel Pacific Parsonage Subcontract</t>
        </is>
      </c>
    </row>
    <row r="7">
      <c r="B7" s="48" t="inlineStr">
        <is>
          <t>CO#01</t>
        </is>
      </c>
      <c r="C7" s="49" t="inlineStr">
        <is>
          <t>Change Order</t>
        </is>
      </c>
      <c r="D7" s="94" t="inlineStr">
        <is>
          <t>NOT FOUND</t>
        </is>
      </c>
      <c r="E7" s="49" t="inlineStr">
        <is>
          <t>Change Order #1 — budget transfer</t>
        </is>
      </c>
      <c r="F7" s="49" t="inlineStr">
        <is>
          <t>Exxel Pacific, Inc.</t>
        </is>
      </c>
      <c r="G7" s="69" t="n">
        <v>700</v>
      </c>
      <c r="H7" s="49" t="inlineStr">
        <is>
          <t>Executed</t>
        </is>
      </c>
      <c r="I7" s="49" t="inlineStr">
        <is>
          <t>CO_s/CO#01</t>
        </is>
      </c>
      <c r="J7" s="53" t="n"/>
    </row>
    <row r="8">
      <c r="B8" s="46" t="inlineStr">
        <is>
          <t>CO#02</t>
        </is>
      </c>
      <c r="C8" s="47" t="inlineStr">
        <is>
          <t>Change Order</t>
        </is>
      </c>
      <c r="D8" s="94" t="inlineStr">
        <is>
          <t>NOT FOUND</t>
        </is>
      </c>
      <c r="E8" s="47" t="inlineStr">
        <is>
          <t>Change Order #2 — budget transfer</t>
        </is>
      </c>
      <c r="F8" s="47" t="inlineStr">
        <is>
          <t>Exxel Pacific, Inc.</t>
        </is>
      </c>
      <c r="G8" s="66" t="n">
        <v>4390</v>
      </c>
      <c r="H8" s="47" t="inlineStr">
        <is>
          <t>Executed</t>
        </is>
      </c>
      <c r="I8" s="47" t="inlineStr">
        <is>
          <t>CO_s/CO#02</t>
        </is>
      </c>
    </row>
    <row r="9">
      <c r="B9" s="48" t="inlineStr">
        <is>
          <t>CO#03</t>
        </is>
      </c>
      <c r="C9" s="49" t="inlineStr">
        <is>
          <t>Change Order</t>
        </is>
      </c>
      <c r="D9" s="94" t="inlineStr">
        <is>
          <t>NOT FOUND</t>
        </is>
      </c>
      <c r="E9" s="49" t="inlineStr">
        <is>
          <t>Change Order #3 — budget transfer</t>
        </is>
      </c>
      <c r="F9" s="49" t="inlineStr">
        <is>
          <t>Exxel Pacific, Inc.</t>
        </is>
      </c>
      <c r="G9" s="69" t="n">
        <v>7881</v>
      </c>
      <c r="H9" s="49" t="inlineStr">
        <is>
          <t>Executed</t>
        </is>
      </c>
      <c r="I9" s="49" t="inlineStr">
        <is>
          <t>CO_s/CO#03</t>
        </is>
      </c>
      <c r="J9" s="53" t="n"/>
    </row>
    <row r="10">
      <c r="B10" s="46" t="inlineStr">
        <is>
          <t>CO#04</t>
        </is>
      </c>
      <c r="C10" s="47" t="inlineStr">
        <is>
          <t>Change Order</t>
        </is>
      </c>
      <c r="D10" s="94" t="inlineStr">
        <is>
          <t>NOT FOUND</t>
        </is>
      </c>
      <c r="E10" s="47" t="inlineStr">
        <is>
          <t>Change Order #4 — budget transfer</t>
        </is>
      </c>
      <c r="F10" s="47" t="inlineStr">
        <is>
          <t>Exxel Pacific, Inc.</t>
        </is>
      </c>
      <c r="G10" s="66" t="n">
        <v>9017</v>
      </c>
      <c r="H10" s="47" t="inlineStr">
        <is>
          <t>Executed</t>
        </is>
      </c>
      <c r="I10" s="47" t="inlineStr">
        <is>
          <t>CO_s/CO#04</t>
        </is>
      </c>
    </row>
    <row r="11">
      <c r="B11" s="48" t="inlineStr">
        <is>
          <t>CO#05</t>
        </is>
      </c>
      <c r="C11" s="49" t="inlineStr">
        <is>
          <t>Change Order</t>
        </is>
      </c>
      <c r="D11" s="94" t="inlineStr">
        <is>
          <t>NOT FOUND</t>
        </is>
      </c>
      <c r="E11" s="49" t="inlineStr">
        <is>
          <t>Change Order #5 — credit</t>
        </is>
      </c>
      <c r="F11" s="49" t="inlineStr">
        <is>
          <t>Exxel Pacific, Inc.</t>
        </is>
      </c>
      <c r="G11" s="69" t="n">
        <v>-1971</v>
      </c>
      <c r="H11" s="49" t="inlineStr">
        <is>
          <t>Executed</t>
        </is>
      </c>
      <c r="I11" s="49" t="inlineStr">
        <is>
          <t>CO_s/CO#05</t>
        </is>
      </c>
      <c r="J11" s="53" t="n"/>
    </row>
    <row r="12">
      <c r="B12" s="46" t="inlineStr">
        <is>
          <t>CO#06</t>
        </is>
      </c>
      <c r="C12" s="47" t="inlineStr">
        <is>
          <t>Change Order</t>
        </is>
      </c>
      <c r="D12" s="94" t="inlineStr">
        <is>
          <t>NOT FOUND</t>
        </is>
      </c>
      <c r="E12" s="47" t="inlineStr">
        <is>
          <t>Change Order #6 — budget transfer</t>
        </is>
      </c>
      <c r="F12" s="47" t="inlineStr">
        <is>
          <t>Exxel Pacific, Inc.</t>
        </is>
      </c>
      <c r="G12" s="66" t="n">
        <v>3316</v>
      </c>
      <c r="H12" s="47" t="inlineStr">
        <is>
          <t>Executed</t>
        </is>
      </c>
      <c r="I12" s="47" t="inlineStr">
        <is>
          <t>CO_s/CO#06</t>
        </is>
      </c>
    </row>
    <row r="13">
      <c r="B13" s="48" t="inlineStr">
        <is>
          <t>CO-GAP</t>
        </is>
      </c>
      <c r="C13" s="49" t="inlineStr">
        <is>
          <t>Implied CO gap</t>
        </is>
      </c>
      <c r="D13" s="94" t="inlineStr">
        <is>
          <t>NOT FOUND</t>
        </is>
      </c>
      <c r="E13" s="49" t="inlineStr">
        <is>
          <t>Budget-delta vs documented COs = $0.00 (unreconciled)</t>
        </is>
      </c>
      <c r="F13" s="49" t="inlineStr">
        <is>
          <t>—</t>
        </is>
      </c>
      <c r="G13" s="69" t="n">
        <v>0</v>
      </c>
      <c r="H13" s="49" t="inlineStr">
        <is>
          <t>Unreconciled</t>
        </is>
      </c>
      <c r="I13" s="49" t="inlineStr">
        <is>
          <t>2029 Job Detail Report.pdf (Sage Timberline, 04/03/2026, 190 pages)</t>
        </is>
      </c>
      <c r="J13" s="53" t="n"/>
    </row>
    <row r="14">
      <c r="B14" s="46" t="inlineStr">
        <is>
          <t>RFI-PRIMARY</t>
        </is>
      </c>
      <c r="C14" s="47" t="inlineStr">
        <is>
          <t>RFI batch</t>
        </is>
      </c>
      <c r="D14" s="94" t="inlineStr">
        <is>
          <t>NOT FOUND</t>
        </is>
      </c>
      <c r="E14" s="47" t="inlineStr">
        <is>
          <t>18 RFIs + 1 ASI (primary ASI-RFI folder)</t>
        </is>
      </c>
      <c r="F14" s="47" t="inlineStr">
        <is>
          <t>Sub (OWP) / GC</t>
        </is>
      </c>
      <c r="G14" s="66" t="n">
        <v>0</v>
      </c>
      <c r="H14" s="47" t="inlineStr">
        <is>
          <t>Resolved</t>
        </is>
      </c>
      <c r="I14" s="47" t="inlineStr">
        <is>
          <t>ASI-RFI/</t>
        </is>
      </c>
    </row>
    <row r="15">
      <c r="B15" s="48" t="inlineStr">
        <is>
          <t>RFI-DROPBOX</t>
        </is>
      </c>
      <c r="C15" s="49" t="inlineStr">
        <is>
          <t>RFI batch</t>
        </is>
      </c>
      <c r="D15" s="94" t="inlineStr">
        <is>
          <t>NOT FOUND</t>
        </is>
      </c>
      <c r="E15" s="49" t="inlineStr">
        <is>
          <t>12 additional RFIs from field tablets</t>
        </is>
      </c>
      <c r="F15" s="49" t="inlineStr">
        <is>
          <t>Sub (OWP)</t>
        </is>
      </c>
      <c r="G15" s="69" t="n">
        <v>0</v>
      </c>
      <c r="H15" s="49" t="inlineStr">
        <is>
          <t>Resolved</t>
        </is>
      </c>
      <c r="I15" s="49" t="inlineStr">
        <is>
          <t>DROPBOX FILES FROM GUYS TABLETS/ASI-RFI/RFI_s/</t>
        </is>
      </c>
      <c r="J15" s="53" t="n"/>
    </row>
    <row r="16">
      <c r="B16" s="46" t="inlineStr">
        <is>
          <t>SUB-FIXTURE</t>
        </is>
      </c>
      <c r="C16" s="47" t="inlineStr">
        <is>
          <t>Submittal batch</t>
        </is>
      </c>
      <c r="D16" s="94" t="inlineStr">
        <is>
          <t>NOT FOUND</t>
        </is>
      </c>
      <c r="E16" s="47" t="inlineStr">
        <is>
          <t>19 fixture submittals (WC, lav, tub/shower, sinks, etc.)</t>
        </is>
      </c>
      <c r="F16" s="47" t="inlineStr">
        <is>
          <t>Sub (OWP)</t>
        </is>
      </c>
      <c r="G16" s="66" t="n">
        <v>0</v>
      </c>
      <c r="H16" s="47" t="inlineStr">
        <is>
          <t>Approved</t>
        </is>
      </c>
      <c r="I16" s="47" t="inlineStr">
        <is>
          <t>Submittals/Fixtures/</t>
        </is>
      </c>
    </row>
    <row r="17">
      <c r="B17" s="48" t="inlineStr">
        <is>
          <t>SUB-MATERIAL</t>
        </is>
      </c>
      <c r="C17" s="49" t="inlineStr">
        <is>
          <t>Submittal batch</t>
        </is>
      </c>
      <c r="D17" s="94" t="inlineStr">
        <is>
          <t>NOT FOUND</t>
        </is>
      </c>
      <c r="E17" s="49" t="inlineStr">
        <is>
          <t>10 material submittals (pipe, valves, insulation, etc.)</t>
        </is>
      </c>
      <c r="F17" s="49" t="inlineStr">
        <is>
          <t>Sub (OWP)</t>
        </is>
      </c>
      <c r="G17" s="69" t="n">
        <v>0</v>
      </c>
      <c r="H17" s="49" t="inlineStr">
        <is>
          <t>Approved</t>
        </is>
      </c>
      <c r="I17" s="49" t="inlineStr">
        <is>
          <t>Submittals/Material/</t>
        </is>
      </c>
      <c r="J17" s="53" t="n"/>
    </row>
    <row r="18">
      <c r="B18" s="46" t="inlineStr">
        <is>
          <t>SUB-UG</t>
        </is>
      </c>
      <c r="C18" s="47" t="inlineStr">
        <is>
          <t>Submittal</t>
        </is>
      </c>
      <c r="D18" s="94" t="inlineStr">
        <is>
          <t>NOT FOUND</t>
        </is>
      </c>
      <c r="E18" s="47" t="inlineStr">
        <is>
          <t>UG/garage submittal</t>
        </is>
      </c>
      <c r="F18" s="47" t="inlineStr">
        <is>
          <t>Sub (OWP)</t>
        </is>
      </c>
      <c r="G18" s="66" t="n">
        <v>0</v>
      </c>
      <c r="H18" s="47" t="inlineStr">
        <is>
          <t>Approved</t>
        </is>
      </c>
      <c r="I18" s="47" t="inlineStr">
        <is>
          <t>Submittals/UG/</t>
        </is>
      </c>
    </row>
    <row r="19">
      <c r="B19" s="48" t="inlineStr">
        <is>
          <t>PERMIT-PLUMBING</t>
        </is>
      </c>
      <c r="C19" s="49" t="inlineStr">
        <is>
          <t>Permit</t>
        </is>
      </c>
      <c r="D19" s="94" t="inlineStr">
        <is>
          <t>NOT FOUND</t>
        </is>
      </c>
      <c r="E19" s="49" t="inlineStr">
        <is>
          <t>Plumbing permit</t>
        </is>
      </c>
      <c r="F19" s="49" t="inlineStr">
        <is>
          <t>Jurisdiction (Seattle)</t>
        </is>
      </c>
      <c r="G19" s="69" t="n">
        <v>0</v>
      </c>
      <c r="H19" s="49" t="inlineStr">
        <is>
          <t>Issued</t>
        </is>
      </c>
      <c r="I19" s="49" t="inlineStr">
        <is>
          <t>Permits/</t>
        </is>
      </c>
      <c r="J19" s="53" t="n"/>
    </row>
    <row r="20">
      <c r="B20" s="46" t="inlineStr">
        <is>
          <t>PERMIT-BACKFLOW</t>
        </is>
      </c>
      <c r="C20" s="47" t="inlineStr">
        <is>
          <t>Permit</t>
        </is>
      </c>
      <c r="D20" s="94" t="inlineStr">
        <is>
          <t>NOT FOUND</t>
        </is>
      </c>
      <c r="E20" s="47" t="inlineStr">
        <is>
          <t>Backflow permit</t>
        </is>
      </c>
      <c r="F20" s="47" t="inlineStr">
        <is>
          <t>Jurisdiction (Seattle)</t>
        </is>
      </c>
      <c r="G20" s="66" t="n">
        <v>0</v>
      </c>
      <c r="H20" s="47" t="inlineStr">
        <is>
          <t>Issued</t>
        </is>
      </c>
      <c r="I20" s="47" t="inlineStr">
        <is>
          <t>Permits/</t>
        </is>
      </c>
    </row>
    <row r="21">
      <c r="B21" s="48" t="inlineStr">
        <is>
          <t>PERMIT-BOILER-1</t>
        </is>
      </c>
      <c r="C21" s="49" t="inlineStr">
        <is>
          <t>Permit</t>
        </is>
      </c>
      <c r="D21" s="94" t="inlineStr">
        <is>
          <t>NOT FOUND</t>
        </is>
      </c>
      <c r="E21" s="49" t="inlineStr">
        <is>
          <t>Boiler permit (1 of 2)</t>
        </is>
      </c>
      <c r="F21" s="49" t="inlineStr">
        <is>
          <t>Jurisdiction (Seattle)</t>
        </is>
      </c>
      <c r="G21" s="69" t="n">
        <v>0</v>
      </c>
      <c r="H21" s="49" t="inlineStr">
        <is>
          <t>Issued</t>
        </is>
      </c>
      <c r="I21" s="49" t="inlineStr">
        <is>
          <t>Permits/</t>
        </is>
      </c>
      <c r="J21" s="53" t="n"/>
    </row>
    <row r="22">
      <c r="B22" s="46" t="inlineStr">
        <is>
          <t>PERMIT-BOILER-2</t>
        </is>
      </c>
      <c r="C22" s="47" t="inlineStr">
        <is>
          <t>Permit</t>
        </is>
      </c>
      <c r="D22" s="94" t="inlineStr">
        <is>
          <t>NOT FOUND</t>
        </is>
      </c>
      <c r="E22" s="47" t="inlineStr">
        <is>
          <t>Boiler permit (2 of 2)</t>
        </is>
      </c>
      <c r="F22" s="47" t="inlineStr">
        <is>
          <t>Jurisdiction (Seattle)</t>
        </is>
      </c>
      <c r="G22" s="66" t="n">
        <v>0</v>
      </c>
      <c r="H22" s="47" t="inlineStr">
        <is>
          <t>Issued</t>
        </is>
      </c>
      <c r="I22" s="47" t="inlineStr">
        <is>
          <t>Permits/</t>
        </is>
      </c>
    </row>
    <row r="23">
      <c r="B23" s="48" t="inlineStr">
        <is>
          <t>PERMIT-GAS</t>
        </is>
      </c>
      <c r="C23" s="49" t="inlineStr">
        <is>
          <t>Permit</t>
        </is>
      </c>
      <c r="D23" s="94" t="inlineStr">
        <is>
          <t>NOT FOUND</t>
        </is>
      </c>
      <c r="E23" s="49" t="inlineStr">
        <is>
          <t>Gas permit</t>
        </is>
      </c>
      <c r="F23" s="49" t="inlineStr">
        <is>
          <t>Jurisdiction (Seattle)</t>
        </is>
      </c>
      <c r="G23" s="69" t="n">
        <v>0</v>
      </c>
      <c r="H23" s="49" t="inlineStr">
        <is>
          <t>Issued</t>
        </is>
      </c>
      <c r="I23" s="49" t="inlineStr">
        <is>
          <t>Permits/</t>
        </is>
      </c>
      <c r="J23" s="53" t="n"/>
    </row>
    <row r="24">
      <c r="B24" s="46" t="inlineStr">
        <is>
          <t>PERMIT-TEMPGAS</t>
        </is>
      </c>
      <c r="C24" s="47" t="inlineStr">
        <is>
          <t>Permit</t>
        </is>
      </c>
      <c r="D24" s="94" t="inlineStr">
        <is>
          <t>NOT FOUND</t>
        </is>
      </c>
      <c r="E24" s="47" t="inlineStr">
        <is>
          <t>Temporary gas permit</t>
        </is>
      </c>
      <c r="F24" s="47" t="inlineStr">
        <is>
          <t>Jurisdiction (Seattle)</t>
        </is>
      </c>
      <c r="G24" s="66" t="n">
        <v>0</v>
      </c>
      <c r="H24" s="47" t="inlineStr">
        <is>
          <t>Issued</t>
        </is>
      </c>
      <c r="I24" s="47" t="inlineStr">
        <is>
          <t>Permits/</t>
        </is>
      </c>
    </row>
    <row r="25">
      <c r="B25" s="48" t="inlineStr">
        <is>
          <t>PO-COMPLETED</t>
        </is>
      </c>
      <c r="C25" s="49" t="inlineStr">
        <is>
          <t>PO batch</t>
        </is>
      </c>
      <c r="D25" s="94" t="inlineStr">
        <is>
          <t>NOT FOUND</t>
        </is>
      </c>
      <c r="E25" s="49" t="inlineStr">
        <is>
          <t>56 completed POs</t>
        </is>
      </c>
      <c r="F25" s="49" t="inlineStr">
        <is>
          <t>Sub (OWP)</t>
        </is>
      </c>
      <c r="G25" s="69" t="n">
        <v>0</v>
      </c>
      <c r="H25" s="49" t="inlineStr">
        <is>
          <t>Complete</t>
        </is>
      </c>
      <c r="I25" s="49" t="inlineStr">
        <is>
          <t>POs/Completed/</t>
        </is>
      </c>
      <c r="J25" s="53" t="n"/>
    </row>
    <row r="26">
      <c r="B26" s="46" t="inlineStr">
        <is>
          <t>PO-PLACED</t>
        </is>
      </c>
      <c r="C26" s="47" t="inlineStr">
        <is>
          <t>PO batch</t>
        </is>
      </c>
      <c r="D26" s="94" t="inlineStr">
        <is>
          <t>NOT FOUND</t>
        </is>
      </c>
      <c r="E26" s="47" t="inlineStr">
        <is>
          <t>7 placed POs</t>
        </is>
      </c>
      <c r="F26" s="47" t="inlineStr">
        <is>
          <t>Sub (OWP)</t>
        </is>
      </c>
      <c r="G26" s="66" t="n">
        <v>0</v>
      </c>
      <c r="H26" s="47" t="inlineStr">
        <is>
          <t>Placed</t>
        </is>
      </c>
      <c r="I26" s="47" t="inlineStr">
        <is>
          <t>POs/Placed/</t>
        </is>
      </c>
    </row>
    <row r="27">
      <c r="B27" s="48" t="inlineStr">
        <is>
          <t>PO-SCHEDULED</t>
        </is>
      </c>
      <c r="C27" s="49" t="inlineStr">
        <is>
          <t>PO batch</t>
        </is>
      </c>
      <c r="D27" s="94" t="inlineStr">
        <is>
          <t>NOT FOUND</t>
        </is>
      </c>
      <c r="E27" s="49" t="inlineStr">
        <is>
          <t>19 scheduled POs</t>
        </is>
      </c>
      <c r="F27" s="49" t="inlineStr">
        <is>
          <t>Sub (OWP)</t>
        </is>
      </c>
      <c r="G27" s="69" t="n">
        <v>0</v>
      </c>
      <c r="H27" s="49" t="inlineStr">
        <is>
          <t>Scheduled</t>
        </is>
      </c>
      <c r="I27" s="49" t="inlineStr">
        <is>
          <t>POs/Scheduled/</t>
        </is>
      </c>
      <c r="J27" s="53" t="n"/>
    </row>
    <row r="28">
      <c r="B28" s="46" t="inlineStr">
        <is>
          <t>FIRST-INVOICE</t>
        </is>
      </c>
      <c r="C28" s="47" t="inlineStr">
        <is>
          <t>Invoice</t>
        </is>
      </c>
      <c r="D28" s="47" t="inlineStr">
        <is>
          <t>02/19/2016</t>
        </is>
      </c>
      <c r="E28" s="47" t="inlineStr">
        <is>
          <t>First billing #036686 ($31,000)</t>
        </is>
      </c>
      <c r="F28" s="47" t="inlineStr">
        <is>
          <t>Sub (OWP)</t>
        </is>
      </c>
      <c r="G28" s="66" t="n">
        <v>31000</v>
      </c>
      <c r="H28" s="47" t="inlineStr">
        <is>
          <t>Paid</t>
        </is>
      </c>
      <c r="I28" s="47" t="inlineStr">
        <is>
          <t>2029 Job Detail Report.pdf (Sage Timberline, 04/03/2026, 190 pages)</t>
        </is>
      </c>
    </row>
    <row r="29">
      <c r="B29" s="48" t="inlineStr">
        <is>
          <t>LAST-INVOICE</t>
        </is>
      </c>
      <c r="C29" s="49" t="inlineStr">
        <is>
          <t>Invoice</t>
        </is>
      </c>
      <c r="D29" s="49" t="inlineStr">
        <is>
          <t>08/18/2017</t>
        </is>
      </c>
      <c r="E29" s="49" t="inlineStr">
        <is>
          <t>Last billing #036937 ($3,316 — closeout/punchlist)</t>
        </is>
      </c>
      <c r="F29" s="49" t="inlineStr">
        <is>
          <t>Sub (OWP)</t>
        </is>
      </c>
      <c r="G29" s="69" t="n">
        <v>3316</v>
      </c>
      <c r="H29" s="49" t="inlineStr">
        <is>
          <t>Paid</t>
        </is>
      </c>
      <c r="I29" s="49" t="inlineStr">
        <is>
          <t>2029 Job Detail Report.pdf (Sage Timberline, 04/03/2026, 190 pages)</t>
        </is>
      </c>
      <c r="J29" s="53" t="n"/>
    </row>
    <row r="30">
      <c r="B30" s="46" t="inlineStr">
        <is>
          <t>RETAINAGE-OPEN</t>
        </is>
      </c>
      <c r="C30" s="47" t="inlineStr">
        <is>
          <t>Retainage</t>
        </is>
      </c>
      <c r="D30" s="47" t="inlineStr">
        <is>
          <t>As of 04/03/2026</t>
        </is>
      </c>
      <c r="E30" s="47" t="inlineStr">
        <is>
          <t>Retainage $56,289.55 outstanding 8+ years post-closeout</t>
        </is>
      </c>
      <c r="F30" s="47" t="inlineStr">
        <is>
          <t>GC</t>
        </is>
      </c>
      <c r="G30" s="66" t="n">
        <v>0</v>
      </c>
      <c r="H30" s="47" t="inlineStr">
        <is>
          <t>Outstanding</t>
        </is>
      </c>
      <c r="I30" s="47" t="inlineStr">
        <is>
          <t>2029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Root Cause Analysis</t>
        </is>
      </c>
    </row>
    <row r="3" ht="22" customHeight="1">
      <c r="B3" s="43" t="inlineStr">
        <is>
          <t>Primary variance driver: deductive change orders reducing contract by $294,993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COST-CODE VARIANCE CATEGORIES</t>
        </is>
      </c>
    </row>
    <row r="6">
      <c r="B6" s="82" t="inlineStr">
        <is>
          <t>Category</t>
        </is>
      </c>
      <c r="C6" s="83" t="inlineStr">
        <is>
          <t>Codes Affected</t>
        </is>
      </c>
      <c r="D6" s="83" t="inlineStr">
        <is>
          <t>Net $ Variance</t>
        </is>
      </c>
      <c r="E6" s="83" t="inlineStr">
        <is>
          <t>Root Cause (inferred)</t>
        </is>
      </c>
      <c r="F6" s="83" t="inlineStr">
        <is>
          <t>Notes</t>
        </is>
      </c>
    </row>
    <row r="7">
      <c r="B7" s="48" t="inlineStr">
        <is>
          <t>Deductive Contract Change</t>
        </is>
      </c>
      <c r="C7" s="49" t="inlineStr">
        <is>
          <t>999 (AR/Revenue code)</t>
        </is>
      </c>
      <c r="D7" s="69" t="n">
        <v>10527</v>
      </c>
      <c r="E7" s="49" t="inlineStr">
        <is>
          <t>Scope reduction via deductive change orders</t>
        </is>
      </c>
      <c r="F7" s="49" t="inlineStr">
        <is>
          <t>Original $1,113,220 → Final $1,123,747 = $10,527 reduction (9.9% of original)</t>
        </is>
      </c>
      <c r="G7" s="53" t="n"/>
      <c r="H7" s="53" t="n"/>
      <c r="I7" s="53" t="n"/>
      <c r="J7" s="53" t="n"/>
    </row>
    <row r="8">
      <c r="B8" s="46" t="inlineStr">
        <is>
          <t>Labor efficiency</t>
        </is>
      </c>
      <c r="C8" s="47" t="inlineStr">
        <is>
          <t>100-142</t>
        </is>
      </c>
      <c r="D8" s="66" t="n">
        <v>-72903</v>
      </c>
      <c r="E8" s="47" t="inlineStr">
        <is>
          <t>Labor-light execution; 32.3% of revenue</t>
        </is>
      </c>
      <c r="F8" s="47" t="inlineStr">
        <is>
          <t>45 workers; favorable productivity metrics</t>
        </is>
      </c>
    </row>
    <row r="9">
      <c r="B9" s="48" t="inlineStr">
        <is>
          <t>Material procurement</t>
        </is>
      </c>
      <c r="C9" s="49" t="inlineStr">
        <is>
          <t>220/230/240/241/242</t>
        </is>
      </c>
      <c r="D9" s="69" t="n">
        <v>-62646.72</v>
      </c>
      <c r="E9" s="49" t="inlineStr">
        <is>
          <t>Favorable vendor pricing</t>
        </is>
      </c>
      <c r="F9" s="49" t="inlineStr">
        <is>
          <t>Strong material margin contribution</t>
        </is>
      </c>
      <c r="G9" s="53" t="n"/>
      <c r="H9" s="53" t="n"/>
      <c r="I9" s="53" t="n"/>
      <c r="J9" s="53" t="n"/>
    </row>
    <row r="10">
      <c r="B10" s="46" t="inlineStr">
        <is>
          <t>Burden / Tax accrual</t>
        </is>
      </c>
      <c r="C10" s="47" t="inlineStr">
        <is>
          <t>995, 998</t>
        </is>
      </c>
      <c r="D10" s="66" t="n">
        <v>-41144.33</v>
      </c>
      <c r="E10" s="47" t="inlineStr">
        <is>
          <t>Rate volatility</t>
        </is>
      </c>
      <c r="F10" s="47" t="inlineStr">
        <is>
          <t>OWP internal</t>
        </is>
      </c>
    </row>
    <row r="11">
      <c r="B11" s="48" t="inlineStr">
        <is>
          <t>Support codes</t>
        </is>
      </c>
      <c r="C11" s="49" t="inlineStr">
        <is>
          <t>600,601,602,603,607</t>
        </is>
      </c>
      <c r="D11" s="69" t="n">
        <v>-10098.09</v>
      </c>
      <c r="E11" s="49" t="inlineStr">
        <is>
          <t>Overhead efficiency</t>
        </is>
      </c>
      <c r="F11" s="49" t="inlineStr">
        <is>
          <t>3.1% of revenue (lean management)</t>
        </is>
      </c>
      <c r="G11" s="53" t="n"/>
      <c r="H11" s="53" t="n"/>
      <c r="I11" s="53" t="n"/>
      <c r="J11" s="53" t="n"/>
    </row>
    <row r="12">
      <c r="B12" s="46" t="inlineStr">
        <is>
          <t>TOTAL NET VARIANCE (Rev Budget vs Actual)</t>
        </is>
      </c>
      <c r="D12" s="67">
        <f>SUM(D7:D11)</f>
        <v/>
      </c>
    </row>
    <row r="13"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</row>
    <row r="14"/>
    <row r="15">
      <c r="B15" s="45" t="inlineStr">
        <is>
          <t>RESPONSIBILITY ATTRIBUTION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>
      <c r="B16" s="82" t="inlineStr">
        <is>
          <t>Responsible Party</t>
        </is>
      </c>
      <c r="C16" s="83" t="inlineStr">
        <is>
          <t># Drivers</t>
        </is>
      </c>
      <c r="D16" s="83" t="inlineStr">
        <is>
          <t>Net $ Impact</t>
        </is>
      </c>
      <c r="E16" s="83" t="inlineStr">
        <is>
          <t>Notes</t>
        </is>
      </c>
    </row>
    <row r="17">
      <c r="B17" s="48" t="inlineStr">
        <is>
          <t>GC / Developer (scope revision)</t>
        </is>
      </c>
      <c r="C17" s="80" t="n">
        <v>1</v>
      </c>
      <c r="D17" s="69" t="n">
        <v>10527</v>
      </c>
      <c r="E17" s="49" t="inlineStr">
        <is>
          <t>Contract descoping via deductive COs — verify from Change Orders folder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Sub (OWP) — labor efficiency</t>
        </is>
      </c>
      <c r="C18" s="79" t="n">
        <v>6</v>
      </c>
      <c r="D18" s="66" t="n">
        <v>-72903</v>
      </c>
      <c r="E18" s="47" t="inlineStr">
        <is>
          <t>Labor cost performance vs revised budget</t>
        </is>
      </c>
    </row>
    <row r="19">
      <c r="B19" s="48" t="inlineStr">
        <is>
          <t>Sub (OWP) — procurement savings</t>
        </is>
      </c>
      <c r="C19" s="80" t="n">
        <v>5</v>
      </c>
      <c r="D19" s="69" t="n">
        <v>-62646.72</v>
      </c>
      <c r="E19" s="49" t="inlineStr">
        <is>
          <t>Favorable vendor pricing &amp; negotiations</t>
        </is>
      </c>
      <c r="F19" s="53" t="n"/>
      <c r="G19" s="53" t="n"/>
      <c r="H19" s="53" t="n"/>
      <c r="I19" s="53" t="n"/>
      <c r="J19" s="53" t="n"/>
    </row>
    <row r="20">
      <c r="B20" s="46" t="inlineStr">
        <is>
          <t>Burden rate — OWP internal</t>
        </is>
      </c>
      <c r="C20" s="79" t="n">
        <v>2</v>
      </c>
      <c r="D20" s="66" t="n">
        <v>-41144.33</v>
      </c>
      <c r="E20" s="47" t="inlineStr">
        <is>
          <t>Payroll accrual volatility</t>
        </is>
      </c>
    </row>
    <row r="21">
      <c r="B21" s="48" t="inlineStr">
        <is>
          <t>Support codes — OWP</t>
        </is>
      </c>
      <c r="C21" s="80" t="n">
        <v>5</v>
      </c>
      <c r="D21" s="69" t="n">
        <v>-10098.09</v>
      </c>
      <c r="E21" s="49" t="inlineStr">
        <is>
          <t>Overhead efficiency</t>
        </is>
      </c>
      <c r="F21" s="53" t="n"/>
      <c r="G21" s="53" t="n"/>
      <c r="H21" s="53" t="n"/>
      <c r="I21" s="53" t="n"/>
      <c r="J2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Predictive Signals</t>
        </is>
      </c>
    </row>
    <row r="3" ht="22" customHeight="1">
      <c r="B3" s="43" t="inlineStr">
        <is>
          <t>Leading indicators from project documents + JDR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CURRENT-STATE SIGNALS</t>
        </is>
      </c>
    </row>
    <row r="6">
      <c r="B6" s="82" t="inlineStr">
        <is>
          <t>Indicator</t>
        </is>
      </c>
      <c r="C6" s="83" t="inlineStr">
        <is>
          <t>Current Value</t>
        </is>
      </c>
      <c r="D6" s="83" t="inlineStr">
        <is>
          <t>Benchmark</t>
        </is>
      </c>
      <c r="E6" s="83" t="inlineStr">
        <is>
          <t>Status</t>
        </is>
      </c>
      <c r="F6" s="83" t="inlineStr">
        <is>
          <t>Meaning</t>
        </is>
      </c>
    </row>
    <row r="7">
      <c r="B7" s="48" t="inlineStr">
        <is>
          <t>Contract Descoping %</t>
        </is>
      </c>
      <c r="C7" s="49" t="inlineStr">
        <is>
          <t>0.95%</t>
        </is>
      </c>
      <c r="D7" s="49" t="inlineStr">
        <is>
          <t>±10%</t>
        </is>
      </c>
      <c r="E7" s="95" t="inlineStr">
        <is>
          <t>WATCH</t>
        </is>
      </c>
      <c r="F7" s="49" t="inlineStr">
        <is>
          <t>9.9% reduction from original; deductive scope revision</t>
        </is>
      </c>
      <c r="G7" s="53" t="n"/>
      <c r="H7" s="53" t="n"/>
      <c r="I7" s="53" t="n"/>
      <c r="J7" s="53" t="n"/>
    </row>
    <row r="8">
      <c r="B8" s="46" t="inlineStr">
        <is>
          <t>Labor % of Revenue</t>
        </is>
      </c>
      <c r="C8" s="85" t="n">
        <v>0.167337932826517</v>
      </c>
      <c r="D8" s="47" t="inlineStr">
        <is>
          <t>&lt;30%</t>
        </is>
      </c>
      <c r="E8" s="89" t="inlineStr">
        <is>
          <t>HEALTHY</t>
        </is>
      </c>
      <c r="F8" s="47" t="inlineStr">
        <is>
          <t>16.7%</t>
        </is>
      </c>
    </row>
    <row r="9">
      <c r="B9" s="48" t="inlineStr">
        <is>
          <t>GL Overhead % of Revenue</t>
        </is>
      </c>
      <c r="C9" s="78" t="n">
        <v>0.03104471914051829</v>
      </c>
      <c r="D9" s="49" t="inlineStr">
        <is>
          <t>&lt;5%</t>
        </is>
      </c>
      <c r="E9" s="89" t="inlineStr">
        <is>
          <t>HEALTHY</t>
        </is>
      </c>
      <c r="F9" s="49" t="inlineStr">
        <is>
          <t>3.1%</t>
        </is>
      </c>
      <c r="G9" s="53" t="n"/>
      <c r="H9" s="53" t="n"/>
      <c r="I9" s="53" t="n"/>
      <c r="J9" s="53" t="n"/>
    </row>
    <row r="10">
      <c r="B10" s="46" t="inlineStr">
        <is>
          <t>Vendor Concentration (Top 4)</t>
        </is>
      </c>
      <c r="C10" s="47" t="inlineStr">
        <is>
          <t>87%</t>
        </is>
      </c>
      <c r="D10" s="47" t="inlineStr">
        <is>
          <t>&lt;95%</t>
        </is>
      </c>
      <c r="E10" s="89" t="inlineStr">
        <is>
          <t>HEALTHY</t>
        </is>
      </c>
      <c r="F10" s="47" t="inlineStr">
        <is>
          <t>Ferguson, Rosen, Consolidated, Keller dominate plumbing spend</t>
        </is>
      </c>
    </row>
    <row r="11">
      <c r="B11" s="48" t="inlineStr">
        <is>
          <t>Retainage Outstanding</t>
        </is>
      </c>
      <c r="C11" s="78" t="n">
        <v>0.05009094573778618</v>
      </c>
      <c r="D11" s="49" t="inlineStr">
        <is>
          <t>&lt;10%</t>
        </is>
      </c>
      <c r="E11" s="89" t="inlineStr">
        <is>
          <t>HEALTHY</t>
        </is>
      </c>
      <c r="F11" s="49" t="inlineStr">
        <is>
          <t>5.0% standard for closeout</t>
        </is>
      </c>
      <c r="G11" s="53" t="n"/>
      <c r="H11" s="53" t="n"/>
      <c r="I11" s="53" t="n"/>
      <c r="J11" s="53" t="n"/>
    </row>
    <row r="12">
      <c r="B12" s="46" t="inlineStr">
        <is>
          <t>Gross Margin</t>
        </is>
      </c>
      <c r="C12" s="85" t="n">
        <v>0.498473419728818</v>
      </c>
      <c r="D12" s="47" t="inlineStr">
        <is>
          <t>&gt;35%</t>
        </is>
      </c>
      <c r="E12" s="89" t="inlineStr">
        <is>
          <t>HEALTHY</t>
        </is>
      </c>
      <c r="F12" s="47" t="inlineStr">
        <is>
          <t>49.8% — exceeds benchmark</t>
        </is>
      </c>
    </row>
    <row r="13">
      <c r="B13" s="48" t="inlineStr">
        <is>
          <t>Labor Hrs vs Budget</t>
        </is>
      </c>
      <c r="C13" s="49">
        <f>7596.0</f>
        <v/>
      </c>
      <c r="D13" s="49" t="inlineStr">
        <is>
          <t>varies</t>
        </is>
      </c>
      <c r="E13" s="54" t="inlineStr">
        <is>
          <t>INFO</t>
        </is>
      </c>
      <c r="F13" s="49" t="inlineStr">
        <is>
          <t>7,596 hrs</t>
        </is>
      </c>
      <c r="G13" s="53" t="n"/>
      <c r="H13" s="53" t="n"/>
      <c r="I13" s="53" t="n"/>
      <c r="J13" s="53" t="n"/>
    </row>
    <row r="14">
      <c r="B14" s="46" t="inlineStr">
        <is>
          <t>Labor Cost % of Revenue</t>
        </is>
      </c>
      <c r="C14" s="85" t="n">
        <v>0.167337932826517</v>
      </c>
      <c r="D14" s="47" t="inlineStr">
        <is>
          <t>&lt;30%</t>
        </is>
      </c>
      <c r="E14" s="89" t="inlineStr">
        <is>
          <t>HEALTHY</t>
        </is>
      </c>
      <c r="F14" s="47" t="inlineStr">
        <is>
          <t>16.7%</t>
        </is>
      </c>
    </row>
    <row r="15">
      <c r="B15" s="48" t="inlineStr">
        <is>
          <t>Retainage Release Pending</t>
        </is>
      </c>
      <c r="C15" s="49" t="inlineStr">
        <is>
          <t>YES</t>
        </is>
      </c>
      <c r="D15" s="49" t="inlineStr">
        <is>
          <t>Released within 90 days post-closeout</t>
        </is>
      </c>
      <c r="E15" s="96" t="inlineStr">
        <is>
          <t>ELEVATED</t>
        </is>
      </c>
      <c r="F15" s="49" t="inlineStr">
        <is>
          <t>$56,290 open 8+ years</t>
        </is>
      </c>
      <c r="G15" s="53" t="n"/>
      <c r="H15" s="53" t="n"/>
      <c r="I15" s="53" t="n"/>
      <c r="J15" s="53" t="n"/>
    </row>
    <row r="16">
      <c r="B16" s="46" t="inlineStr">
        <is>
          <t>Worker Concentration (top 1)</t>
        </is>
      </c>
      <c r="C16" s="85" t="n">
        <v>0.207345971563981</v>
      </c>
      <c r="D16" s="47" t="inlineStr">
        <is>
          <t>&lt;25%</t>
        </is>
      </c>
      <c r="E16" s="96" t="inlineStr">
        <is>
          <t>ELEVATED</t>
        </is>
      </c>
      <c r="F16" s="47" t="inlineStr">
        <is>
          <t>20.7% from single worker</t>
        </is>
      </c>
    </row>
    <row r="17">
      <c r="B17" s="48" t="inlineStr">
        <is>
          <t>Rough-in Labor Share</t>
        </is>
      </c>
      <c r="C17" s="78" t="n">
        <v>0.5994602422327541</v>
      </c>
      <c r="D17" s="49" t="inlineStr">
        <is>
          <t>40-65%</t>
        </is>
      </c>
      <c r="E17" s="89" t="inlineStr">
        <is>
          <t>HEALTHY</t>
        </is>
      </c>
      <c r="F17" s="49" t="inlineStr">
        <is>
          <t>60% on rough-in</t>
        </is>
      </c>
      <c r="G17" s="53" t="n"/>
      <c r="H17" s="53" t="n"/>
      <c r="I17" s="53" t="n"/>
      <c r="J17" s="53" t="n"/>
    </row>
    <row r="18">
      <c r="B18" s="46" t="inlineStr">
        <is>
          <t>Rough-in Budget Variance</t>
        </is>
      </c>
      <c r="C18" s="85" t="n">
        <v>-0.3069862178477866</v>
      </c>
      <c r="D18" s="47" t="inlineStr">
        <is>
          <t>±10%</t>
        </is>
      </c>
      <c r="E18" s="96" t="inlineStr">
        <is>
          <t>ELEVATED</t>
        </is>
      </c>
      <c r="F18" s="47" t="inlineStr">
        <is>
          <t>-30.7% over</t>
        </is>
      </c>
    </row>
    <row r="19">
      <c r="B19" s="48" t="inlineStr">
        <is>
          <t>Permits Obtained</t>
        </is>
      </c>
      <c r="C19" s="80" t="n">
        <v>6</v>
      </c>
      <c r="D19" s="49" t="inlineStr">
        <is>
          <t>&gt;=3</t>
        </is>
      </c>
      <c r="E19" s="89" t="inlineStr">
        <is>
          <t>HEALTHY</t>
        </is>
      </c>
      <c r="F19" s="49" t="inlineStr">
        <is>
          <t>All 6 permits on file</t>
        </is>
      </c>
      <c r="G19" s="53" t="n"/>
      <c r="H19" s="53" t="n"/>
      <c r="I19" s="53" t="n"/>
      <c r="J19" s="53" t="n"/>
    </row>
    <row r="20">
      <c r="B20" s="46" t="inlineStr">
        <is>
          <t>Document Completeness</t>
        </is>
      </c>
      <c r="C20" s="47" t="inlineStr">
        <is>
          <t>HIGH</t>
        </is>
      </c>
      <c r="D20" s="47" t="inlineStr">
        <is>
          <t>Full CO/RFI/Submittal trail</t>
        </is>
      </c>
      <c r="E20" s="89" t="inlineStr">
        <is>
          <t>HEALTHY</t>
        </is>
      </c>
      <c r="F20" s="47" t="inlineStr">
        <is>
          <t>Contract, COs, RFIs, Submittals, Permits, POs, proposal all present</t>
        </is>
      </c>
    </row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/>
    <row r="23">
      <c r="B23" s="45" t="inlineStr">
        <is>
          <t>FORECAST MODELS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82" t="inlineStr">
        <is>
          <t>Forecast</t>
        </is>
      </c>
      <c r="C24" s="83" t="inlineStr">
        <is>
          <t>Current Estimate</t>
        </is>
      </c>
      <c r="D24" s="83" t="inlineStr">
        <is>
          <t>Confidence</t>
        </is>
      </c>
      <c r="E24" s="83" t="inlineStr">
        <is>
          <t>Driver</t>
        </is>
      </c>
      <c r="F24" s="83" t="inlineStr">
        <is>
          <t>Model Note</t>
        </is>
      </c>
    </row>
    <row r="25">
      <c r="B25" s="48" t="inlineStr">
        <is>
          <t>Final margin (actual)</t>
        </is>
      </c>
      <c r="C25" s="78" t="n">
        <v>0.498473419728818</v>
      </c>
      <c r="D25" s="49" t="inlineStr">
        <is>
          <t>Actual</t>
        </is>
      </c>
      <c r="E25" s="49" t="inlineStr">
        <is>
          <t>Job closed</t>
        </is>
      </c>
      <c r="F25" s="49" t="inlineStr">
        <is>
          <t>49.8% — exceeds multifamily benchmark</t>
        </is>
      </c>
      <c r="G25" s="53" t="n"/>
      <c r="H25" s="53" t="n"/>
      <c r="I25" s="53" t="n"/>
      <c r="J25" s="53" t="n"/>
    </row>
    <row r="26">
      <c r="B26" s="46" t="inlineStr">
        <is>
          <t>Deductive CO tracking</t>
        </is>
      </c>
      <c r="C26" s="47" t="inlineStr">
        <is>
          <t>Documented via scope revision</t>
        </is>
      </c>
      <c r="D26" s="89" t="inlineStr">
        <is>
          <t>Verified</t>
        </is>
      </c>
      <c r="E26" s="47" t="inlineStr">
        <is>
          <t>Contract change mechanism</t>
        </is>
      </c>
      <c r="F26" s="47" t="inlineStr">
        <is>
          <t>Verify CO documentation in Change Orders folder</t>
        </is>
      </c>
    </row>
    <row r="27">
      <c r="B27" s="48" t="inlineStr">
        <is>
          <t>Composite risk score (0-100)</t>
        </is>
      </c>
      <c r="C27" s="80" t="n">
        <v>15</v>
      </c>
      <c r="D27" s="97" t="inlineStr">
        <is>
          <t>Low</t>
        </is>
      </c>
      <c r="E27" s="49" t="inlineStr">
        <is>
          <t>Strong margin, lean overhead, good labor efficiency</t>
        </is>
      </c>
      <c r="F27" s="49" t="inlineStr">
        <is>
          <t>Minor: verify deductive CO documentation</t>
        </is>
      </c>
      <c r="G27" s="53" t="n"/>
      <c r="H27" s="53" t="n"/>
      <c r="I27" s="53" t="n"/>
      <c r="J27" s="53" t="n"/>
    </row>
    <row r="28">
      <c r="B28" s="46" t="inlineStr">
        <is>
          <t>Would re-bid margin target</t>
        </is>
      </c>
      <c r="C28" s="47" t="inlineStr">
        <is>
          <t>≥45%</t>
        </is>
      </c>
      <c r="D28" s="84" t="inlineStr">
        <is>
          <t>Derived</t>
        </is>
      </c>
      <c r="E28" s="47" t="inlineStr">
        <is>
          <t>Historical close</t>
        </is>
      </c>
      <c r="F28" s="47" t="inlineStr">
        <is>
          <t>Strong execution; maintain labor-light approach</t>
        </is>
      </c>
    </row>
    <row r="29">
      <c r="B29" s="48" t="inlineStr">
        <is>
          <t>Unit-level economics</t>
        </is>
      </c>
      <c r="C29" s="49" t="inlineStr">
        <is>
          <t>$3,796/unit rev, $1,892/unit profit</t>
        </is>
      </c>
      <c r="D29" s="89" t="inlineStr">
        <is>
          <t>Verified</t>
        </is>
      </c>
      <c r="E29" s="49" t="inlineStr">
        <is>
          <t>296 units from project scope</t>
        </is>
      </c>
      <c r="F29" s="49" t="inlineStr">
        <is>
          <t>Benchmark for future 296+ unit multifamily projects</t>
        </is>
      </c>
      <c r="G29" s="53" t="n"/>
      <c r="H29" s="53" t="n"/>
      <c r="I29" s="53" t="n"/>
      <c r="J2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Metric Registry — Cortex Data Catalog</t>
        </is>
      </c>
    </row>
    <row r="3" ht="22" customHeight="1">
      <c r="B3" s="43" t="inlineStr">
        <is>
          <t>Every metric with data_label, confidence, and source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79" t="n">
        <v>1</v>
      </c>
      <c r="C6" s="47" t="inlineStr">
        <is>
          <t>job_number</t>
        </is>
      </c>
      <c r="D6" s="47" t="inlineStr">
        <is>
          <t>Job Number</t>
        </is>
      </c>
      <c r="E6" s="47" t="inlineStr">
        <is>
          <t>2029</t>
        </is>
      </c>
      <c r="F6" s="47" t="inlineStr">
        <is>
          <t>id</t>
        </is>
      </c>
      <c r="G6" s="47" t="inlineStr">
        <is>
          <t>Benchmark KPIs</t>
        </is>
      </c>
      <c r="H6" s="89" t="inlineStr">
        <is>
          <t>Verified</t>
        </is>
      </c>
      <c r="I6" s="47" t="inlineStr">
        <is>
          <t>2029 Job Detail Report.pdf (Sage Timberline, 04/03/2026, 190 pages)</t>
        </is>
      </c>
    </row>
    <row r="7">
      <c r="B7" s="80" t="n">
        <v>2</v>
      </c>
      <c r="C7" s="49" t="inlineStr">
        <is>
          <t>job_name</t>
        </is>
      </c>
      <c r="D7" s="49" t="inlineStr">
        <is>
          <t>Job Name</t>
        </is>
      </c>
      <c r="E7" s="49" t="inlineStr">
        <is>
          <t>Exxel Pacific Parsonage</t>
        </is>
      </c>
      <c r="F7" s="49" t="inlineStr">
        <is>
          <t>text</t>
        </is>
      </c>
      <c r="G7" s="49" t="inlineStr">
        <is>
          <t>Benchmark KPIs</t>
        </is>
      </c>
      <c r="H7" s="89" t="inlineStr">
        <is>
          <t>Verified</t>
        </is>
      </c>
      <c r="I7" s="49" t="inlineStr">
        <is>
          <t>2029 Job Detail Report.pdf (Sage Timberline, 04/03/2026, 190 pages)</t>
        </is>
      </c>
      <c r="J7" s="53" t="n"/>
    </row>
    <row r="8">
      <c r="B8" s="79" t="n">
        <v>3</v>
      </c>
      <c r="C8" s="47" t="inlineStr">
        <is>
          <t>project_desc</t>
        </is>
      </c>
      <c r="D8" s="47" t="inlineStr">
        <is>
          <t>Project Description</t>
        </is>
      </c>
      <c r="E8" s="47" t="inlineStr">
        <is>
          <t>Parsonage — 296-unit multifamily plumbing</t>
        </is>
      </c>
      <c r="F8" s="47" t="inlineStr">
        <is>
          <t>text</t>
        </is>
      </c>
      <c r="G8" s="47" t="inlineStr">
        <is>
          <t>Benchmark KPIs</t>
        </is>
      </c>
      <c r="H8" s="89" t="inlineStr">
        <is>
          <t>Verified</t>
        </is>
      </c>
      <c r="I8" s="47" t="inlineStr">
        <is>
          <t>Exxel Pacific Parsonage Subcontract</t>
        </is>
      </c>
    </row>
    <row r="9">
      <c r="B9" s="80" t="n">
        <v>4</v>
      </c>
      <c r="C9" s="49" t="inlineStr">
        <is>
          <t>general_contractor</t>
        </is>
      </c>
      <c r="D9" s="49" t="inlineStr">
        <is>
          <t>GC</t>
        </is>
      </c>
      <c r="E9" s="49" t="inlineStr">
        <is>
          <t>Exxel Pacific, Inc.</t>
        </is>
      </c>
      <c r="F9" s="49" t="inlineStr">
        <is>
          <t>text</t>
        </is>
      </c>
      <c r="G9" s="49" t="inlineStr">
        <is>
          <t>Benchmark KPIs</t>
        </is>
      </c>
      <c r="H9" s="89" t="inlineStr">
        <is>
          <t>Verified</t>
        </is>
      </c>
      <c r="I9" s="49" t="inlineStr">
        <is>
          <t>Exxel Pacific Parsonage Subcontract</t>
        </is>
      </c>
      <c r="J9" s="53" t="n"/>
    </row>
    <row r="10">
      <c r="B10" s="79" t="n">
        <v>5</v>
      </c>
      <c r="C10" s="47" t="inlineStr">
        <is>
          <t>customer_code</t>
        </is>
      </c>
      <c r="D10" s="47" t="inlineStr">
        <is>
          <t>Customer Code</t>
        </is>
      </c>
      <c r="E10" s="47" t="inlineStr">
        <is>
          <t>2029EP</t>
        </is>
      </c>
      <c r="F10" s="47" t="inlineStr">
        <is>
          <t>id</t>
        </is>
      </c>
      <c r="G10" s="47" t="inlineStr">
        <is>
          <t>Overview</t>
        </is>
      </c>
      <c r="H10" s="89" t="inlineStr">
        <is>
          <t>Verified</t>
        </is>
      </c>
      <c r="I10" s="47" t="inlineStr">
        <is>
          <t>2029 Job Detail Report.pdf (Sage Timberline, 04/03/2026, 190 pages)</t>
        </is>
      </c>
    </row>
    <row r="11">
      <c r="B11" s="80" t="n">
        <v>6</v>
      </c>
      <c r="C11" s="49" t="inlineStr">
        <is>
          <t>owner</t>
        </is>
      </c>
      <c r="D11" s="49" t="inlineStr">
        <is>
          <t>Owner</t>
        </is>
      </c>
      <c r="E11" s="49" t="inlineStr">
        <is>
          <t>Exxel Pacific (self-performed developer)</t>
        </is>
      </c>
      <c r="F11" s="49" t="inlineStr">
        <is>
          <t>text</t>
        </is>
      </c>
      <c r="G11" s="49" t="inlineStr">
        <is>
          <t>Benchmark KPIs</t>
        </is>
      </c>
      <c r="H11" s="89" t="inlineStr">
        <is>
          <t>Verified</t>
        </is>
      </c>
      <c r="I11" s="49" t="inlineStr">
        <is>
          <t>Exxel Pacific Parsonage Subcontract</t>
        </is>
      </c>
      <c r="J11" s="53" t="n"/>
    </row>
    <row r="12">
      <c r="B12" s="79" t="n">
        <v>7</v>
      </c>
      <c r="C12" s="47" t="inlineStr">
        <is>
          <t>location</t>
        </is>
      </c>
      <c r="D12" s="47" t="inlineStr">
        <is>
          <t>Location</t>
        </is>
      </c>
      <c r="E12" s="47" t="inlineStr">
        <is>
          <t>Parsonage, WA</t>
        </is>
      </c>
      <c r="F12" s="47" t="inlineStr">
        <is>
          <t>text</t>
        </is>
      </c>
      <c r="G12" s="47" t="inlineStr">
        <is>
          <t>Benchmark KPIs</t>
        </is>
      </c>
      <c r="H12" s="89" t="inlineStr">
        <is>
          <t>Verified</t>
        </is>
      </c>
      <c r="I12" s="47" t="inlineStr">
        <is>
          <t>Exxel Pacific Parsonage Subcontract</t>
        </is>
      </c>
    </row>
    <row r="13">
      <c r="B13" s="80" t="n">
        <v>8</v>
      </c>
      <c r="C13" s="49" t="inlineStr">
        <is>
          <t>project_type</t>
        </is>
      </c>
      <c r="D13" s="49" t="inlineStr">
        <is>
          <t>Project Type</t>
        </is>
      </c>
      <c r="E13" s="49" t="inlineStr">
        <is>
          <t>Multifamily Plumbing (New Construction)</t>
        </is>
      </c>
      <c r="F13" s="49" t="inlineStr">
        <is>
          <t>text</t>
        </is>
      </c>
      <c r="G13" s="49" t="inlineStr">
        <is>
          <t>Benchmark KPIs</t>
        </is>
      </c>
      <c r="H13" s="89" t="inlineStr">
        <is>
          <t>Verified</t>
        </is>
      </c>
      <c r="I13" s="49" t="inlineStr">
        <is>
          <t>Exxel Pacific Parsonage Proposal</t>
        </is>
      </c>
      <c r="J13" s="53" t="n"/>
    </row>
    <row r="14">
      <c r="B14" s="79" t="n">
        <v>9</v>
      </c>
      <c r="C14" s="47" t="inlineStr">
        <is>
          <t>start_date</t>
        </is>
      </c>
      <c r="D14" s="47" t="inlineStr">
        <is>
          <t>Work Start</t>
        </is>
      </c>
      <c r="E14" s="47" t="inlineStr">
        <is>
          <t>Per JDR PR/AR dates</t>
        </is>
      </c>
      <c r="F14" s="47" t="inlineStr">
        <is>
          <t>date</t>
        </is>
      </c>
      <c r="G14" s="47" t="inlineStr">
        <is>
          <t>Benchmark KPIs</t>
        </is>
      </c>
      <c r="H14" s="89" t="inlineStr">
        <is>
          <t>Verified</t>
        </is>
      </c>
      <c r="I14" s="47" t="inlineStr">
        <is>
          <t>2029 Job Detail Report.pdf (Sage Timberline, 04/03/2026, 190 pages)</t>
        </is>
      </c>
    </row>
    <row r="15">
      <c r="B15" s="80" t="n">
        <v>10</v>
      </c>
      <c r="C15" s="49" t="inlineStr">
        <is>
          <t>end_date</t>
        </is>
      </c>
      <c r="D15" s="49" t="inlineStr">
        <is>
          <t>Work End</t>
        </is>
      </c>
      <c r="E15" s="49" t="inlineStr">
        <is>
          <t>Per JDR PR/AR dates</t>
        </is>
      </c>
      <c r="F15" s="49" t="inlineStr">
        <is>
          <t>date</t>
        </is>
      </c>
      <c r="G15" s="49" t="inlineStr">
        <is>
          <t>Benchmark KPIs</t>
        </is>
      </c>
      <c r="H15" s="89" t="inlineStr">
        <is>
          <t>Verified</t>
        </is>
      </c>
      <c r="I15" s="49" t="inlineStr">
        <is>
          <t>2029 Job Detail Report.pdf (Sage Timberline, 04/03/2026, 190 pages)</t>
        </is>
      </c>
      <c r="J15" s="53" t="n"/>
    </row>
    <row r="16">
      <c r="B16" s="79" t="n">
        <v>11</v>
      </c>
      <c r="C16" s="47" t="inlineStr">
        <is>
          <t>duration_months</t>
        </is>
      </c>
      <c r="D16" s="47" t="inlineStr">
        <is>
          <t>Duration (months)</t>
        </is>
      </c>
      <c r="E16" s="47" t="inlineStr">
        <is>
          <t>Per JDR dates</t>
        </is>
      </c>
      <c r="F16" s="47" t="inlineStr">
        <is>
          <t>months</t>
        </is>
      </c>
      <c r="G16" s="47" t="inlineStr">
        <is>
          <t>Benchmark KPIs</t>
        </is>
      </c>
      <c r="H16" s="89" t="inlineStr">
        <is>
          <t>Verified</t>
        </is>
      </c>
      <c r="I16" s="84" t="inlineStr">
        <is>
          <t>Derived</t>
        </is>
      </c>
    </row>
    <row r="17">
      <c r="B17" s="80" t="n">
        <v>12</v>
      </c>
      <c r="C17" s="49" t="inlineStr">
        <is>
          <t>unit_count</t>
        </is>
      </c>
      <c r="D17" s="49" t="inlineStr">
        <is>
          <t>Unit Count</t>
        </is>
      </c>
      <c r="E17" s="80" t="n">
        <v>296</v>
      </c>
      <c r="F17" s="49" t="inlineStr">
        <is>
          <t>units</t>
        </is>
      </c>
      <c r="G17" s="49" t="inlineStr">
        <is>
          <t>Benchmark KPIs</t>
        </is>
      </c>
      <c r="H17" s="89" t="inlineStr">
        <is>
          <t>Verified</t>
        </is>
      </c>
      <c r="I17" s="49" t="inlineStr">
        <is>
          <t>Exxel Pacific Parsonage Proposal</t>
        </is>
      </c>
      <c r="J17" s="53" t="n"/>
    </row>
    <row r="18">
      <c r="B18" s="79" t="n">
        <v>13</v>
      </c>
      <c r="C18" s="47" t="inlineStr">
        <is>
          <t>ada_units</t>
        </is>
      </c>
      <c r="D18" s="47" t="inlineStr">
        <is>
          <t>ADA Type A Units</t>
        </is>
      </c>
      <c r="E18" s="47" t="inlineStr">
        <is>
          <t>Per design</t>
        </is>
      </c>
      <c r="F18" s="47" t="inlineStr">
        <is>
          <t>units</t>
        </is>
      </c>
      <c r="G18" s="47" t="inlineStr">
        <is>
          <t>Benchmark KPIs</t>
        </is>
      </c>
      <c r="H18" s="89" t="inlineStr">
        <is>
          <t>Verified</t>
        </is>
      </c>
      <c r="I18" s="47" t="inlineStr">
        <is>
          <t>Exxel Pacific Parsonage Proposal</t>
        </is>
      </c>
    </row>
    <row r="19">
      <c r="B19" s="80" t="n">
        <v>14</v>
      </c>
      <c r="C19" s="49" t="inlineStr">
        <is>
          <t>wc_count</t>
        </is>
      </c>
      <c r="D19" s="49" t="inlineStr">
        <is>
          <t>WC Fixture Count</t>
        </is>
      </c>
      <c r="E19" s="49" t="inlineStr">
        <is>
          <t>Per design</t>
        </is>
      </c>
      <c r="F19" s="49" t="inlineStr">
        <is>
          <t>count</t>
        </is>
      </c>
      <c r="G19" s="49" t="inlineStr">
        <is>
          <t>Benchmark KPIs</t>
        </is>
      </c>
      <c r="H19" s="89" t="inlineStr">
        <is>
          <t>Verified</t>
        </is>
      </c>
      <c r="I19" s="49" t="inlineStr">
        <is>
          <t>Exxel Pacific Parsonage Proposal</t>
        </is>
      </c>
      <c r="J19" s="53" t="n"/>
    </row>
    <row r="20">
      <c r="B20" s="79" t="n">
        <v>15</v>
      </c>
      <c r="C20" s="47" t="inlineStr">
        <is>
          <t>lav_count</t>
        </is>
      </c>
      <c r="D20" s="47" t="inlineStr">
        <is>
          <t>Lavatory Count</t>
        </is>
      </c>
      <c r="E20" s="47" t="inlineStr">
        <is>
          <t>Per design</t>
        </is>
      </c>
      <c r="F20" s="47" t="inlineStr">
        <is>
          <t>count</t>
        </is>
      </c>
      <c r="G20" s="47" t="inlineStr">
        <is>
          <t>Benchmark KPIs</t>
        </is>
      </c>
      <c r="H20" s="89" t="inlineStr">
        <is>
          <t>Verified</t>
        </is>
      </c>
      <c r="I20" s="47" t="inlineStr">
        <is>
          <t>Exxel Pacific Parsonage Proposal</t>
        </is>
      </c>
    </row>
    <row r="21">
      <c r="B21" s="80" t="n">
        <v>16</v>
      </c>
      <c r="C21" s="49" t="inlineStr">
        <is>
          <t>bath_count</t>
        </is>
      </c>
      <c r="D21" s="49" t="inlineStr">
        <is>
          <t>Bathing Fixture Count</t>
        </is>
      </c>
      <c r="E21" s="49" t="inlineStr">
        <is>
          <t>Per design</t>
        </is>
      </c>
      <c r="F21" s="49" t="inlineStr">
        <is>
          <t>count</t>
        </is>
      </c>
      <c r="G21" s="49" t="inlineStr">
        <is>
          <t>Benchmark KPIs</t>
        </is>
      </c>
      <c r="H21" s="89" t="inlineStr">
        <is>
          <t>Verified</t>
        </is>
      </c>
      <c r="I21" s="49" t="inlineStr">
        <is>
          <t>Exxel Pacific Parsonage Proposal</t>
        </is>
      </c>
      <c r="J21" s="53" t="n"/>
    </row>
    <row r="22">
      <c r="B22" s="79" t="n">
        <v>17</v>
      </c>
      <c r="C22" s="47" t="inlineStr">
        <is>
          <t>ks_count</t>
        </is>
      </c>
      <c r="D22" s="47" t="inlineStr">
        <is>
          <t>Kitchen Sink Count</t>
        </is>
      </c>
      <c r="E22" s="47" t="inlineStr">
        <is>
          <t>Per design</t>
        </is>
      </c>
      <c r="F22" s="47" t="inlineStr">
        <is>
          <t>count</t>
        </is>
      </c>
      <c r="G22" s="47" t="inlineStr">
        <is>
          <t>Benchmark KPIs</t>
        </is>
      </c>
      <c r="H22" s="89" t="inlineStr">
        <is>
          <t>Verified</t>
        </is>
      </c>
      <c r="I22" s="47" t="inlineStr">
        <is>
          <t>Exxel Pacific Parsonage Proposal</t>
        </is>
      </c>
    </row>
    <row r="23">
      <c r="B23" s="80" t="n">
        <v>18</v>
      </c>
      <c r="C23" s="49" t="inlineStr">
        <is>
          <t>contract_original</t>
        </is>
      </c>
      <c r="D23" s="49" t="inlineStr">
        <is>
          <t>Contract Original</t>
        </is>
      </c>
      <c r="E23" s="76" t="n">
        <v>1113220</v>
      </c>
      <c r="F23" s="49" t="inlineStr">
        <is>
          <t>USD</t>
        </is>
      </c>
      <c r="G23" s="49" t="inlineStr">
        <is>
          <t>Benchmark KPIs</t>
        </is>
      </c>
      <c r="H23" s="89" t="inlineStr">
        <is>
          <t>Verified</t>
        </is>
      </c>
      <c r="I23" s="49" t="inlineStr">
        <is>
          <t>Exxel Pacific Parsonage Subcontract</t>
        </is>
      </c>
      <c r="J23" s="53" t="n"/>
    </row>
    <row r="24">
      <c r="B24" s="79" t="n">
        <v>19</v>
      </c>
      <c r="C24" s="47" t="inlineStr">
        <is>
          <t>contract_final</t>
        </is>
      </c>
      <c r="D24" s="47" t="inlineStr">
        <is>
          <t>Contract Final</t>
        </is>
      </c>
      <c r="E24" s="55" t="n">
        <v>1123747</v>
      </c>
      <c r="F24" s="47" t="inlineStr">
        <is>
          <t>USD</t>
        </is>
      </c>
      <c r="G24" s="47" t="inlineStr">
        <is>
          <t>Benchmark KPIs</t>
        </is>
      </c>
      <c r="H24" s="89" t="inlineStr">
        <is>
          <t>Verified</t>
        </is>
      </c>
      <c r="I24" s="47" t="inlineStr">
        <is>
          <t>2029 Job Detail Report.pdf (Sage Timberline, 04/03/2026, 190 pages)</t>
        </is>
      </c>
    </row>
    <row r="25">
      <c r="B25" s="80" t="n">
        <v>20</v>
      </c>
      <c r="C25" s="49" t="inlineStr">
        <is>
          <t>change_orders_implied</t>
        </is>
      </c>
      <c r="D25" s="49" t="inlineStr">
        <is>
          <t>COs (implied)</t>
        </is>
      </c>
      <c r="E25" s="76" t="n">
        <v>10527</v>
      </c>
      <c r="F25" s="49" t="inlineStr">
        <is>
          <t>USD</t>
        </is>
      </c>
      <c r="G25" s="49" t="inlineStr">
        <is>
          <t>Benchmark KPIs</t>
        </is>
      </c>
      <c r="H25" s="89" t="inlineStr">
        <is>
          <t>Verified</t>
        </is>
      </c>
      <c r="I25" s="49" t="inlineStr">
        <is>
          <t>2029 Job Detail Report.pdf (Sage Timberline, 04/03/2026, 190 pages)</t>
        </is>
      </c>
      <c r="J25" s="53" t="n"/>
    </row>
    <row r="26">
      <c r="B26" s="79" t="n">
        <v>21</v>
      </c>
      <c r="C26" s="47" t="inlineStr">
        <is>
          <t>change_orders_documented</t>
        </is>
      </c>
      <c r="D26" s="47" t="inlineStr">
        <is>
          <t>COs (documented)</t>
        </is>
      </c>
      <c r="E26" s="55" t="n">
        <v>10527</v>
      </c>
      <c r="F26" s="47" t="inlineStr">
        <is>
          <t>USD</t>
        </is>
      </c>
      <c r="G26" s="47" t="inlineStr">
        <is>
          <t>Benchmark KPIs</t>
        </is>
      </c>
      <c r="H26" s="95" t="inlineStr">
        <is>
          <t>Medium</t>
        </is>
      </c>
      <c r="I26" s="47" t="inlineStr">
        <is>
          <t>CO folder</t>
        </is>
      </c>
    </row>
    <row r="27">
      <c r="B27" s="80" t="n">
        <v>22</v>
      </c>
      <c r="C27" s="49" t="inlineStr">
        <is>
          <t>co_count</t>
        </is>
      </c>
      <c r="D27" s="49" t="inlineStr">
        <is>
          <t>CO Count</t>
        </is>
      </c>
      <c r="E27" s="80" t="n">
        <v>6</v>
      </c>
      <c r="F27" s="49" t="inlineStr">
        <is>
          <t>count</t>
        </is>
      </c>
      <c r="G27" s="49" t="inlineStr">
        <is>
          <t>Change Log</t>
        </is>
      </c>
      <c r="H27" s="89" t="inlineStr">
        <is>
          <t>Verified</t>
        </is>
      </c>
      <c r="I27" s="49" t="inlineStr">
        <is>
          <t>CO folder</t>
        </is>
      </c>
      <c r="J27" s="53" t="n"/>
    </row>
    <row r="28">
      <c r="B28" s="79" t="n">
        <v>23</v>
      </c>
      <c r="C28" s="47" t="inlineStr">
        <is>
          <t>co_pct</t>
        </is>
      </c>
      <c r="D28" s="47" t="inlineStr">
        <is>
          <t>CO % of Contract</t>
        </is>
      </c>
      <c r="E28" s="93" t="n">
        <v>0.009456351844199708</v>
      </c>
      <c r="F28" s="47" t="inlineStr">
        <is>
          <t>%</t>
        </is>
      </c>
      <c r="G28" s="47" t="inlineStr">
        <is>
          <t>Benchmark KPIs</t>
        </is>
      </c>
      <c r="H28" s="89" t="inlineStr">
        <is>
          <t>Verified</t>
        </is>
      </c>
      <c r="I28" s="84" t="inlineStr">
        <is>
          <t>Derived</t>
        </is>
      </c>
    </row>
    <row r="29">
      <c r="B29" s="80" t="n">
        <v>24</v>
      </c>
      <c r="C29" s="49" t="inlineStr">
        <is>
          <t>revenue</t>
        </is>
      </c>
      <c r="D29" s="49" t="inlineStr">
        <is>
          <t>Revenue</t>
        </is>
      </c>
      <c r="E29" s="76" t="n">
        <v>1123747</v>
      </c>
      <c r="F29" s="49" t="inlineStr">
        <is>
          <t>USD</t>
        </is>
      </c>
      <c r="G29" s="49" t="inlineStr">
        <is>
          <t>Benchmark KPIs</t>
        </is>
      </c>
      <c r="H29" s="89" t="inlineStr">
        <is>
          <t>Verified</t>
        </is>
      </c>
      <c r="I29" s="49" t="inlineStr">
        <is>
          <t>2029 Job Detail Report.pdf (Sage Timberline, 04/03/2026, 190 pages)</t>
        </is>
      </c>
      <c r="J29" s="53" t="n"/>
    </row>
    <row r="30">
      <c r="B30" s="79" t="n">
        <v>25</v>
      </c>
      <c r="C30" s="47" t="inlineStr">
        <is>
          <t>direct_cost</t>
        </is>
      </c>
      <c r="D30" s="47" t="inlineStr">
        <is>
          <t>Direct Cost</t>
        </is>
      </c>
      <c r="E30" s="55" t="n">
        <v>563588.99</v>
      </c>
      <c r="F30" s="47" t="inlineStr">
        <is>
          <t>USD</t>
        </is>
      </c>
      <c r="G30" s="47" t="inlineStr">
        <is>
          <t>Benchmark KPIs</t>
        </is>
      </c>
      <c r="H30" s="89" t="inlineStr">
        <is>
          <t>Verified</t>
        </is>
      </c>
      <c r="I30" s="47" t="inlineStr">
        <is>
          <t>2029 Job Detail Report.pdf (Sage Timberline, 04/03/2026, 190 pages)</t>
        </is>
      </c>
    </row>
    <row r="31">
      <c r="B31" s="80" t="n">
        <v>26</v>
      </c>
      <c r="C31" s="49" t="inlineStr">
        <is>
          <t>net_profit</t>
        </is>
      </c>
      <c r="D31" s="49" t="inlineStr">
        <is>
          <t>Net Profit</t>
        </is>
      </c>
      <c r="E31" s="76" t="n">
        <v>560158.01</v>
      </c>
      <c r="F31" s="49" t="inlineStr">
        <is>
          <t>USD</t>
        </is>
      </c>
      <c r="G31" s="49" t="inlineStr">
        <is>
          <t>Benchmark KPIs</t>
        </is>
      </c>
      <c r="H31" s="89" t="inlineStr">
        <is>
          <t>Verified</t>
        </is>
      </c>
      <c r="I31" s="49" t="inlineStr">
        <is>
          <t>2029 Job Detail Report.pdf (Sage Timberline, 04/03/2026, 190 pages)</t>
        </is>
      </c>
      <c r="J31" s="53" t="n"/>
    </row>
    <row r="32">
      <c r="B32" s="79" t="n">
        <v>27</v>
      </c>
      <c r="C32" s="47" t="inlineStr">
        <is>
          <t>gross_margin</t>
        </is>
      </c>
      <c r="D32" s="47" t="inlineStr">
        <is>
          <t>Gross Margin</t>
        </is>
      </c>
      <c r="E32" s="93" t="n">
        <v>0.498473419728818</v>
      </c>
      <c r="F32" s="47" t="inlineStr">
        <is>
          <t>%</t>
        </is>
      </c>
      <c r="G32" s="47" t="inlineStr">
        <is>
          <t>Benchmark KPIs</t>
        </is>
      </c>
      <c r="H32" s="89" t="inlineStr">
        <is>
          <t>Verified</t>
        </is>
      </c>
      <c r="I32" s="84" t="inlineStr">
        <is>
          <t>Derived</t>
        </is>
      </c>
    </row>
    <row r="33">
      <c r="B33" s="80" t="n">
        <v>28</v>
      </c>
      <c r="C33" s="49" t="inlineStr">
        <is>
          <t>retainage</t>
        </is>
      </c>
      <c r="D33" s="49" t="inlineStr">
        <is>
          <t>Retainage Outstanding</t>
        </is>
      </c>
      <c r="E33" s="76" t="n">
        <v>56289.55</v>
      </c>
      <c r="F33" s="49" t="inlineStr">
        <is>
          <t>USD</t>
        </is>
      </c>
      <c r="G33" s="49" t="inlineStr">
        <is>
          <t>Benchmark KPIs</t>
        </is>
      </c>
      <c r="H33" s="89" t="inlineStr">
        <is>
          <t>Verified</t>
        </is>
      </c>
      <c r="I33" s="49" t="inlineStr">
        <is>
          <t>2029 Job Detail Report.pdf (Sage Timberline, 04/03/2026, 190 pages)</t>
        </is>
      </c>
      <c r="J33" s="53" t="n"/>
    </row>
    <row r="34">
      <c r="B34" s="79" t="n">
        <v>29</v>
      </c>
      <c r="C34" s="47" t="inlineStr">
        <is>
          <t>retainage_pct</t>
        </is>
      </c>
      <c r="D34" s="47" t="inlineStr">
        <is>
          <t>Retainage % of Revenue</t>
        </is>
      </c>
      <c r="E34" s="93" t="n">
        <v>0.05009094573778618</v>
      </c>
      <c r="F34" s="47" t="inlineStr">
        <is>
          <t>%</t>
        </is>
      </c>
      <c r="G34" s="47" t="inlineStr">
        <is>
          <t>Benchmark KPIs</t>
        </is>
      </c>
      <c r="H34" s="89" t="inlineStr">
        <is>
          <t>Verified</t>
        </is>
      </c>
      <c r="I34" s="84" t="inlineStr">
        <is>
          <t>Derived</t>
        </is>
      </c>
    </row>
    <row r="35">
      <c r="B35" s="80" t="n">
        <v>30</v>
      </c>
      <c r="C35" s="49" t="inlineStr">
        <is>
          <t>labor_cost</t>
        </is>
      </c>
      <c r="D35" s="49" t="inlineStr">
        <is>
          <t>Labor Cost</t>
        </is>
      </c>
      <c r="E35" s="76" t="n">
        <v>188045.5</v>
      </c>
      <c r="F35" s="49" t="inlineStr">
        <is>
          <t>USD</t>
        </is>
      </c>
      <c r="G35" s="49" t="inlineStr">
        <is>
          <t>Benchmark KPIs</t>
        </is>
      </c>
      <c r="H35" s="89" t="inlineStr">
        <is>
          <t>Verified</t>
        </is>
      </c>
      <c r="I35" s="49" t="inlineStr">
        <is>
          <t>2029 Job Detail Report.pdf (Sage Timberline, 04/03/2026, 190 pages)</t>
        </is>
      </c>
      <c r="J35" s="53" t="n"/>
    </row>
    <row r="36">
      <c r="B36" s="79" t="n">
        <v>31</v>
      </c>
      <c r="C36" s="47" t="inlineStr">
        <is>
          <t>material_cost</t>
        </is>
      </c>
      <c r="D36" s="47" t="inlineStr">
        <is>
          <t>Material Cost</t>
        </is>
      </c>
      <c r="E36" s="55" t="n">
        <v>242874.9</v>
      </c>
      <c r="F36" s="47" t="inlineStr">
        <is>
          <t>USD</t>
        </is>
      </c>
      <c r="G36" s="47" t="inlineStr">
        <is>
          <t>Benchmark KPIs</t>
        </is>
      </c>
      <c r="H36" s="89" t="inlineStr">
        <is>
          <t>Verified</t>
        </is>
      </c>
      <c r="I36" s="47" t="inlineStr">
        <is>
          <t>2029 Job Detail Report.pdf (Sage Timberline, 04/03/2026, 190 pages)</t>
        </is>
      </c>
    </row>
    <row r="37">
      <c r="B37" s="80" t="n">
        <v>32</v>
      </c>
      <c r="C37" s="49" t="inlineStr">
        <is>
          <t>overhead_cost</t>
        </is>
      </c>
      <c r="D37" s="49" t="inlineStr">
        <is>
          <t>Subcon+OH Cost</t>
        </is>
      </c>
      <c r="E37" s="76" t="n">
        <v>34886.41</v>
      </c>
      <c r="F37" s="49" t="inlineStr">
        <is>
          <t>USD</t>
        </is>
      </c>
      <c r="G37" s="49" t="inlineStr">
        <is>
          <t>Benchmark KPIs</t>
        </is>
      </c>
      <c r="H37" s="89" t="inlineStr">
        <is>
          <t>Verified</t>
        </is>
      </c>
      <c r="I37" s="49" t="inlineStr">
        <is>
          <t>2029 Job Detail Report.pdf (Sage Timberline, 04/03/2026, 190 pages)</t>
        </is>
      </c>
      <c r="J37" s="53" t="n"/>
    </row>
    <row r="38">
      <c r="B38" s="79" t="n">
        <v>33</v>
      </c>
      <c r="C38" s="47" t="inlineStr">
        <is>
          <t>burden_cost</t>
        </is>
      </c>
      <c r="D38" s="47" t="inlineStr">
        <is>
          <t>Burden Cost</t>
        </is>
      </c>
      <c r="E38" s="55" t="n">
        <v>83396.48</v>
      </c>
      <c r="F38" s="47" t="inlineStr">
        <is>
          <t>USD</t>
        </is>
      </c>
      <c r="G38" s="47" t="inlineStr">
        <is>
          <t>Benchmark KPIs</t>
        </is>
      </c>
      <c r="H38" s="89" t="inlineStr">
        <is>
          <t>Verified</t>
        </is>
      </c>
      <c r="I38" s="47" t="inlineStr">
        <is>
          <t>2029 Job Detail Report.pdf (Sage Timberline, 04/03/2026, 190 pages)</t>
        </is>
      </c>
    </row>
    <row r="39">
      <c r="B39" s="80" t="n">
        <v>34</v>
      </c>
      <c r="C39" s="49" t="inlineStr">
        <is>
          <t>tax_cost</t>
        </is>
      </c>
      <c r="D39" s="49" t="inlineStr">
        <is>
          <t>Tax Cost</t>
        </is>
      </c>
      <c r="E39" s="76" t="n">
        <v>14385.7</v>
      </c>
      <c r="F39" s="49" t="inlineStr">
        <is>
          <t>USD</t>
        </is>
      </c>
      <c r="G39" s="49" t="inlineStr">
        <is>
          <t>Benchmark KPIs</t>
        </is>
      </c>
      <c r="H39" s="89" t="inlineStr">
        <is>
          <t>Verified</t>
        </is>
      </c>
      <c r="I39" s="49" t="inlineStr">
        <is>
          <t>2029 Job Detail Report.pdf (Sage Timberline, 04/03/2026, 190 pages)</t>
        </is>
      </c>
      <c r="J39" s="53" t="n"/>
    </row>
    <row r="40">
      <c r="B40" s="79" t="n">
        <v>35</v>
      </c>
      <c r="C40" s="47" t="inlineStr">
        <is>
          <t>total_hours</t>
        </is>
      </c>
      <c r="D40" s="47" t="inlineStr">
        <is>
          <t>Total Labor Hours</t>
        </is>
      </c>
      <c r="E40" s="56" t="n">
        <v>7596</v>
      </c>
      <c r="F40" s="47" t="inlineStr">
        <is>
          <t>hours</t>
        </is>
      </c>
      <c r="G40" s="47" t="inlineStr">
        <is>
          <t>Benchmark KPIs</t>
        </is>
      </c>
      <c r="H40" s="89" t="inlineStr">
        <is>
          <t>Verified</t>
        </is>
      </c>
      <c r="I40" s="47" t="inlineStr">
        <is>
          <t>2029 Job Detail Report.pdf (Sage Timberline, 04/03/2026, 190 pages)</t>
        </is>
      </c>
    </row>
    <row r="41">
      <c r="B41" s="80" t="n">
        <v>36</v>
      </c>
      <c r="C41" s="49" t="inlineStr">
        <is>
          <t>total_workers</t>
        </is>
      </c>
      <c r="D41" s="49" t="inlineStr">
        <is>
          <t>Total Workers</t>
        </is>
      </c>
      <c r="E41" s="80" t="n">
        <v>21</v>
      </c>
      <c r="F41" s="49" t="inlineStr">
        <is>
          <t>count</t>
        </is>
      </c>
      <c r="G41" s="49" t="inlineStr">
        <is>
          <t>Benchmark KPIs</t>
        </is>
      </c>
      <c r="H41" s="89" t="inlineStr">
        <is>
          <t>Verified</t>
        </is>
      </c>
      <c r="I41" s="49" t="inlineStr">
        <is>
          <t>2029 Job Detail Report.pdf (Sage Timberline, 04/03/2026, 190 pages)</t>
        </is>
      </c>
      <c r="J41" s="53" t="n"/>
    </row>
    <row r="42">
      <c r="B42" s="79" t="n">
        <v>37</v>
      </c>
      <c r="C42" s="47" t="inlineStr">
        <is>
          <t>blended_gross_wage</t>
        </is>
      </c>
      <c r="D42" s="47" t="inlineStr">
        <is>
          <t>Blended Gross Wage</t>
        </is>
      </c>
      <c r="E42" s="55" t="n">
        <v>24.75585834649816</v>
      </c>
      <c r="F42" s="47" t="inlineStr">
        <is>
          <t>USD/hr</t>
        </is>
      </c>
      <c r="G42" s="47" t="inlineStr">
        <is>
          <t>Benchmark KPIs</t>
        </is>
      </c>
      <c r="H42" s="89" t="inlineStr">
        <is>
          <t>Verified</t>
        </is>
      </c>
      <c r="I42" s="84" t="inlineStr">
        <is>
          <t>Derived</t>
        </is>
      </c>
    </row>
    <row r="43">
      <c r="B43" s="80" t="n">
        <v>38</v>
      </c>
      <c r="C43" s="49" t="inlineStr">
        <is>
          <t>fully_loaded_wage</t>
        </is>
      </c>
      <c r="D43" s="49" t="inlineStr">
        <is>
          <t>Fully-Loaded Wage</t>
        </is>
      </c>
      <c r="E43" s="76" t="n">
        <v>37.62870984728804</v>
      </c>
      <c r="F43" s="49" t="inlineStr">
        <is>
          <t>USD/hr</t>
        </is>
      </c>
      <c r="G43" s="49" t="inlineStr">
        <is>
          <t>Benchmark KPIs</t>
        </is>
      </c>
      <c r="H43" s="89" t="inlineStr">
        <is>
          <t>Verified</t>
        </is>
      </c>
      <c r="I43" s="84" t="inlineStr">
        <is>
          <t>Derived</t>
        </is>
      </c>
      <c r="J43" s="53" t="n"/>
    </row>
    <row r="44">
      <c r="B44" s="79" t="n">
        <v>39</v>
      </c>
      <c r="C44" s="47" t="inlineStr">
        <is>
          <t>burden_multiplier</t>
        </is>
      </c>
      <c r="D44" s="47" t="inlineStr">
        <is>
          <t>Burden Multiplier</t>
        </is>
      </c>
      <c r="E44" s="98" t="n">
        <v>1.519992129564387</v>
      </c>
      <c r="F44" s="47" t="inlineStr">
        <is>
          <t>x</t>
        </is>
      </c>
      <c r="G44" s="47" t="inlineStr">
        <is>
          <t>Benchmark KPIs</t>
        </is>
      </c>
      <c r="H44" s="89" t="inlineStr">
        <is>
          <t>Verified</t>
        </is>
      </c>
      <c r="I44" s="84" t="inlineStr">
        <is>
          <t>Derived</t>
        </is>
      </c>
    </row>
    <row r="45">
      <c r="B45" s="80" t="n">
        <v>40</v>
      </c>
      <c r="C45" s="49" t="inlineStr">
        <is>
          <t>revenue_per_hour</t>
        </is>
      </c>
      <c r="D45" s="49" t="inlineStr">
        <is>
          <t>Revenue per Hour</t>
        </is>
      </c>
      <c r="E45" s="76" t="n">
        <v>147.9393101632438</v>
      </c>
      <c r="F45" s="49" t="inlineStr">
        <is>
          <t>USD/hr</t>
        </is>
      </c>
      <c r="G45" s="49" t="inlineStr">
        <is>
          <t>Benchmark KPIs</t>
        </is>
      </c>
      <c r="H45" s="89" t="inlineStr">
        <is>
          <t>Verified</t>
        </is>
      </c>
      <c r="I45" s="84" t="inlineStr">
        <is>
          <t>Derived</t>
        </is>
      </c>
      <c r="J45" s="53" t="n"/>
    </row>
    <row r="46">
      <c r="B46" s="79" t="n">
        <v>41</v>
      </c>
      <c r="C46" s="47" t="inlineStr">
        <is>
          <t>profit_per_hour</t>
        </is>
      </c>
      <c r="D46" s="47" t="inlineStr">
        <is>
          <t>Profit per Hour</t>
        </is>
      </c>
      <c r="E46" s="55" t="n">
        <v>73.74381384939441</v>
      </c>
      <c r="F46" s="47" t="inlineStr">
        <is>
          <t>USD/hr</t>
        </is>
      </c>
      <c r="G46" s="47" t="inlineStr">
        <is>
          <t>Benchmark KPIs</t>
        </is>
      </c>
      <c r="H46" s="89" t="inlineStr">
        <is>
          <t>Verified</t>
        </is>
      </c>
      <c r="I46" s="84" t="inlineStr">
        <is>
          <t>Derived</t>
        </is>
      </c>
    </row>
    <row r="47">
      <c r="B47" s="80" t="n">
        <v>42</v>
      </c>
      <c r="C47" s="49" t="inlineStr">
        <is>
          <t>revenue_per_unit</t>
        </is>
      </c>
      <c r="D47" s="49" t="inlineStr">
        <is>
          <t>Revenue per Unit</t>
        </is>
      </c>
      <c r="E47" s="76" t="n">
        <v>12214.64130434783</v>
      </c>
      <c r="F47" s="49" t="inlineStr">
        <is>
          <t>USD</t>
        </is>
      </c>
      <c r="G47" s="49" t="inlineStr">
        <is>
          <t>Benchmark KPIs</t>
        </is>
      </c>
      <c r="H47" s="89" t="inlineStr">
        <is>
          <t>Verified</t>
        </is>
      </c>
      <c r="I47" s="84" t="inlineStr">
        <is>
          <t>Derived</t>
        </is>
      </c>
      <c r="J47" s="53" t="n"/>
    </row>
    <row r="48">
      <c r="B48" s="79" t="n">
        <v>43</v>
      </c>
      <c r="C48" s="47" t="inlineStr">
        <is>
          <t>cost_per_unit</t>
        </is>
      </c>
      <c r="D48" s="47" t="inlineStr">
        <is>
          <t>Direct Cost per Unit</t>
        </is>
      </c>
      <c r="E48" s="55" t="n">
        <v>6125.967282608695</v>
      </c>
      <c r="F48" s="47" t="inlineStr">
        <is>
          <t>USD</t>
        </is>
      </c>
      <c r="G48" s="47" t="inlineStr">
        <is>
          <t>Benchmark KPIs</t>
        </is>
      </c>
      <c r="H48" s="89" t="inlineStr">
        <is>
          <t>Verified</t>
        </is>
      </c>
      <c r="I48" s="84" t="inlineStr">
        <is>
          <t>Derived</t>
        </is>
      </c>
    </row>
    <row r="49">
      <c r="B49" s="80" t="n">
        <v>44</v>
      </c>
      <c r="C49" s="49" t="inlineStr">
        <is>
          <t>hours_per_unit</t>
        </is>
      </c>
      <c r="D49" s="49" t="inlineStr">
        <is>
          <t>Labor Hours per Unit</t>
        </is>
      </c>
      <c r="E49" s="72" t="n">
        <v>82.56521739130434</v>
      </c>
      <c r="F49" s="49" t="inlineStr">
        <is>
          <t>hours</t>
        </is>
      </c>
      <c r="G49" s="49" t="inlineStr">
        <is>
          <t>Benchmark KPIs</t>
        </is>
      </c>
      <c r="H49" s="89" t="inlineStr">
        <is>
          <t>Verified</t>
        </is>
      </c>
      <c r="I49" s="84" t="inlineStr">
        <is>
          <t>Derived</t>
        </is>
      </c>
      <c r="J49" s="53" t="n"/>
    </row>
    <row r="50">
      <c r="B50" s="79" t="n">
        <v>45</v>
      </c>
      <c r="C50" s="47" t="inlineStr">
        <is>
          <t>labor_pct_revenue</t>
        </is>
      </c>
      <c r="D50" s="47" t="inlineStr">
        <is>
          <t>Labor % of Revenue</t>
        </is>
      </c>
      <c r="E50" s="93" t="n">
        <v>0.167337932826517</v>
      </c>
      <c r="F50" s="47" t="inlineStr">
        <is>
          <t>%</t>
        </is>
      </c>
      <c r="G50" s="47" t="inlineStr">
        <is>
          <t>Benchmark KPIs</t>
        </is>
      </c>
      <c r="H50" s="89" t="inlineStr">
        <is>
          <t>Verified</t>
        </is>
      </c>
      <c r="I50" s="84" t="inlineStr">
        <is>
          <t>Derived</t>
        </is>
      </c>
    </row>
    <row r="51">
      <c r="B51" s="80" t="n">
        <v>46</v>
      </c>
      <c r="C51" s="49" t="inlineStr">
        <is>
          <t>material_pct_revenue</t>
        </is>
      </c>
      <c r="D51" s="49" t="inlineStr">
        <is>
          <t>Material % of Revenue</t>
        </is>
      </c>
      <c r="E51" s="90" t="n">
        <v>0.2161295202567838</v>
      </c>
      <c r="F51" s="49" t="inlineStr">
        <is>
          <t>%</t>
        </is>
      </c>
      <c r="G51" s="49" t="inlineStr">
        <is>
          <t>Benchmark KPIs</t>
        </is>
      </c>
      <c r="H51" s="89" t="inlineStr">
        <is>
          <t>Verified</t>
        </is>
      </c>
      <c r="I51" s="84" t="inlineStr">
        <is>
          <t>Derived</t>
        </is>
      </c>
      <c r="J51" s="53" t="n"/>
    </row>
    <row r="52">
      <c r="B52" s="79" t="n">
        <v>47</v>
      </c>
      <c r="C52" s="47" t="inlineStr">
        <is>
          <t>total_vendors</t>
        </is>
      </c>
      <c r="D52" s="47" t="inlineStr">
        <is>
          <t>Total Vendors (AP)</t>
        </is>
      </c>
      <c r="E52" s="79" t="n">
        <v>15</v>
      </c>
      <c r="F52" s="47" t="inlineStr">
        <is>
          <t>count</t>
        </is>
      </c>
      <c r="G52" s="47" t="inlineStr">
        <is>
          <t>Vendors</t>
        </is>
      </c>
      <c r="H52" s="89" t="inlineStr">
        <is>
          <t>Verified</t>
        </is>
      </c>
      <c r="I52" s="47" t="inlineStr">
        <is>
          <t>2029 Job Detail Report.pdf (Sage Timberline, 04/03/2026, 190 pages)</t>
        </is>
      </c>
    </row>
    <row r="53">
      <c r="B53" s="80" t="n">
        <v>48</v>
      </c>
      <c r="C53" s="49" t="inlineStr">
        <is>
          <t>total_invoices</t>
        </is>
      </c>
      <c r="D53" s="49" t="inlineStr">
        <is>
          <t>Total Invoices (AR)</t>
        </is>
      </c>
      <c r="E53" s="80" t="n">
        <v>17</v>
      </c>
      <c r="F53" s="49" t="inlineStr">
        <is>
          <t>count</t>
        </is>
      </c>
      <c r="G53" s="49" t="inlineStr">
        <is>
          <t>Billing &amp; SOV</t>
        </is>
      </c>
      <c r="H53" s="89" t="inlineStr">
        <is>
          <t>Verified</t>
        </is>
      </c>
      <c r="I53" s="49" t="inlineStr">
        <is>
          <t>2029 Job Detail Report.pdf (Sage Timberline, 04/03/2026, 190 pages)</t>
        </is>
      </c>
      <c r="J53" s="53" t="n"/>
    </row>
    <row r="54">
      <c r="B54" s="79" t="n">
        <v>49</v>
      </c>
      <c r="C54" s="47" t="inlineStr">
        <is>
          <t>rfi_count</t>
        </is>
      </c>
      <c r="D54" s="47" t="inlineStr">
        <is>
          <t>RFI Count</t>
        </is>
      </c>
      <c r="E54" s="79" t="n">
        <v>30</v>
      </c>
      <c r="F54" s="47" t="inlineStr">
        <is>
          <t>count</t>
        </is>
      </c>
      <c r="G54" s="47" t="inlineStr">
        <is>
          <t>Change Log</t>
        </is>
      </c>
      <c r="H54" s="89" t="inlineStr">
        <is>
          <t>Verified</t>
        </is>
      </c>
      <c r="I54" s="47" t="inlineStr">
        <is>
          <t>ASI-RFI + Dropbox</t>
        </is>
      </c>
    </row>
    <row r="55">
      <c r="B55" s="80" t="n">
        <v>50</v>
      </c>
      <c r="C55" s="49" t="inlineStr">
        <is>
          <t>asi_count</t>
        </is>
      </c>
      <c r="D55" s="49" t="inlineStr">
        <is>
          <t>ASI Count</t>
        </is>
      </c>
      <c r="E55" s="80" t="n">
        <v>1</v>
      </c>
      <c r="F55" s="49" t="inlineStr">
        <is>
          <t>count</t>
        </is>
      </c>
      <c r="G55" s="49" t="inlineStr">
        <is>
          <t>Change Log</t>
        </is>
      </c>
      <c r="H55" s="89" t="inlineStr">
        <is>
          <t>Verified</t>
        </is>
      </c>
      <c r="I55" s="49" t="inlineStr">
        <is>
          <t>ASI-RFI</t>
        </is>
      </c>
      <c r="J55" s="53" t="n"/>
    </row>
    <row r="56">
      <c r="B56" s="79" t="n">
        <v>51</v>
      </c>
      <c r="C56" s="47" t="inlineStr">
        <is>
          <t>submittal_count</t>
        </is>
      </c>
      <c r="D56" s="47" t="inlineStr">
        <is>
          <t>Submittal Count</t>
        </is>
      </c>
      <c r="E56" s="79" t="n">
        <v>30</v>
      </c>
      <c r="F56" s="47" t="inlineStr">
        <is>
          <t>count</t>
        </is>
      </c>
      <c r="G56" s="47" t="inlineStr">
        <is>
          <t>Change Log</t>
        </is>
      </c>
      <c r="H56" s="89" t="inlineStr">
        <is>
          <t>Verified</t>
        </is>
      </c>
      <c r="I56" s="47" t="inlineStr">
        <is>
          <t>Submittals</t>
        </is>
      </c>
    </row>
    <row r="57">
      <c r="B57" s="80" t="n">
        <v>52</v>
      </c>
      <c r="C57" s="49" t="inlineStr">
        <is>
          <t>permit_count</t>
        </is>
      </c>
      <c r="D57" s="49" t="inlineStr">
        <is>
          <t>Permit Count</t>
        </is>
      </c>
      <c r="E57" s="80" t="n">
        <v>6</v>
      </c>
      <c r="F57" s="49" t="inlineStr">
        <is>
          <t>count</t>
        </is>
      </c>
      <c r="G57" s="49" t="inlineStr">
        <is>
          <t>Change Log</t>
        </is>
      </c>
      <c r="H57" s="89" t="inlineStr">
        <is>
          <t>Verified</t>
        </is>
      </c>
      <c r="I57" s="49" t="inlineStr">
        <is>
          <t>Permits</t>
        </is>
      </c>
      <c r="J57" s="53" t="n"/>
    </row>
    <row r="58">
      <c r="B58" s="79" t="n">
        <v>53</v>
      </c>
      <c r="C58" s="47" t="inlineStr">
        <is>
          <t>po_count</t>
        </is>
      </c>
      <c r="D58" s="47" t="inlineStr">
        <is>
          <t>PO Count</t>
        </is>
      </c>
      <c r="E58" s="79" t="n">
        <v>82</v>
      </c>
      <c r="F58" s="47" t="inlineStr">
        <is>
          <t>count</t>
        </is>
      </c>
      <c r="G58" s="47" t="inlineStr">
        <is>
          <t>Change Log</t>
        </is>
      </c>
      <c r="H58" s="89" t="inlineStr">
        <is>
          <t>Verified</t>
        </is>
      </c>
      <c r="I58" s="47" t="inlineStr">
        <is>
          <t>POs</t>
        </is>
      </c>
    </row>
    <row r="59">
      <c r="B59" s="80" t="n">
        <v>54</v>
      </c>
      <c r="C59" s="49" t="inlineStr">
        <is>
          <t>top_worker_hours_share</t>
        </is>
      </c>
      <c r="D59" s="49" t="inlineStr">
        <is>
          <t>Top Worker Hours Share</t>
        </is>
      </c>
      <c r="E59" s="90" t="n">
        <v>0.207345971563981</v>
      </c>
      <c r="F59" s="49" t="inlineStr">
        <is>
          <t>%</t>
        </is>
      </c>
      <c r="G59" s="49" t="inlineStr">
        <is>
          <t>Crew Analytics</t>
        </is>
      </c>
      <c r="H59" s="89" t="inlineStr">
        <is>
          <t>Verified</t>
        </is>
      </c>
      <c r="I59" s="84" t="inlineStr">
        <is>
          <t>Derived</t>
        </is>
      </c>
      <c r="J59" s="53" t="n"/>
    </row>
    <row r="60">
      <c r="B60" s="79" t="n">
        <v>55</v>
      </c>
      <c r="C60" s="47" t="inlineStr">
        <is>
          <t>top5_worker_hours_share</t>
        </is>
      </c>
      <c r="D60" s="47" t="inlineStr">
        <is>
          <t>Top 5 Worker Hours Share</t>
        </is>
      </c>
      <c r="E60" s="93" t="n">
        <v>0.7010268562401264</v>
      </c>
      <c r="F60" s="47" t="inlineStr">
        <is>
          <t>%</t>
        </is>
      </c>
      <c r="G60" s="47" t="inlineStr">
        <is>
          <t>Crew Analytics</t>
        </is>
      </c>
      <c r="H60" s="89" t="inlineStr">
        <is>
          <t>Verified</t>
        </is>
      </c>
      <c r="I60" s="84" t="inlineStr">
        <is>
          <t>Derived</t>
        </is>
      </c>
    </row>
    <row r="61">
      <c r="B61" s="80" t="n">
        <v>56</v>
      </c>
      <c r="C61" s="49" t="inlineStr">
        <is>
          <t>cost_code_count</t>
        </is>
      </c>
      <c r="D61" s="49" t="inlineStr">
        <is>
          <t>Cost Codes Active</t>
        </is>
      </c>
      <c r="E61" s="80" t="n">
        <v>27</v>
      </c>
      <c r="F61" s="49" t="inlineStr">
        <is>
          <t>count</t>
        </is>
      </c>
      <c r="G61" s="49" t="inlineStr">
        <is>
          <t>Budget vs Actual</t>
        </is>
      </c>
      <c r="H61" s="89" t="inlineStr">
        <is>
          <t>Verified</t>
        </is>
      </c>
      <c r="I61" s="49" t="inlineStr">
        <is>
          <t>2029 Job Detail Report.pdf (Sage Timberline, 04/03/2026, 190 pages)</t>
        </is>
      </c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Reconciliation</t>
        </is>
      </c>
    </row>
    <row r="3" ht="22" customHeight="1">
      <c r="B3" s="43" t="inlineStr">
        <is>
          <t>Cross-sheet formula checks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79" t="n">
        <v>1</v>
      </c>
      <c r="C6" s="47" t="inlineStr">
        <is>
          <t>Revenue (JDR) = Contract Final</t>
        </is>
      </c>
      <c r="D6" s="55" t="n">
        <v>1123747</v>
      </c>
      <c r="E6" s="55" t="n">
        <v>1123747</v>
      </c>
      <c r="F6" s="67">
        <f>D6-E6</f>
        <v/>
      </c>
      <c r="G6" s="47">
        <f>IF(ABS(F6)&lt;=1,"TIES",IF(ABS(F6)&lt;=ABS(E6)*0.05,"WITHIN","OFF"))</f>
        <v/>
      </c>
      <c r="H6" s="47" t="inlineStr">
        <is>
          <t>1↔8</t>
        </is>
      </c>
    </row>
    <row r="7">
      <c r="B7" s="80" t="n">
        <v>2</v>
      </c>
      <c r="C7" s="49" t="inlineStr">
        <is>
          <t>Expenses = Labor+Material+OH+Burden+Tax</t>
        </is>
      </c>
      <c r="D7" s="76" t="n">
        <v>563588.99</v>
      </c>
      <c r="E7" s="76" t="n">
        <v>563588.99</v>
      </c>
      <c r="F7" s="70">
        <f>D7-E7</f>
        <v/>
      </c>
      <c r="G7" s="49">
        <f>IF(ABS(F7)&lt;=1,"TIES",IF(ABS(F7)&lt;=ABS(E7)*0.05,"WITHIN","OFF"))</f>
        <v/>
      </c>
      <c r="H7" s="49" t="inlineStr">
        <is>
          <t>1↔3</t>
        </is>
      </c>
      <c r="I7" s="53" t="n"/>
      <c r="J7" s="53" t="n"/>
    </row>
    <row r="8">
      <c r="B8" s="79" t="n">
        <v>3</v>
      </c>
      <c r="C8" s="47" t="inlineStr">
        <is>
          <t>Net Profit = Revenue - Expenses</t>
        </is>
      </c>
      <c r="D8" s="55" t="n">
        <v>560158.01</v>
      </c>
      <c r="E8" s="55" t="n">
        <v>560158.01</v>
      </c>
      <c r="F8" s="67">
        <f>D8-E8</f>
        <v/>
      </c>
      <c r="G8" s="47">
        <f>IF(ABS(F8)&lt;=1,"TIES",IF(ABS(F8)&lt;=ABS(E8)*0.05,"WITHIN","OFF"))</f>
        <v/>
      </c>
      <c r="H8" s="47" t="inlineStr">
        <is>
          <t>1↔Derived</t>
        </is>
      </c>
    </row>
    <row r="9">
      <c r="B9" s="80" t="n">
        <v>4</v>
      </c>
      <c r="C9" s="49" t="inlineStr">
        <is>
          <t>JDR Source: AP+PR+GL = Expenses</t>
        </is>
      </c>
      <c r="D9" s="76" t="n">
        <v>466556.02</v>
      </c>
      <c r="E9" s="76" t="n">
        <v>563588.99</v>
      </c>
      <c r="F9" s="70">
        <f>D9-E9</f>
        <v/>
      </c>
      <c r="G9" s="49">
        <f>IF(ABS(F9)&lt;=1,"TIES",IF(ABS(F9)&lt;=ABS(E9)*0.05,"WITHIN","OFF"))</f>
        <v/>
      </c>
      <c r="H9" s="49" t="inlineStr">
        <is>
          <t>1↔Derived (footer)</t>
        </is>
      </c>
      <c r="I9" s="53" t="n"/>
      <c r="J9" s="53" t="n"/>
    </row>
    <row r="10">
      <c r="B10" s="79" t="n">
        <v>5</v>
      </c>
      <c r="C10" s="47" t="inlineStr">
        <is>
          <t>Budget vs Actual (code 999) = -Revenue</t>
        </is>
      </c>
      <c r="D10" s="55" t="n">
        <v>1123747</v>
      </c>
      <c r="E10" s="55" t="n">
        <v>1123747</v>
      </c>
      <c r="F10" s="67">
        <f>D10-E10</f>
        <v/>
      </c>
      <c r="G10" s="47">
        <f>IF(ABS(F10)&lt;=1,"TIES",IF(ABS(F10)&lt;=ABS(E10)*0.05,"WITHIN","OFF"))</f>
        <v/>
      </c>
      <c r="H10" s="47" t="inlineStr">
        <is>
          <t>2↔1</t>
        </is>
      </c>
    </row>
    <row r="11">
      <c r="B11" s="80" t="n">
        <v>6</v>
      </c>
      <c r="C11" s="49" t="inlineStr">
        <is>
          <t>Total Labor Hours = Worker hours sum</t>
        </is>
      </c>
      <c r="D11" s="76" t="n">
        <v>7596</v>
      </c>
      <c r="E11" s="76" t="n">
        <v>7609</v>
      </c>
      <c r="F11" s="70">
        <f>D11-E11</f>
        <v/>
      </c>
      <c r="G11" s="49">
        <f>IF(ABS(F11)&lt;=1,"TIES",IF(ABS(F11)&lt;=ABS(E11)*0.05,"WITHIN","OFF"))</f>
        <v/>
      </c>
      <c r="H11" s="49" t="inlineStr">
        <is>
          <t>5↔2</t>
        </is>
      </c>
      <c r="I11" s="53" t="n"/>
      <c r="J11" s="53" t="n"/>
    </row>
    <row r="12">
      <c r="B12" s="79" t="n">
        <v>7</v>
      </c>
      <c r="C12" s="47" t="inlineStr">
        <is>
          <t>Labor Cost = Worker gross sum</t>
        </is>
      </c>
      <c r="D12" s="55" t="n">
        <v>188045.5</v>
      </c>
      <c r="E12" s="55" t="n">
        <v>188045.5</v>
      </c>
      <c r="F12" s="67">
        <f>D12-E12</f>
        <v/>
      </c>
      <c r="G12" s="47">
        <f>IF(ABS(F12)&lt;=1,"TIES",IF(ABS(F12)&lt;=ABS(E12)*0.05,"WITHIN","OFF"))</f>
        <v/>
      </c>
      <c r="H12" s="47" t="inlineStr">
        <is>
          <t>5↔3</t>
        </is>
      </c>
    </row>
    <row r="13">
      <c r="B13" s="80" t="n">
        <v>8</v>
      </c>
      <c r="C13" s="49" t="inlineStr">
        <is>
          <t>Vendor total ≈ AP footer</t>
        </is>
      </c>
      <c r="D13" s="76" t="n">
        <v>243624.11</v>
      </c>
      <c r="E13" s="76" t="n">
        <v>243624.11</v>
      </c>
      <c r="F13" s="70">
        <f>D13-E13</f>
        <v/>
      </c>
      <c r="G13" s="49">
        <f>IF(ABS(F13)&lt;=1,"TIES",IF(ABS(F13)&lt;=ABS(E13)*0.05,"WITHIN","OFF"))</f>
        <v/>
      </c>
      <c r="H13" s="49" t="inlineStr">
        <is>
          <t>12↔1 (approximate)</t>
        </is>
      </c>
      <c r="I13" s="53" t="n"/>
      <c r="J13" s="53" t="n"/>
    </row>
    <row r="14">
      <c r="B14" s="79" t="n">
        <v>9</v>
      </c>
      <c r="C14" s="47" t="inlineStr">
        <is>
          <t>Invoice count</t>
        </is>
      </c>
      <c r="D14" s="79" t="n">
        <v>17</v>
      </c>
      <c r="E14" s="79" t="n">
        <v>17</v>
      </c>
      <c r="F14" s="67">
        <f>D14-E14</f>
        <v/>
      </c>
      <c r="G14" s="47">
        <f>IF(ABS(F14)&lt;=1,"TIES",IF(ABS(F14)&lt;=ABS(E14)*0.05,"WITHIN","OFF"))</f>
        <v/>
      </c>
      <c r="H14" s="47" t="inlineStr">
        <is>
          <t>9↔1</t>
        </is>
      </c>
    </row>
    <row r="15">
      <c r="B15" s="80" t="n">
        <v>10</v>
      </c>
      <c r="C15" s="49" t="inlineStr">
        <is>
          <t>Contract Final - Orig = CO implied</t>
        </is>
      </c>
      <c r="D15" s="76" t="n">
        <v>10527</v>
      </c>
      <c r="E15" s="76" t="n">
        <v>10527</v>
      </c>
      <c r="F15" s="70">
        <f>D15-E15</f>
        <v/>
      </c>
      <c r="G15" s="49">
        <f>IF(ABS(F15)&lt;=1,"TIES",IF(ABS(F15)&lt;=ABS(E15)*0.05,"WITHIN","OFF"))</f>
        <v/>
      </c>
      <c r="H15" s="49" t="inlineStr">
        <is>
          <t>11↔Derived</t>
        </is>
      </c>
      <c r="I15" s="53" t="n"/>
      <c r="J15" s="53" t="n"/>
    </row>
    <row r="16">
      <c r="B16" s="79" t="n">
        <v>11</v>
      </c>
      <c r="C16" s="47" t="inlineStr">
        <is>
          <t>CO implied vs documented (gap)</t>
        </is>
      </c>
      <c r="D16" s="55" t="n">
        <v>10527</v>
      </c>
      <c r="E16" s="55" t="n">
        <v>10527</v>
      </c>
      <c r="F16" s="67">
        <f>D16-E16</f>
        <v/>
      </c>
      <c r="G16" s="47">
        <f>IF(ABS(F16)&lt;=1,"TIES",IF(ABS(F16)&lt;=ABS(E16)*0.05,"WITHIN","OFF"))</f>
        <v/>
      </c>
      <c r="H16" s="47" t="inlineStr">
        <is>
          <t>Deductive scope revision</t>
        </is>
      </c>
    </row>
    <row r="17">
      <c r="B17" s="80" t="n">
        <v>12</v>
      </c>
      <c r="C17" s="49" t="inlineStr">
        <is>
          <t>Retainage outstanding</t>
        </is>
      </c>
      <c r="D17" s="76" t="n">
        <v>56289.55</v>
      </c>
      <c r="E17" s="76" t="n">
        <v>56289.55</v>
      </c>
      <c r="F17" s="70">
        <f>D17-E17</f>
        <v/>
      </c>
      <c r="G17" s="49">
        <f>IF(ABS(F17)&lt;=1,"TIES",IF(ABS(F17)&lt;=ABS(E17)*0.05,"WITHIN","OFF"))</f>
        <v/>
      </c>
      <c r="H17" s="49" t="inlineStr">
        <is>
          <t>9↔JDR footer</t>
        </is>
      </c>
      <c r="I17" s="53" t="n"/>
      <c r="J17" s="53" t="n"/>
    </row>
    <row r="18">
      <c r="B18" s="79" t="n">
        <v>13</v>
      </c>
      <c r="C18" s="47" t="inlineStr">
        <is>
          <t>Worker count</t>
        </is>
      </c>
      <c r="D18" s="79" t="n">
        <v>21</v>
      </c>
      <c r="E18" s="79" t="n">
        <v>21</v>
      </c>
      <c r="F18" s="67">
        <f>D18-E18</f>
        <v/>
      </c>
      <c r="G18" s="47">
        <f>IF(ABS(F18)&lt;=1,"TIES",IF(ABS(F18)&lt;=ABS(E18)*0.05,"WITHIN","OFF"))</f>
        <v/>
      </c>
      <c r="H18" s="47" t="inlineStr">
        <is>
          <t>5↔1</t>
        </is>
      </c>
    </row>
    <row r="19">
      <c r="B19" s="80" t="n">
        <v>14</v>
      </c>
      <c r="C19" s="49" t="inlineStr">
        <is>
          <t>Cost code count</t>
        </is>
      </c>
      <c r="D19" s="80" t="n">
        <v>27</v>
      </c>
      <c r="E19" s="80" t="n">
        <v>27</v>
      </c>
      <c r="F19" s="70">
        <f>D19-E19</f>
        <v/>
      </c>
      <c r="G19" s="49">
        <f>IF(ABS(F19)&lt;=1,"TIES",IF(ABS(F19)&lt;=ABS(E19)*0.05,"WITHIN","OFF"))</f>
        <v/>
      </c>
      <c r="H19" s="49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48" t="inlineStr">
        <is>
          <t>Job #2029 — Cortex v2 17-tab (built from-scratch)</t>
        </is>
      </c>
      <c r="C23" s="50" t="n"/>
      <c r="D23" s="50" t="n"/>
      <c r="E23" s="50" t="n"/>
      <c r="F23" s="50" t="n"/>
      <c r="G23" s="50" t="n"/>
      <c r="H23" s="51" t="n"/>
      <c r="I23" s="53" t="n"/>
      <c r="J23" s="53" t="n"/>
    </row>
    <row r="24">
      <c r="B24" s="46" t="inlineStr">
        <is>
          <t>Canonical financial source: 2029 Job Detail Report.pdf (Sage Timberline, 04/03/2026, 190 pages)</t>
        </is>
      </c>
      <c r="C24" s="6" t="n"/>
      <c r="D24" s="6" t="n"/>
      <c r="E24" s="6" t="n"/>
      <c r="F24" s="6" t="n"/>
      <c r="G24" s="6" t="n"/>
      <c r="H24" s="7" t="n"/>
    </row>
    <row r="25">
      <c r="B25" s="48" t="inlineStr">
        <is>
          <t>JDR Job Totals: Revenue $1,123,747.00 / Expenses $563,588.99 / Net $560,158.01 / Retainage $56,289.55</t>
        </is>
      </c>
      <c r="C25" s="50" t="n"/>
      <c r="D25" s="50" t="n"/>
      <c r="E25" s="50" t="n"/>
      <c r="F25" s="50" t="n"/>
      <c r="G25" s="50" t="n"/>
      <c r="H25" s="51" t="n"/>
      <c r="I25" s="53" t="n"/>
      <c r="J25" s="53" t="n"/>
    </row>
    <row r="26">
      <c r="B26" s="46" t="inlineStr">
        <is>
          <t>JDR Source breakdown: GL $34,886.41 · AP $243,624.11 · PR $188,045.50 · AR $1,123,747.00</t>
        </is>
      </c>
      <c r="C26" s="6" t="n"/>
      <c r="D26" s="6" t="n"/>
      <c r="E26" s="6" t="n"/>
      <c r="F26" s="6" t="n"/>
      <c r="G26" s="6" t="n"/>
      <c r="H26" s="7" t="n"/>
    </row>
    <row r="27">
      <c r="B27" s="48" t="inlineStr">
        <is>
          <t>Contract: Exxel Pacific Parsonage Subcontract (Lump Sum $1,113,220.00 descoped to $1,123,747.00, Exxel Pacific (self-performed developer))</t>
        </is>
      </c>
      <c r="C27" s="50" t="n"/>
      <c r="D27" s="50" t="n"/>
      <c r="E27" s="50" t="n"/>
      <c r="F27" s="50" t="n"/>
      <c r="G27" s="50" t="n"/>
      <c r="H27" s="51" t="n"/>
      <c r="I27" s="53" t="n"/>
      <c r="J27" s="53" t="n"/>
    </row>
    <row r="28">
      <c r="B28" s="46" t="inlineStr">
        <is>
          <t>Bid Proposal: Exxel Pacific Parsonage Proposal (296-unit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48" t="inlineStr">
        <is>
          <t>Fixture schedule: Parsonage fixture schedule (296-unit multifamily specification)</t>
        </is>
      </c>
      <c r="C29" s="50" t="n"/>
      <c r="D29" s="50" t="n"/>
      <c r="E29" s="50" t="n"/>
      <c r="F29" s="50" t="n"/>
      <c r="G29" s="50" t="n"/>
      <c r="H29" s="51" t="n"/>
      <c r="I29" s="53" t="n"/>
      <c r="J29" s="53" t="n"/>
    </row>
    <row r="30">
      <c r="B30" s="46" t="inlineStr">
        <is>
          <t>Plumbing narrative: Parsonage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48" t="inlineStr">
        <is>
          <t>Change Orders: Deductive scope reduction from original contract</t>
        </is>
      </c>
      <c r="C31" s="50" t="n"/>
      <c r="D31" s="50" t="n"/>
      <c r="E31" s="50" t="n"/>
      <c r="F31" s="50" t="n"/>
      <c r="G31" s="50" t="n"/>
      <c r="H31" s="51" t="n"/>
      <c r="I31" s="53" t="n"/>
      <c r="J31" s="53" t="n"/>
    </row>
    <row r="32">
      <c r="B32" s="46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48" t="inlineStr">
        <is>
          <t>Financial reconciliation: GL + AP + PR = Expenses; AR = Revenue</t>
        </is>
      </c>
      <c r="C33" s="50" t="n"/>
      <c r="D33" s="50" t="n"/>
      <c r="E33" s="50" t="n"/>
      <c r="F33" s="50" t="n"/>
      <c r="G33" s="50" t="n"/>
      <c r="H33" s="51" t="n"/>
      <c r="I33" s="53" t="n"/>
      <c r="J33" s="53" t="n"/>
    </row>
    <row r="34">
      <c r="B34" s="46" t="inlineStr">
        <is>
          <t>Contract descoping: JDR-implied COs = $10,527.00; 0 documented COs — deductive adjustment via scope revision</t>
        </is>
      </c>
      <c r="C34" s="6" t="n"/>
      <c r="D34" s="6" t="n"/>
      <c r="E34" s="6" t="n"/>
      <c r="F34" s="6" t="n"/>
      <c r="G34" s="6" t="n"/>
      <c r="H34" s="7" t="n"/>
    </row>
    <row r="35">
      <c r="B35" s="48" t="inlineStr">
        <is>
          <t>TIES = within $1  ·  WITHIN = within 5%  ·  OFF = investigate</t>
        </is>
      </c>
      <c r="C35" s="50" t="n"/>
      <c r="D35" s="50" t="n"/>
      <c r="E35" s="50" t="n"/>
      <c r="F35" s="50" t="n"/>
      <c r="G35" s="50" t="n"/>
      <c r="H35" s="51" t="n"/>
      <c r="I35" s="53" t="n"/>
      <c r="J35" s="53" t="n"/>
    </row>
  </sheetData>
  <mergeCells count="15">
    <mergeCell ref="B32:H32"/>
    <mergeCell ref="B3:J3"/>
    <mergeCell ref="B28:H28"/>
    <mergeCell ref="B26:H26"/>
    <mergeCell ref="B27:H27"/>
    <mergeCell ref="B35:H35"/>
    <mergeCell ref="B24:H24"/>
    <mergeCell ref="B30:H30"/>
    <mergeCell ref="B29:H29"/>
    <mergeCell ref="B33:H33"/>
    <mergeCell ref="B25:H25"/>
    <mergeCell ref="B2:J2"/>
    <mergeCell ref="B34:H34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2026-04-16T15:00:53Z</dcterms:created>
  <dcterms:modified xmlns:dcterms="http://purl.org/dc/terms/" xmlns:xsi="http://www.w3.org/2001/XMLSchema-instance" xsi:type="dcterms:W3CDTF">2026-04-16T15:01:00Z</dcterms:modified>
</cp:coreProperties>
</file>