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<sst xmlns="http://schemas.openxmlformats.org/spreadsheetml/2006/main" count="1531" uniqueCount="686">
  <si>
    <t xml:space="preserve">Job #2047 · GRE Greenlake Apartments (8228 Green Lake Dr N) — PRIOR SUB TAKEOVER</t>
  </si>
  <si>
    <t xml:space="preserve">Cortex JCR v2  •  GRE (customer 2047SH)  •  8228 Green Lake Dr N, Seattle, WA 98103  •  Owner: GRE Green Lake LLC</t>
  </si>
  <si>
    <t xml:space="preserve">PROJECT OVERVIEW</t>
  </si>
  <si>
    <t xml:space="preserve">Project Job #</t>
  </si>
  <si>
    <t xml:space="preserve">2047</t>
  </si>
  <si>
    <t xml:space="preserve">2047 Job Detail Report.pdf (Sage Timberline, 04/03/2026)</t>
  </si>
  <si>
    <t xml:space="preserve">Project Name (Sage)</t>
  </si>
  <si>
    <t xml:space="preserve">GRE Greenlake</t>
  </si>
  <si>
    <t xml:space="preserve">Project Description</t>
  </si>
  <si>
    <t xml:space="preserve">GRE Greenlake Apartments — 72-unit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</si>
  <si>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</si>
  <si>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</si>
  <si>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GRE</t>
  </si>
  <si>
    <t xml:space="preserve">OWP Project List with Schedule - UPDATED 04-01-26.xlsx</t>
  </si>
  <si>
    <t xml:space="preserve">Customer Code (Sage)</t>
  </si>
  <si>
    <t xml:space="preserve">2047SH</t>
  </si>
  <si>
    <t xml:space="preserve">Owner / Developer</t>
  </si>
  <si>
    <t xml:space="preserve">GRE Green Lake LLC</t>
  </si>
  <si>
    <t xml:space="preserve">GC PM</t>
  </si>
  <si>
    <t xml:space="preserve">Eric Bentler</t>
  </si>
  <si>
    <t xml:space="preserve">2047-Shelter Holdings subcontract 7926 + Boren &amp; Spruce CO docs</t>
  </si>
  <si>
    <t xml:space="preserve">GC Superintendent</t>
  </si>
  <si>
    <t xml:space="preserve">Victor Vo / Brett (per GRE greenlake Brett folder)</t>
  </si>
  <si>
    <t xml:space="preserve">GC PE</t>
  </si>
  <si>
    <t xml:space="preserve">N/A</t>
  </si>
  <si>
    <t xml:space="preserve">OWP Signatory</t>
  </si>
  <si>
    <t xml:space="preserve">Mike Donelson (OWP per Subcontractor Work Order 7926, 10/23/2017; miked@owpllc.net / 425.968.8314)</t>
  </si>
  <si>
    <t xml:space="preserve">Jobsite Location</t>
  </si>
  <si>
    <t xml:space="preserve">8228 Green Lake Dr N, Seattle, WA 98103</t>
  </si>
  <si>
    <t xml:space="preserve">Insurance</t>
  </si>
  <si>
    <t xml:space="preserve">Not Wrap</t>
  </si>
  <si>
    <t xml:space="preserve">Fixture Schedule</t>
  </si>
  <si>
    <t xml:space="preserve">751 fixtures total (656 unit + 98 retail/common)</t>
  </si>
  <si>
    <t xml:space="preserve">Submittal Table of Contents + Plumbing Scope</t>
  </si>
  <si>
    <t xml:space="preserve">Architect</t>
  </si>
  <si>
    <t xml:space="preserve">TBD — per Plans (Franklin GRE water mains folder references Franklin Engineering MEP)</t>
  </si>
  <si>
    <t xml:space="preserve">GRE Greenlake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</si>
  <si>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</si>
  <si>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</si>
  <si>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</si>
  <si>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</si>
  <si>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</si>
  <si>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2017-11 start → 2018-09 (11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</si>
  <si>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</si>
  <si>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</si>
  <si>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</si>
  <si>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</si>
  <si>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</si>
  <si>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$475,800.00 + ($77,389.00) COs (16.27%)</t>
  </si>
  <si>
    <t xml:space="preserve">33.8% margin</t>
  </si>
  <si>
    <t xml:space="preserve">66.2% of revenue</t>
  </si>
  <si>
    <t xml:space="preserve">33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</si>
  <si>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</si>
  <si>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</si>
  <si>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72-unit mixed-use (102 Type B + 6 Type A/ADA) at 8228 Green Lake Dr N, Seattle, WA 98103, 7-story midrise multi-family (Type 1A podium + Type VA above).</t>
  </si>
  <si>
    <t xml:space="preserve">GC: GRE (2047SH); Owner: GRE Green Lake LLC.</t>
  </si>
  <si>
    <t xml:space="preserve">Insurance: Not Wrap (retail-adjacent residential).</t>
  </si>
  <si>
    <t xml:space="preserve">Project team: Eric Bentler (GC PM) · Victor Vo / Brett (per GRE greenlake Brett folder) (GC Sup) · TBD — per Plans (Franklin GRE water mains folder references Franklin Engineering MEP) (Architect) · Mike Donelson (OWP per Subcontractor Work Order 7926, 10/23/2017; miked@owpllc.net / 425.968.8314) (OWP signatory).</t>
  </si>
  <si>
    <t xml:space="preserve">SOURCES</t>
  </si>
  <si>
    <t xml:space="preserve">Canonical financial source: 2047 Job Detail Report.pdf (Sage Timberline, 04/03/2026)</t>
  </si>
  <si>
    <t xml:space="preserve">Job totals (JDR footer): Revenue $553,189.00 / Expenses $366,275.78 / Net $186,913.22 / Retainage $27,659.45</t>
  </si>
  <si>
    <t xml:space="preserve">Source breakdown (derived): PR $229,050.31 · AP $117,192.21 · GL $20,033.26</t>
  </si>
  <si>
    <t xml:space="preserve">Contract: Lump Sum $475,800.00 → $553,189.00</t>
  </si>
  <si>
    <t xml:space="preserve">Change Orders (executed): $77,389.00 net across 11 COs (CO log in enriched meta)</t>
  </si>
  <si>
    <t xml:space="preserve">Project Team: Eric Bentler (PM) · Victor Vo / Brett (per GRE greenlake Brett folder) (Sup) · TBD — per Plans (Franklin GRE water mains folder references Franklin Engineering MEP) · GRE Green Lake LLC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</si>
  <si>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</si>
  <si>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</si>
  <si>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</si>
  <si>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</si>
  <si>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</si>
  <si>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</si>
  <si>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</si>
  <si>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</si>
  <si>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</si>
  <si>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</si>
  <si>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</si>
  <si>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</si>
  <si>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</si>
  <si>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21 cost codes from JDR. Contract $475,800 → $553,189.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</si>
  <si>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</si>
  <si>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</si>
  <si>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</si>
  <si>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</si>
  <si>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</si>
  <si>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</si>
  <si>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</si>
  <si>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</si>
  <si>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</si>
  <si>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</si>
  <si>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</si>
  <si>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</si>
  <si>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</si>
  <si>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111</t>
  </si>
  <si>
    <t xml:space="preserve">Garage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</si>
  <si>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</si>
  <si>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</si>
  <si>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</si>
  <si>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</si>
  <si>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</si>
  <si>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</si>
  <si>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</si>
  <si>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</si>
  <si>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</si>
  <si>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</si>
  <si>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</si>
  <si>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</si>
  <si>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</si>
  <si>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</si>
  <si>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</si>
  <si>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</si>
  <si>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</si>
  <si>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</si>
  <si>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</si>
  <si>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</si>
  <si>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</si>
  <si>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</si>
  <si>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</si>
  <si>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</si>
  <si>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</si>
  <si>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</si>
  <si>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</si>
  <si>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</si>
  <si>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</si>
  <si>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</si>
  <si>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</si>
  <si>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</si>
  <si>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</si>
  <si>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</si>
  <si>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</si>
  <si>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</si>
  <si>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</si>
  <si>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</si>
  <si>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</si>
  <si>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</si>
  <si>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</si>
  <si>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</si>
  <si>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</si>
  <si>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</si>
  <si>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</si>
  <si>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100,101,111,120,130,141,142,143</t>
  </si>
  <si>
    <t xml:space="preserve">Material</t>
  </si>
  <si>
    <t xml:space="preserve">211,212,220,230,242</t>
  </si>
  <si>
    <t xml:space="preserve">Overhead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</si>
  <si>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</si>
  <si>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</si>
  <si>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</si>
  <si>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</si>
  <si>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</si>
  <si>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</si>
  <si>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</si>
  <si>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</si>
  <si>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</si>
  <si>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2047KS</t>
  </si>
  <si>
    <t xml:space="preserve">Keller Supply Co. $Green Lake</t>
  </si>
  <si>
    <t xml:space="preserve">Plumbing / Supplies</t>
  </si>
  <si>
    <t xml:space="preserve">2047RS</t>
  </si>
  <si>
    <t xml:space="preserve">Rosen Supply Company, Inc. $Green Lake</t>
  </si>
  <si>
    <t xml:space="preserve">2047FE</t>
  </si>
  <si>
    <t xml:space="preserve">Ferguson Enterprises, Inc. $Green Lake</t>
  </si>
  <si>
    <t xml:space="preserve">2047CS</t>
  </si>
  <si>
    <t xml:space="preserve">Consolidated Supply Co. $Green Lake</t>
  </si>
  <si>
    <t xml:space="preserve">7230BB</t>
  </si>
  <si>
    <t xml:space="preserve">Best Bath Systems</t>
  </si>
  <si>
    <t xml:space="preserve">Uncategorized</t>
  </si>
  <si>
    <t xml:space="preserve">5560CH</t>
  </si>
  <si>
    <t xml:space="preserve">California Hydronics Corp</t>
  </si>
  <si>
    <t xml:space="preserve">2037CS</t>
  </si>
  <si>
    <t xml:space="preserve">Consolidated Supply Co. $University</t>
  </si>
  <si>
    <t xml:space="preserve">2713AR</t>
  </si>
  <si>
    <t xml:space="preserve">Ahern Rentals</t>
  </si>
  <si>
    <t xml:space="preserve">1799AW</t>
  </si>
  <si>
    <t xml:space="preserve">AllWest Underground, Inc.</t>
  </si>
  <si>
    <t xml:space="preserve">1625FE</t>
  </si>
  <si>
    <t xml:space="preserve">Franklin Engineering</t>
  </si>
  <si>
    <t xml:space="preserve">Engineering (601)</t>
  </si>
  <si>
    <t xml:space="preserve">1234BA</t>
  </si>
  <si>
    <t xml:space="preserve">Bank of America CC</t>
  </si>
  <si>
    <t xml:space="preserve">Credit Card (mixed)</t>
  </si>
  <si>
    <t xml:space="preserve">1234CO</t>
  </si>
  <si>
    <t xml:space="preserve">Capital One Credit Card</t>
  </si>
  <si>
    <t xml:space="preserve">1231KS</t>
  </si>
  <si>
    <t xml:space="preserve">Keller Supply Company</t>
  </si>
  <si>
    <t xml:space="preserve">1421RA</t>
  </si>
  <si>
    <t xml:space="preserve">R.A. Brown Backflow Testing</t>
  </si>
  <si>
    <t xml:space="preserve">Testing subcontractor</t>
  </si>
  <si>
    <t xml:space="preserve">1175FE</t>
  </si>
  <si>
    <t xml:space="preserve">Ferguson Enterprises, Inc. #3007</t>
  </si>
  <si>
    <t xml:space="preserve">1380RS</t>
  </si>
  <si>
    <t xml:space="preserve">Rosen Supply Kirkland</t>
  </si>
  <si>
    <t xml:space="preserve">2034CS</t>
  </si>
  <si>
    <t xml:space="preserve">Consolidated Supply Co. $Park Lane</t>
  </si>
  <si>
    <t xml:space="preserve">Crew &amp; Labor — Worker Roster</t>
  </si>
  <si>
    <t xml:space="preserve">All 33 unique payroll workers. OWP signatory: Mike Donelson (OWP per Subcontractor Work Order 7926, 10/23/2017; miked@owpllc.net / 425.968.8314).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</si>
  <si>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</si>
  <si>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</si>
  <si>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</si>
  <si>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</si>
  <si>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</si>
  <si>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</si>
  <si>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ME52</t>
  </si>
  <si>
    <t xml:space="preserve">Mendoza, Edgar E</t>
  </si>
  <si>
    <t xml:space="preserve">GA70</t>
  </si>
  <si>
    <t xml:space="preserve">Garcia, Jordan X</t>
  </si>
  <si>
    <t xml:space="preserve">RE18</t>
  </si>
  <si>
    <t xml:space="preserve">Reed, Reuben H</t>
  </si>
  <si>
    <t xml:space="preserve">RA55</t>
  </si>
  <si>
    <t xml:space="preserve">Ramos Herrera, Franklin J</t>
  </si>
  <si>
    <t xml:space="preserve">JI50</t>
  </si>
  <si>
    <t xml:space="preserve">Jimenez Alvarenga, Gerson M</t>
  </si>
  <si>
    <t xml:space="preserve">BE45</t>
  </si>
  <si>
    <t xml:space="preserve">Belcher, Jacob T</t>
  </si>
  <si>
    <t xml:space="preserve">RA57</t>
  </si>
  <si>
    <t xml:space="preserve">Ramos Melendez, Carlos M</t>
  </si>
  <si>
    <t xml:space="preserve">GE70</t>
  </si>
  <si>
    <t xml:space="preserve">Gerard, Jordan E</t>
  </si>
  <si>
    <t xml:space="preserve">MC09</t>
  </si>
  <si>
    <t xml:space="preserve">McCabe, Thomas C</t>
  </si>
  <si>
    <t xml:space="preserve">HO18</t>
  </si>
  <si>
    <t xml:space="preserve">Hoeg, Xavier A</t>
  </si>
  <si>
    <t xml:space="preserve">LO87</t>
  </si>
  <si>
    <t xml:space="preserve">Lovo, German G</t>
  </si>
  <si>
    <t xml:space="preserve">YO29</t>
  </si>
  <si>
    <t xml:space="preserve">Yohannes Jr., Samson</t>
  </si>
  <si>
    <t xml:space="preserve">SA54</t>
  </si>
  <si>
    <t xml:space="preserve">Sanders, Allen O</t>
  </si>
  <si>
    <t xml:space="preserve">HU06</t>
  </si>
  <si>
    <t xml:space="preserve">Hubbard, Robert W</t>
  </si>
  <si>
    <t xml:space="preserve">GO51</t>
  </si>
  <si>
    <t xml:space="preserve">Gomez Reyes, Edith N</t>
  </si>
  <si>
    <t xml:space="preserve">GE69</t>
  </si>
  <si>
    <t xml:space="preserve">Gerard, Jeffrey S</t>
  </si>
  <si>
    <t xml:space="preserve">CA50</t>
  </si>
  <si>
    <t xml:space="preserve">Caro, Camilo</t>
  </si>
  <si>
    <t xml:space="preserve">DO56</t>
  </si>
  <si>
    <t xml:space="preserve">Donelson, Richard T</t>
  </si>
  <si>
    <t xml:space="preserve">OL17</t>
  </si>
  <si>
    <t xml:space="preserve">Olea Galeana, Maricela</t>
  </si>
  <si>
    <t xml:space="preserve">GE71</t>
  </si>
  <si>
    <t xml:space="preserve">Gerard, Mitchell J</t>
  </si>
  <si>
    <t xml:space="preserve">ME53</t>
  </si>
  <si>
    <t xml:space="preserve">Mendoza Morales, Jesus A</t>
  </si>
  <si>
    <t xml:space="preserve">HO90</t>
  </si>
  <si>
    <t xml:space="preserve">Howey, Shawn M</t>
  </si>
  <si>
    <t xml:space="preserve">RI89</t>
  </si>
  <si>
    <t xml:space="preserve">Rivera Oseguera, Kate Y</t>
  </si>
  <si>
    <t xml:space="preserve">NE46</t>
  </si>
  <si>
    <t xml:space="preserve">Nelson, Charles E</t>
  </si>
  <si>
    <t xml:space="preserve">QU35</t>
  </si>
  <si>
    <t xml:space="preserve">Quintanilla, Esteban R</t>
  </si>
  <si>
    <t xml:space="preserve">LU09</t>
  </si>
  <si>
    <t xml:space="preserve">Lucas Tzintzun, Rafael</t>
  </si>
  <si>
    <t xml:space="preserve">CH20</t>
  </si>
  <si>
    <t xml:space="preserve">Chevez, Herson G</t>
  </si>
  <si>
    <t xml:space="preserve">EL33</t>
  </si>
  <si>
    <t xml:space="preserve">Eliassen, Cory H</t>
  </si>
  <si>
    <t xml:space="preserve">AM03</t>
  </si>
  <si>
    <t xml:space="preserve">Amaya Gonzalez, Edilberto A</t>
  </si>
  <si>
    <t xml:space="preserve">SE64</t>
  </si>
  <si>
    <t xml:space="preserve">Sepulveda Gonzalez, Alfredo</t>
  </si>
  <si>
    <t xml:space="preserve">CR77</t>
  </si>
  <si>
    <t xml:space="preserve">Cruz Gonzalez, Julio C</t>
  </si>
  <si>
    <t xml:space="preserve">SA53</t>
  </si>
  <si>
    <t xml:space="preserve">Sanchez Olea, Itzel G</t>
  </si>
  <si>
    <t xml:space="preserve">KI55</t>
  </si>
  <si>
    <t xml:space="preserve">Kinssies, Jr, John E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</si>
  <si>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</si>
  <si>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</si>
  <si>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</si>
  <si>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</si>
  <si>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</si>
  <si>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</si>
  <si>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</si>
  <si>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</si>
  <si>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</si>
  <si>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</si>
  <si>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</si>
  <si>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</si>
  <si>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</si>
  <si>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</si>
  <si>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</si>
  <si>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ME52 Mendoza, Edgar E (715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</si>
  <si>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</si>
  <si>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</si>
  <si>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</si>
  <si>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</si>
  <si>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</si>
  <si>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</si>
  <si>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</si>
  <si>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</si>
  <si>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</si>
  <si>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</si>
  <si>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72 units (751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</si>
  <si>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</si>
  <si>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</si>
  <si>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</si>
  <si>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</si>
  <si>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</si>
  <si>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</si>
  <si>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</si>
  <si>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</si>
  <si>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</si>
  <si>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</si>
  <si>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</si>
  <si>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</si>
  <si>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</si>
  <si>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</si>
  <si>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</si>
  <si>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</si>
  <si>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</si>
  <si>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</si>
  <si>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</si>
  <si>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</si>
  <si>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</si>
  <si>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</si>
  <si>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(72)</t>
  </si>
  <si>
    <t xml:space="preserve">USD</t>
  </si>
  <si>
    <t xml:space="preserve">72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</si>
  <si>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</si>
  <si>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</si>
  <si>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</si>
  <si>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</si>
  <si>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</si>
  <si>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</si>
  <si>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751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</si>
  <si>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</si>
  <si>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</si>
  <si>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</si>
  <si>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</si>
  <si>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</si>
  <si>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</si>
  <si>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</si>
  <si>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</si>
  <si>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</si>
  <si>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2017-10-25</t>
  </si>
  <si>
    <t xml:space="preserve">Lump Sum Subcontract</t>
  </si>
  <si>
    <t xml:space="preserve">Closed</t>
  </si>
  <si>
    <t xml:space="preserve">GRE Greenlake Apartments plumbing (72 units, 7 stories) — per Div 22</t>
  </si>
  <si>
    <t xml:space="preserve">CO-NET</t>
  </si>
  <si>
    <t xml:space="preserve">—</t>
  </si>
  <si>
    <t xml:space="preserve">Change Orders (executed, 11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</si>
  <si>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</si>
  <si>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</si>
  <si>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</si>
  <si>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</si>
  <si>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117 invoices to GRE. Retainage $27,659.45.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</si>
  <si>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</si>
  <si>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</si>
  <si>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</si>
  <si>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</si>
  <si>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466</t>
  </si>
  <si>
    <t xml:space="preserve">01/19/18</t>
  </si>
  <si>
    <t xml:space="preserve">583</t>
  </si>
  <si>
    <t xml:space="preserve">02/20/18</t>
  </si>
  <si>
    <t xml:space="preserve">444</t>
  </si>
  <si>
    <t xml:space="preserve">03/20/18</t>
  </si>
  <si>
    <t xml:space="preserve">548</t>
  </si>
  <si>
    <t xml:space="preserve">04/20/18</t>
  </si>
  <si>
    <t xml:space="preserve">510</t>
  </si>
  <si>
    <t xml:space="preserve">05/18/18</t>
  </si>
  <si>
    <t xml:space="preserve">674</t>
  </si>
  <si>
    <t xml:space="preserve">06/20/18</t>
  </si>
  <si>
    <t xml:space="preserve">526</t>
  </si>
  <si>
    <t xml:space="preserve">07/20/18</t>
  </si>
  <si>
    <t xml:space="preserve">361</t>
  </si>
  <si>
    <t xml:space="preserve">10/20/17</t>
  </si>
  <si>
    <t xml:space="preserve">376</t>
  </si>
  <si>
    <t xml:space="preserve">11/17/17</t>
  </si>
  <si>
    <t xml:space="preserve">538</t>
  </si>
  <si>
    <t xml:space="preserve">12/15/17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</si>
  <si>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</si>
  <si>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</si>
  <si>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</si>
  <si>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</si>
  <si>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</si>
  <si>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</si>
  <si>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</si>
  <si>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</si>
  <si>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$186,913.22 on $553,189.00 revenue = 33.8% gross margin.</t>
  </si>
  <si>
    <t xml:space="preserve">Verified</t>
  </si>
  <si>
    <t xml:space="preserve">CONTRACT CHANGE</t>
  </si>
  <si>
    <t xml:space="preserve">Original $475,800.00 → final $553,189.00 = $+77,389.00 net (16.27%) across 11 executed COs.</t>
  </si>
  <si>
    <t xml:space="preserve">2047 Job Detail Report.pdf (Sage Timberline, 04/03/2026) + CO log</t>
  </si>
  <si>
    <t xml:space="preserve">LABOR PROFILE</t>
  </si>
  <si>
    <t xml:space="preserve">Labor cost $150,690.75 (27.2% of rev) across 5,993 hrs and 33 workers. Blended wage $25.14/hr.</t>
  </si>
  <si>
    <t xml:space="preserve">VENDOR CONCENTRATION</t>
  </si>
  <si>
    <t xml:space="preserve">Top 5 AP vendors: ~$109,384.43 (93% of AP). Top vendor: Keller Supply Co. $Green Lake ($35,554.85).</t>
  </si>
  <si>
    <t xml:space="preserve">RETAINAGE</t>
  </si>
  <si>
    <t xml:space="preserve">Retainage $27,659.45 — outstanding as of report date.</t>
  </si>
  <si>
    <t xml:space="preserve">ROUGH-IN SHARE</t>
  </si>
  <si>
    <t xml:space="preserve">Code 120 Roughin Labor = 4,762 hrs (82% of labor hours).</t>
  </si>
  <si>
    <t xml:space="preserve">TOP COST CODE</t>
  </si>
  <si>
    <t xml:space="preserve">Largest actual cost: 120 Roughin Labor = $119,374.00</t>
  </si>
  <si>
    <t xml:space="preserve">WORKER CONCENTRATION</t>
  </si>
  <si>
    <t xml:space="preserve">Top worker Mendoza, Edgar E = 715 hrs (12% of total).</t>
  </si>
  <si>
    <t xml:space="preserve">INSURANCE</t>
  </si>
  <si>
    <t xml:space="preserve">Not Wrap — retail-adjacent mixed-use.</t>
  </si>
  <si>
    <t xml:space="preserve">SCOPE CONTEXT</t>
  </si>
  <si>
    <t xml:space="preserve">GRE Greenlake Apartments — 72-unit 7-story midrise (68 standard + 4 Type A ADA) + P1/P2 parking at 8228 Green Lake Dr N, Seattle, WA 98103.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</si>
  <si>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</si>
  <si>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</si>
  <si>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</si>
  <si>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</si>
  <si>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</si>
  <si>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</si>
  <si>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</si>
  <si>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</si>
  <si>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</si>
  <si>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</si>
  <si>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</si>
  <si>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</si>
  <si>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GRE Greenlake Apartments (8228 Green Lake Dr N) — PRIOR SUB TAKEOVER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</si>
  <si>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</si>
  <si>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</si>
  <si>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</si>
  <si>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</si>
  <si>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</si>
  <si>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</si>
  <si>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</si>
  <si>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Rescue/takeover project: OWP replaced prior plumbing subcontractor (Peltram) mid-construction. 72 residential units (61 Type B + 11 Type A ADA) with L1 amenity restroom + lounge + rooftop deck sink. Post-tension deck construction with existing ProSet sleeves. CCIP (Contractor-Controlled Insurance Program) project.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</si>
  <si>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</si>
  <si>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</si>
  <si>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</si>
  <si>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</si>
  <si>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</si>
  <si>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</si>
  <si>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</si>
  <si>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</si>
  <si>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</si>
  <si>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</si>
  <si>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</si>
  <si>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2017-11</t>
  </si>
  <si>
    <t xml:space="preserve">Work End</t>
  </si>
  <si>
    <t xml:space="preserve">end_date</t>
  </si>
  <si>
    <t xml:space="preserve">2018-09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</si>
  <si>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</si>
  <si>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</si>
  <si>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</si>
  <si>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</si>
  <si>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</si>
  <si>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</si>
  <si>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</si>
  <si>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</si>
  <si>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</si>
  <si>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</si>
  <si>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</si>
  <si>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</si>
  <si>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</si>
  <si>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</si>
  <si>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</si>
  <si>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11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</si>
  <si>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</si>
  <si>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</si>
  <si>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</si>
  <si>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</si>
  <si>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</si>
  <si>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</si>
  <si>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</si>
  <si>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</si>
  <si>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</si>
  <si>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</si>
  <si>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</si>
  <si>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</si>
  <si>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</si>
  <si>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</si>
  <si>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</si>
  <si>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</si>
  <si>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</si>
  <si>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</si>
  <si>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</si>
  <si>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</si>
  <si>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</si>
  <si>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</si>
  <si>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</si>
  <si>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</si>
  <si>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</si>
  <si>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</si>
  <si>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</si>
  <si>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</si>
  <si>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</si>
  <si>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</si>
  <si>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</si>
  <si>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</si>
  <si>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</si>
  <si>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</si>
  <si>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</si>
  <si>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</si>
  <si>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</si>
  <si>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</si>
  <si>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</si>
  <si>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</si>
  <si>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</si>
  <si>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</si>
  <si>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</si>
  <si>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</si>
  <si>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</si>
  <si>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</si>
  <si>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</si>
  <si>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</si>
  <si>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</si>
  <si>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</si>
  <si>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</si>
  <si>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</si>
  <si>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</si>
  <si>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</si>
  <si>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</si>
  <si>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</si>
  <si>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</si>
  <si>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</si>
  <si>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</si>
  <si>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</si>
  <si>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</si>
  <si>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</si>
  <si>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</si>
  <si>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</si>
  <si>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</si>
  <si>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</si>
  <si>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</si>
  <si>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</si>
  <si>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</si>
  <si>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</si>
  <si>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</si>
  <si>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</si>
  <si>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</si>
  <si>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</si>
  <si>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</si>
  <si>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</si>
  <si>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</si>
  <si>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</si>
  <si>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</si>
  <si>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</si>
  <si>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</si>
  <si>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</si>
  <si>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</si>
  <si>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</si>
  <si>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</si>
  <si>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</si>
  <si>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</si>
  <si>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</si>
  <si>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</si>
  <si>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</si>
  <si>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</si>
  <si>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</si>
  <si>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</si>
  <si>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</si>
  <si>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</si>
  <si>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</si>
  <si>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11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</si>
  <si>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</si>
  <si>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</si>
  <si>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</si>
  <si>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</si>
  <si>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</si>
  <si>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</si>
  <si>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$475,800.00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</si>
  <si>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</si>
  <si>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</si>
  <si>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</si>
  <si>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</si>
  <si>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</si>
  <si>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</si>
  <si>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</si>
  <si>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</si>
  <si>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</si>
  <si>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$27,659.45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</si>
  <si>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</si>
  <si>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</si>
  <si>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</si>
  <si>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</si>
  <si>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</si>
  <si>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</si>
  <si>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</si>
  <si>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</si>
  <si>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</si>
  <si>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$475,800 → $553,189 (11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</si>
  <si>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</si>
  <si>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</si>
  <si>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</si>
  <si>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</si>
  <si>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17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</si>
  <si>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</si>
  <si>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</si>
  <si>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</si>
  <si>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</si>
  <si>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</si>
  <si>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</si>
  <si>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</si>
  <si>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</si>
  <si>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</si>
  <si>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</si>
  <si>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</si>
  <si>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</si>
  <si>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</si>
  <si>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</si>
  <si>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</si>
  <si>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</si>
  <si>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</si>
  <si>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</si>
  <si>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</si>
  <si>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</si>
  <si>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</si>
  <si>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</si>
  <si>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</si>
  <si>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</si>
  <si>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</si>
  <si>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</si>
  <si>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</si>
  <si>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16.27%</t>
  </si>
  <si>
    <t xml:space="preserve">±10%</t>
  </si>
  <si>
    <t xml:space="preserve">WATCH</t>
  </si>
  <si>
    <t xml:space="preserve">+16.27% net (11 COs)</t>
  </si>
  <si>
    <t xml:space="preserve">&lt;30%</t>
  </si>
  <si>
    <t xml:space="preserve">HEALTHY</t>
  </si>
  <si>
    <t xml:space="preserve">27.2%</t>
  </si>
  <si>
    <t xml:space="preserve">GL Overhead % of Revenue</t>
  </si>
  <si>
    <t xml:space="preserve">&lt;5%</t>
  </si>
  <si>
    <t xml:space="preserve">3.6%</t>
  </si>
  <si>
    <t xml:space="preserve">Vendor Concentration (Top 5)</t>
  </si>
  <si>
    <t xml:space="preserve">&lt;95%</t>
  </si>
  <si>
    <t xml:space="preserve">Top 5 = 93% of AP</t>
  </si>
  <si>
    <t xml:space="preserve">Retainage %</t>
  </si>
  <si>
    <t xml:space="preserve">&lt;10%</t>
  </si>
  <si>
    <t xml:space="preserve">5.0%</t>
  </si>
  <si>
    <t xml:space="preserve">&gt;30%</t>
  </si>
  <si>
    <t xml:space="preserve">33.8%</t>
  </si>
  <si>
    <t xml:space="preserve">Labor Hrs Total</t>
  </si>
  <si>
    <t xml:space="preserve">varies</t>
  </si>
  <si>
    <t xml:space="preserve">INFO</t>
  </si>
  <si>
    <t xml:space="preserve">5,993 hrs, 33 workers</t>
  </si>
  <si>
    <t xml:space="preserve">Worker Concentration (top 1)</t>
  </si>
  <si>
    <t xml:space="preserve">&lt;25%</t>
  </si>
  <si>
    <t xml:space="preserve">11.9% (Mendoza, Edgar E)</t>
  </si>
  <si>
    <t xml:space="preserve">Rough-in Labor Share</t>
  </si>
  <si>
    <t xml:space="preserve">40-65%</t>
  </si>
  <si>
    <t xml:space="preserve">82%</t>
  </si>
  <si>
    <t xml:space="preserve">Retainage Legacy</t>
  </si>
  <si>
    <t xml:space="preserve">OUTSTANDING</t>
  </si>
  <si>
    <t xml:space="preserve">&lt;90 days post-closeout</t>
  </si>
  <si>
    <t xml:space="preserve">$27,659.45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</si>
  <si>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</si>
  <si>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</si>
  <si>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</si>
  <si>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</si>
  <si>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</si>
  <si>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</si>
  <si>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</si>
  <si>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</si>
  <si>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</si>
  <si>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</si>
  <si>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$7,683/unit rev, $2,596/unit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</si>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</sst>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72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553189</v>
      </c>
      <c r="D25" s="9" t="n">
        <v>186913.22</v>
      </c>
      <c r="F25" s="9" t="n">
        <v>366275.78</v>
      </c>
      <c r="H25" s="10" t="n">
        <v>5993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4200</v>
      </c>
      <c r="E6" s="15" t="n">
        <v>4250</v>
      </c>
      <c r="F6" s="9" t="n">
        <v>2402</v>
      </c>
      <c r="G6" s="16" t="n">
        <f aca="false">F6-E6</f>
        <v>-1848</v>
      </c>
      <c r="H6" s="17" t="n">
        <f aca="false">IF(E6=0,"",F6/E6)</f>
        <v>0.565176470588235</v>
      </c>
      <c r="I6" s="10" t="n">
        <v>49.5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8750</v>
      </c>
      <c r="E7" s="15" t="n">
        <v>9000</v>
      </c>
      <c r="F7" s="9" t="n">
        <v>5375</v>
      </c>
      <c r="G7" s="16" t="n">
        <f aca="false">F7-E7</f>
        <v>-3625</v>
      </c>
      <c r="H7" s="17" t="n">
        <f aca="false">IF(E7=0,"",F7/E7)</f>
        <v>0.597222222222222</v>
      </c>
      <c r="I7" s="10" t="n">
        <v>102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0</v>
      </c>
      <c r="E8" s="15" t="n">
        <v>0</v>
      </c>
      <c r="F8" s="9" t="n">
        <v>0</v>
      </c>
      <c r="G8" s="16" t="n">
        <f aca="false">F8-E8</f>
        <v>0</v>
      </c>
      <c r="H8" s="17" t="str">
        <f aca="false">IF(E8=0,"",F8/E8)</f>
        <v/>
      </c>
      <c r="I8" s="11"/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88827</v>
      </c>
      <c r="E9" s="15" t="n">
        <v>105859</v>
      </c>
      <c r="F9" s="9" t="n">
        <v>119374</v>
      </c>
      <c r="G9" s="16" t="n">
        <f aca="false">F9-E9</f>
        <v>13515</v>
      </c>
      <c r="H9" s="17" t="n">
        <f aca="false">IF(E9=0,"",F9/E9)</f>
        <v>1.12766982495584</v>
      </c>
      <c r="I9" s="10" t="n">
        <v>4762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25980</v>
      </c>
      <c r="E10" s="15" t="n">
        <v>26220</v>
      </c>
      <c r="F10" s="9" t="n">
        <v>23539.75</v>
      </c>
      <c r="G10" s="16" t="n">
        <f aca="false">F10-E10</f>
        <v>-2680.25</v>
      </c>
      <c r="H10" s="17" t="n">
        <f aca="false">IF(E10=0,"",F10/E10)</f>
        <v>0.897778413424867</v>
      </c>
      <c r="I10" s="10" t="n">
        <v>923.5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0</v>
      </c>
      <c r="E11" s="15" t="n">
        <v>0</v>
      </c>
      <c r="F11" s="9" t="n">
        <v>0</v>
      </c>
      <c r="G11" s="16" t="n">
        <f aca="false">F11-E11</f>
        <v>0</v>
      </c>
      <c r="H11" s="17" t="str">
        <f aca="false">IF(E11=0,"",F11/E11)</f>
        <v/>
      </c>
      <c r="I11" s="11"/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0</v>
      </c>
      <c r="E12" s="15" t="n">
        <v>0</v>
      </c>
      <c r="F12" s="9" t="n">
        <v>0</v>
      </c>
      <c r="G12" s="16" t="n">
        <f aca="false">F12-E12</f>
        <v>0</v>
      </c>
      <c r="H12" s="17" t="str">
        <f aca="false">IF(E12=0,"",F12/E12)</f>
        <v/>
      </c>
      <c r="I12" s="11"/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0</v>
      </c>
      <c r="E13" s="15" t="n">
        <v>0</v>
      </c>
      <c r="F13" s="9" t="n">
        <v>0</v>
      </c>
      <c r="G13" s="16" t="n">
        <f aca="false">F13-E13</f>
        <v>0</v>
      </c>
      <c r="H13" s="17" t="str">
        <f aca="false">IF(E13=0,"",F13/E13)</f>
        <v/>
      </c>
      <c r="I13" s="11"/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0</v>
      </c>
      <c r="E14" s="15" t="n">
        <v>0</v>
      </c>
      <c r="F14" s="9" t="n">
        <v>10.6</v>
      </c>
      <c r="G14" s="16" t="n">
        <f aca="false">F14-E14</f>
        <v>10.6</v>
      </c>
      <c r="H14" s="17" t="str">
        <f aca="false">IF(E14=0,"",F14/E14)</f>
        <v/>
      </c>
      <c r="I14" s="11"/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0</v>
      </c>
      <c r="E15" s="15" t="n">
        <v>0</v>
      </c>
      <c r="F15" s="9" t="n">
        <v>0</v>
      </c>
      <c r="G15" s="16" t="n">
        <f aca="false">F15-E15</f>
        <v>0</v>
      </c>
      <c r="H15" s="17" t="str">
        <f aca="false">IF(E15=0,"",F15/E15)</f>
        <v/>
      </c>
      <c r="I15" s="11"/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59765</v>
      </c>
      <c r="E16" s="15" t="n">
        <v>67358</v>
      </c>
      <c r="F16" s="9" t="n">
        <v>56003.99</v>
      </c>
      <c r="G16" s="16" t="n">
        <f aca="false">F16-E16</f>
        <v>-11354.01</v>
      </c>
      <c r="H16" s="17" t="n">
        <f aca="false">IF(E16=0,"",F16/E16)</f>
        <v>0.831437839603314</v>
      </c>
      <c r="I16" s="11"/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89920</v>
      </c>
      <c r="E17" s="15" t="n">
        <v>105538</v>
      </c>
      <c r="F17" s="9" t="n">
        <v>77180.43</v>
      </c>
      <c r="G17" s="16" t="n">
        <f aca="false">F17-E17</f>
        <v>-28357.57</v>
      </c>
      <c r="H17" s="17" t="n">
        <f aca="false">IF(E17=0,"",F17/E17)</f>
        <v>0.731304648562603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0</v>
      </c>
      <c r="E18" s="15" t="n">
        <v>0</v>
      </c>
      <c r="F18" s="9" t="n">
        <v>0</v>
      </c>
      <c r="G18" s="16" t="n">
        <f aca="false">F18-E18</f>
        <v>0</v>
      </c>
      <c r="H18" s="17" t="str">
        <f aca="false">IF(E18=0,"",F18/E18)</f>
        <v/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500</v>
      </c>
      <c r="E19" s="15" t="n">
        <v>500</v>
      </c>
      <c r="F19" s="9" t="n">
        <v>155</v>
      </c>
      <c r="G19" s="16" t="n">
        <f aca="false">F19-E19</f>
        <v>-345</v>
      </c>
      <c r="H19" s="17" t="n">
        <f aca="false">IF(E19=0,"",F19/E19)</f>
        <v>0.31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1000</v>
      </c>
      <c r="E20" s="15" t="n">
        <v>1000</v>
      </c>
      <c r="F20" s="9" t="n">
        <v>772.5</v>
      </c>
      <c r="G20" s="16" t="n">
        <f aca="false">F20-E20</f>
        <v>-227.5</v>
      </c>
      <c r="H20" s="17" t="n">
        <f aca="false">IF(E20=0,"",F20/E20)</f>
        <v>0.7725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1000</v>
      </c>
      <c r="E21" s="15" t="n">
        <v>2046</v>
      </c>
      <c r="F21" s="9" t="n">
        <v>2109.22</v>
      </c>
      <c r="G21" s="16" t="n">
        <f aca="false">F21-E21</f>
        <v>63.2199999999998</v>
      </c>
      <c r="H21" s="17" t="n">
        <f aca="false">IF(E21=0,"",F21/E21)</f>
        <v>1.03089931573803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0</v>
      </c>
      <c r="E22" s="15" t="n">
        <v>922</v>
      </c>
      <c r="F22" s="9" t="n">
        <v>954.5</v>
      </c>
      <c r="G22" s="16" t="n">
        <f aca="false">F22-E22</f>
        <v>32.5</v>
      </c>
      <c r="H22" s="17" t="n">
        <f aca="false">IF(E22=0,"",F22/E22)</f>
        <v>1.03524945770065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4000</v>
      </c>
      <c r="E23" s="15" t="n">
        <v>4000</v>
      </c>
      <c r="F23" s="9" t="n">
        <v>39.23</v>
      </c>
      <c r="G23" s="16" t="n">
        <f aca="false">F23-E23</f>
        <v>-3960.77</v>
      </c>
      <c r="H23" s="17" t="n">
        <f aca="false">IF(E23=0,"",F23/E23)</f>
        <v>0.0098075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57937.8</v>
      </c>
      <c r="E24" s="15" t="n">
        <v>65669.48</v>
      </c>
      <c r="F24" s="9" t="n">
        <v>66831.47</v>
      </c>
      <c r="G24" s="16" t="n">
        <f aca="false">F24-E24</f>
        <v>1161.99000000001</v>
      </c>
      <c r="H24" s="17" t="n">
        <f aca="false">IF(E24=0,"",F24/E24)</f>
        <v>1.01769452110783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9773.41</v>
      </c>
      <c r="E25" s="15" t="n">
        <v>11117.69</v>
      </c>
      <c r="F25" s="9" t="n">
        <v>11528.09</v>
      </c>
      <c r="G25" s="16" t="n">
        <f aca="false">F25-E25</f>
        <v>410.4</v>
      </c>
      <c r="H25" s="17" t="n">
        <f aca="false">IF(E25=0,"",F25/E25)</f>
        <v>1.03691414313585</v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-475800</v>
      </c>
      <c r="E26" s="15" t="n">
        <v>-553189</v>
      </c>
      <c r="F26" s="9" t="n">
        <v>-553189</v>
      </c>
      <c r="G26" s="16" t="n">
        <f aca="false">F26-E26</f>
        <v>0</v>
      </c>
      <c r="H26" s="17" t="n">
        <f aca="false">IF(E26=0,"",F26/E26)</f>
        <v>1</v>
      </c>
      <c r="I26" s="11"/>
      <c r="J26" s="11" t="s">
        <v>5</v>
      </c>
    </row>
    <row r="27" customFormat="false" ht="15" hidden="false" customHeight="false" outlineLevel="0" collapsed="false">
      <c r="B27" s="18" t="s">
        <v>130</v>
      </c>
      <c r="D27" s="19" t="n">
        <f aca="false">SUM(D6:D26)</f>
        <v>-124146.79</v>
      </c>
      <c r="E27" s="19" t="n">
        <f aca="false">SUM(E6:E26)</f>
        <v>-149708.83</v>
      </c>
      <c r="F27" s="20" t="n">
        <f aca="false">SUM(F6:F26)</f>
        <v>-186913.22</v>
      </c>
      <c r="G27" s="16" t="n">
        <f aca="false">F27-E27</f>
        <v>-37204.39</v>
      </c>
      <c r="I27" s="21" t="n">
        <f aca="false">SUM(I6:I26)</f>
        <v>5837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131</v>
      </c>
    </row>
    <row r="3" customFormat="false" ht="21.75" hidden="false" customHeight="true" outlineLevel="0" collapsed="false">
      <c r="B3" s="2" t="s">
        <v>132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87</v>
      </c>
    </row>
    <row r="6" customFormat="false" ht="15" hidden="false" customHeight="false" outlineLevel="0" collapsed="false">
      <c r="B6" s="11" t="s">
        <v>138</v>
      </c>
      <c r="C6" s="11" t="s">
        <v>139</v>
      </c>
      <c r="D6" s="9" t="n">
        <v>150690.75</v>
      </c>
      <c r="E6" s="17" t="n">
        <f aca="false">D6/$D$11</f>
        <v>0.411413361811693</v>
      </c>
      <c r="F6" s="17" t="n">
        <f aca="false">D6/553189</f>
        <v>0.272403735432194</v>
      </c>
      <c r="G6" s="11" t="s">
        <v>5</v>
      </c>
    </row>
    <row r="7" customFormat="false" ht="15" hidden="false" customHeight="false" outlineLevel="0" collapsed="false">
      <c r="B7" s="11" t="s">
        <v>140</v>
      </c>
      <c r="C7" s="11" t="s">
        <v>141</v>
      </c>
      <c r="D7" s="9" t="n">
        <v>133195.02</v>
      </c>
      <c r="E7" s="17" t="n">
        <f aca="false">D7/$D$11</f>
        <v>0.363646812792263</v>
      </c>
      <c r="F7" s="17" t="n">
        <f aca="false">D7/553189</f>
        <v>0.240776696572058</v>
      </c>
      <c r="G7" s="11" t="s">
        <v>5</v>
      </c>
    </row>
    <row r="8" customFormat="false" ht="15" hidden="false" customHeight="false" outlineLevel="0" collapsed="false">
      <c r="B8" s="11" t="s">
        <v>142</v>
      </c>
      <c r="C8" s="11" t="s">
        <v>143</v>
      </c>
      <c r="D8" s="9" t="n">
        <v>4030.45</v>
      </c>
      <c r="E8" s="17" t="n">
        <f aca="false">D8/$D$11</f>
        <v>0.0110038670861611</v>
      </c>
      <c r="F8" s="17" t="n">
        <f aca="false">D8/553189</f>
        <v>0.00728584624784658</v>
      </c>
      <c r="G8" s="11" t="s">
        <v>5</v>
      </c>
    </row>
    <row r="9" customFormat="false" ht="15" hidden="false" customHeight="false" outlineLevel="0" collapsed="false">
      <c r="B9" s="11" t="s">
        <v>125</v>
      </c>
      <c r="C9" s="11" t="s">
        <v>124</v>
      </c>
      <c r="D9" s="9" t="n">
        <v>66831.47</v>
      </c>
      <c r="E9" s="17" t="n">
        <f aca="false">D9/$D$11</f>
        <v>0.182462160069661</v>
      </c>
      <c r="F9" s="17" t="n">
        <f aca="false">D9/553189</f>
        <v>0.12081127788152</v>
      </c>
      <c r="G9" s="11" t="s">
        <v>5</v>
      </c>
    </row>
    <row r="10" customFormat="false" ht="15" hidden="false" customHeight="false" outlineLevel="0" collapsed="false">
      <c r="B10" s="11" t="s">
        <v>127</v>
      </c>
      <c r="C10" s="11" t="s">
        <v>126</v>
      </c>
      <c r="D10" s="9" t="n">
        <v>11528.09</v>
      </c>
      <c r="E10" s="17" t="n">
        <f aca="false">D10/$D$11</f>
        <v>0.0314737982402222</v>
      </c>
      <c r="F10" s="17" t="n">
        <f aca="false">D10/553189</f>
        <v>0.0208393333923849</v>
      </c>
      <c r="G10" s="11" t="s">
        <v>5</v>
      </c>
    </row>
    <row r="11" customFormat="false" ht="15" hidden="false" customHeight="false" outlineLevel="0" collapsed="false">
      <c r="B11" s="18" t="s">
        <v>144</v>
      </c>
      <c r="D11" s="20" t="n">
        <f aca="false">SUM(D6:D10)</f>
        <v>366275.78</v>
      </c>
      <c r="E11" s="17" t="n">
        <v>1</v>
      </c>
      <c r="F11" s="17" t="n">
        <f aca="false">D11/553189</f>
        <v>0.662116889526003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145</v>
      </c>
    </row>
    <row r="3" customFormat="false" ht="21.75" hidden="false" customHeight="true" outlineLevel="0" collapsed="false">
      <c r="B3" s="2" t="s">
        <v>146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147</v>
      </c>
      <c r="C5" s="3" t="s">
        <v>148</v>
      </c>
      <c r="D5" s="3" t="s">
        <v>149</v>
      </c>
      <c r="E5" s="3" t="s">
        <v>150</v>
      </c>
      <c r="F5" s="3" t="s">
        <v>151</v>
      </c>
      <c r="G5" s="3" t="s">
        <v>87</v>
      </c>
    </row>
    <row r="6" customFormat="false" ht="15" hidden="false" customHeight="false" outlineLevel="0" collapsed="false">
      <c r="B6" s="11" t="s">
        <v>152</v>
      </c>
      <c r="C6" s="11" t="s">
        <v>153</v>
      </c>
      <c r="D6" s="9" t="n">
        <v>35554.85</v>
      </c>
      <c r="E6" s="22" t="n">
        <v>27</v>
      </c>
      <c r="F6" s="11" t="s">
        <v>154</v>
      </c>
      <c r="G6" s="11" t="s">
        <v>5</v>
      </c>
    </row>
    <row r="7" customFormat="false" ht="15" hidden="false" customHeight="false" outlineLevel="0" collapsed="false">
      <c r="B7" s="11" t="s">
        <v>155</v>
      </c>
      <c r="C7" s="11" t="s">
        <v>156</v>
      </c>
      <c r="D7" s="9" t="n">
        <v>26527.5</v>
      </c>
      <c r="E7" s="22" t="n">
        <v>52</v>
      </c>
      <c r="F7" s="11" t="s">
        <v>154</v>
      </c>
      <c r="G7" s="11" t="s">
        <v>5</v>
      </c>
    </row>
    <row r="8" customFormat="false" ht="15" hidden="false" customHeight="false" outlineLevel="0" collapsed="false">
      <c r="B8" s="11" t="s">
        <v>157</v>
      </c>
      <c r="C8" s="11" t="s">
        <v>158</v>
      </c>
      <c r="D8" s="9" t="n">
        <v>22910.38</v>
      </c>
      <c r="E8" s="22" t="n">
        <v>7</v>
      </c>
      <c r="F8" s="11" t="s">
        <v>154</v>
      </c>
      <c r="G8" s="11" t="s">
        <v>5</v>
      </c>
    </row>
    <row r="9" customFormat="false" ht="15" hidden="false" customHeight="false" outlineLevel="0" collapsed="false">
      <c r="B9" s="11" t="s">
        <v>159</v>
      </c>
      <c r="C9" s="11" t="s">
        <v>160</v>
      </c>
      <c r="D9" s="9" t="n">
        <v>19553.06</v>
      </c>
      <c r="E9" s="22" t="n">
        <v>19</v>
      </c>
      <c r="F9" s="11" t="s">
        <v>154</v>
      </c>
      <c r="G9" s="11" t="s">
        <v>5</v>
      </c>
    </row>
    <row r="10" customFormat="false" ht="15" hidden="false" customHeight="false" outlineLevel="0" collapsed="false">
      <c r="B10" s="11" t="s">
        <v>161</v>
      </c>
      <c r="C10" s="11" t="s">
        <v>162</v>
      </c>
      <c r="D10" s="9" t="n">
        <v>4838.64</v>
      </c>
      <c r="E10" s="22" t="n">
        <v>3</v>
      </c>
      <c r="F10" s="11" t="s">
        <v>163</v>
      </c>
      <c r="G10" s="11" t="s">
        <v>5</v>
      </c>
    </row>
    <row r="11" customFormat="false" ht="15" hidden="false" customHeight="false" outlineLevel="0" collapsed="false">
      <c r="B11" s="11" t="s">
        <v>164</v>
      </c>
      <c r="C11" s="11" t="s">
        <v>165</v>
      </c>
      <c r="D11" s="9" t="n">
        <v>1859</v>
      </c>
      <c r="E11" s="22" t="n">
        <v>1</v>
      </c>
      <c r="F11" s="11" t="s">
        <v>154</v>
      </c>
      <c r="G11" s="11" t="s">
        <v>5</v>
      </c>
    </row>
    <row r="12" customFormat="false" ht="15" hidden="false" customHeight="false" outlineLevel="0" collapsed="false">
      <c r="B12" s="11" t="s">
        <v>166</v>
      </c>
      <c r="C12" s="11" t="s">
        <v>167</v>
      </c>
      <c r="D12" s="9" t="n">
        <v>1385.58</v>
      </c>
      <c r="E12" s="22" t="n">
        <v>1</v>
      </c>
      <c r="F12" s="11" t="s">
        <v>154</v>
      </c>
      <c r="G12" s="11" t="s">
        <v>5</v>
      </c>
    </row>
    <row r="13" customFormat="false" ht="15" hidden="false" customHeight="false" outlineLevel="0" collapsed="false">
      <c r="B13" s="11" t="s">
        <v>168</v>
      </c>
      <c r="C13" s="11" t="s">
        <v>169</v>
      </c>
      <c r="D13" s="9" t="n">
        <v>1312.98</v>
      </c>
      <c r="E13" s="22" t="n">
        <v>3</v>
      </c>
      <c r="F13" s="11" t="s">
        <v>163</v>
      </c>
      <c r="G13" s="11" t="s">
        <v>5</v>
      </c>
    </row>
    <row r="14" customFormat="false" ht="15" hidden="false" customHeight="false" outlineLevel="0" collapsed="false">
      <c r="B14" s="11" t="s">
        <v>170</v>
      </c>
      <c r="C14" s="11" t="s">
        <v>171</v>
      </c>
      <c r="D14" s="9" t="n">
        <v>796.24</v>
      </c>
      <c r="E14" s="22" t="n">
        <v>1</v>
      </c>
      <c r="F14" s="11" t="s">
        <v>163</v>
      </c>
      <c r="G14" s="11" t="s">
        <v>5</v>
      </c>
    </row>
    <row r="15" customFormat="false" ht="15" hidden="false" customHeight="false" outlineLevel="0" collapsed="false">
      <c r="B15" s="11" t="s">
        <v>172</v>
      </c>
      <c r="C15" s="11" t="s">
        <v>173</v>
      </c>
      <c r="D15" s="9" t="n">
        <v>772.5</v>
      </c>
      <c r="E15" s="22" t="n">
        <v>1</v>
      </c>
      <c r="F15" s="11" t="s">
        <v>174</v>
      </c>
      <c r="G15" s="11" t="s">
        <v>5</v>
      </c>
    </row>
    <row r="16" customFormat="false" ht="15" hidden="false" customHeight="false" outlineLevel="0" collapsed="false">
      <c r="B16" s="11" t="s">
        <v>175</v>
      </c>
      <c r="C16" s="11" t="s">
        <v>176</v>
      </c>
      <c r="D16" s="9" t="n">
        <v>534.04</v>
      </c>
      <c r="E16" s="22" t="n">
        <v>3</v>
      </c>
      <c r="F16" s="11" t="s">
        <v>177</v>
      </c>
      <c r="G16" s="11" t="s">
        <v>5</v>
      </c>
    </row>
    <row r="17" customFormat="false" ht="15" hidden="false" customHeight="false" outlineLevel="0" collapsed="false">
      <c r="B17" s="11" t="s">
        <v>178</v>
      </c>
      <c r="C17" s="11" t="s">
        <v>179</v>
      </c>
      <c r="D17" s="9" t="n">
        <v>501.94</v>
      </c>
      <c r="E17" s="22" t="n">
        <v>7</v>
      </c>
      <c r="F17" s="11" t="s">
        <v>177</v>
      </c>
      <c r="G17" s="11" t="s">
        <v>5</v>
      </c>
    </row>
    <row r="18" customFormat="false" ht="15" hidden="false" customHeight="false" outlineLevel="0" collapsed="false">
      <c r="B18" s="11" t="s">
        <v>180</v>
      </c>
      <c r="C18" s="11" t="s">
        <v>181</v>
      </c>
      <c r="D18" s="9" t="n">
        <v>296.3</v>
      </c>
      <c r="E18" s="22" t="n">
        <v>3</v>
      </c>
      <c r="F18" s="11" t="s">
        <v>154</v>
      </c>
      <c r="G18" s="11" t="s">
        <v>5</v>
      </c>
    </row>
    <row r="19" customFormat="false" ht="15" hidden="false" customHeight="false" outlineLevel="0" collapsed="false">
      <c r="B19" s="11" t="s">
        <v>182</v>
      </c>
      <c r="C19" s="11" t="s">
        <v>183</v>
      </c>
      <c r="D19" s="9" t="n">
        <v>155</v>
      </c>
      <c r="E19" s="22" t="n">
        <v>1</v>
      </c>
      <c r="F19" s="11" t="s">
        <v>184</v>
      </c>
      <c r="G19" s="11" t="s">
        <v>5</v>
      </c>
    </row>
    <row r="20" customFormat="false" ht="15" hidden="false" customHeight="false" outlineLevel="0" collapsed="false">
      <c r="B20" s="11" t="s">
        <v>185</v>
      </c>
      <c r="C20" s="11" t="s">
        <v>186</v>
      </c>
      <c r="D20" s="9" t="n">
        <v>121.44</v>
      </c>
      <c r="E20" s="22" t="n">
        <v>2</v>
      </c>
      <c r="F20" s="11" t="s">
        <v>154</v>
      </c>
      <c r="G20" s="11" t="s">
        <v>5</v>
      </c>
    </row>
    <row r="21" customFormat="false" ht="15" hidden="false" customHeight="false" outlineLevel="0" collapsed="false">
      <c r="B21" s="11" t="s">
        <v>187</v>
      </c>
      <c r="C21" s="11" t="s">
        <v>188</v>
      </c>
      <c r="D21" s="9" t="n">
        <v>72.76</v>
      </c>
      <c r="E21" s="22" t="n">
        <v>2</v>
      </c>
      <c r="F21" s="11" t="s">
        <v>154</v>
      </c>
      <c r="G21" s="11" t="s">
        <v>5</v>
      </c>
    </row>
    <row r="22" customFormat="false" ht="15" hidden="false" customHeight="false" outlineLevel="0" collapsed="false">
      <c r="B22" s="11" t="s">
        <v>189</v>
      </c>
      <c r="C22" s="11" t="s">
        <v>190</v>
      </c>
      <c r="D22" s="9" t="n">
        <v>0</v>
      </c>
      <c r="E22" s="22" t="n">
        <v>2</v>
      </c>
      <c r="F22" s="11" t="s">
        <v>154</v>
      </c>
      <c r="G22" s="11" t="s">
        <v>5</v>
      </c>
    </row>
    <row r="23" customFormat="false" ht="15" hidden="false" customHeight="false" outlineLevel="0" collapsed="false">
      <c r="B23" s="18" t="s">
        <v>130</v>
      </c>
      <c r="D23" s="20" t="n">
        <f aca="false">SUM(D6:D22)</f>
        <v>117192.21</v>
      </c>
      <c r="E23" s="23" t="n">
        <f aca="false">SUM(E6:E22)</f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191</v>
      </c>
    </row>
    <row r="3" customFormat="false" ht="21.75" hidden="false" customHeight="true" outlineLevel="0" collapsed="false">
      <c r="B3" s="2" t="s">
        <v>192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193</v>
      </c>
      <c r="C5" s="3" t="s">
        <v>194</v>
      </c>
      <c r="D5" s="3" t="s">
        <v>195</v>
      </c>
      <c r="E5" s="3" t="s">
        <v>196</v>
      </c>
      <c r="F5" s="3" t="s">
        <v>197</v>
      </c>
      <c r="G5" s="3" t="s">
        <v>198</v>
      </c>
      <c r="H5" s="3" t="s">
        <v>87</v>
      </c>
    </row>
    <row r="6" customFormat="false" ht="15" hidden="false" customHeight="false" outlineLevel="0" collapsed="false">
      <c r="B6" s="11" t="s">
        <v>199</v>
      </c>
      <c r="C6" s="11" t="s">
        <v>200</v>
      </c>
      <c r="D6" s="10" t="n">
        <v>715</v>
      </c>
      <c r="E6" s="9" t="n">
        <v>14670</v>
      </c>
      <c r="F6" s="20" t="n">
        <f aca="false">IF(D6=0,0,E6/D6)</f>
        <v>20.5174825174825</v>
      </c>
      <c r="G6" s="22" t="n">
        <v>22</v>
      </c>
      <c r="H6" s="11" t="s">
        <v>5</v>
      </c>
    </row>
    <row r="7" customFormat="false" ht="15" hidden="false" customHeight="false" outlineLevel="0" collapsed="false">
      <c r="B7" s="11" t="s">
        <v>201</v>
      </c>
      <c r="C7" s="11" t="s">
        <v>202</v>
      </c>
      <c r="D7" s="10" t="n">
        <v>706.5</v>
      </c>
      <c r="E7" s="9" t="n">
        <v>21405.5</v>
      </c>
      <c r="F7" s="20" t="n">
        <f aca="false">IF(D7=0,0,E7/D7)</f>
        <v>30.2979476291578</v>
      </c>
      <c r="G7" s="22" t="n">
        <v>22</v>
      </c>
      <c r="H7" s="11" t="s">
        <v>5</v>
      </c>
    </row>
    <row r="8" customFormat="false" ht="15" hidden="false" customHeight="false" outlineLevel="0" collapsed="false">
      <c r="B8" s="11" t="s">
        <v>203</v>
      </c>
      <c r="C8" s="11" t="s">
        <v>204</v>
      </c>
      <c r="D8" s="10" t="n">
        <v>695.5</v>
      </c>
      <c r="E8" s="9" t="n">
        <v>28170</v>
      </c>
      <c r="F8" s="20" t="n">
        <f aca="false">IF(D8=0,0,E8/D8)</f>
        <v>40.5032350826743</v>
      </c>
      <c r="G8" s="22" t="n">
        <v>25</v>
      </c>
      <c r="H8" s="11" t="s">
        <v>5</v>
      </c>
    </row>
    <row r="9" customFormat="false" ht="15" hidden="false" customHeight="false" outlineLevel="0" collapsed="false">
      <c r="B9" s="11" t="s">
        <v>205</v>
      </c>
      <c r="C9" s="11" t="s">
        <v>206</v>
      </c>
      <c r="D9" s="10" t="n">
        <v>551</v>
      </c>
      <c r="E9" s="9" t="n">
        <v>10820.5</v>
      </c>
      <c r="F9" s="20" t="n">
        <f aca="false">IF(D9=0,0,E9/D9)</f>
        <v>19.6379310344828</v>
      </c>
      <c r="G9" s="22" t="n">
        <v>14</v>
      </c>
      <c r="H9" s="11" t="s">
        <v>5</v>
      </c>
    </row>
    <row r="10" customFormat="false" ht="15" hidden="false" customHeight="false" outlineLevel="0" collapsed="false">
      <c r="B10" s="11" t="s">
        <v>207</v>
      </c>
      <c r="C10" s="11" t="s">
        <v>208</v>
      </c>
      <c r="D10" s="10" t="n">
        <v>535</v>
      </c>
      <c r="E10" s="9" t="n">
        <v>10516.5</v>
      </c>
      <c r="F10" s="20" t="n">
        <f aca="false">IF(D10=0,0,E10/D10)</f>
        <v>19.6570093457944</v>
      </c>
      <c r="G10" s="22" t="n">
        <v>14</v>
      </c>
      <c r="H10" s="11" t="s">
        <v>5</v>
      </c>
    </row>
    <row r="11" customFormat="false" ht="15" hidden="false" customHeight="false" outlineLevel="0" collapsed="false">
      <c r="B11" s="11" t="s">
        <v>209</v>
      </c>
      <c r="C11" s="11" t="s">
        <v>210</v>
      </c>
      <c r="D11" s="10" t="n">
        <v>508.5</v>
      </c>
      <c r="E11" s="9" t="n">
        <v>8200</v>
      </c>
      <c r="F11" s="20" t="n">
        <f aca="false">IF(D11=0,0,E11/D11)</f>
        <v>16.125860373648</v>
      </c>
      <c r="G11" s="22" t="n">
        <v>15</v>
      </c>
      <c r="H11" s="11" t="s">
        <v>5</v>
      </c>
    </row>
    <row r="12" customFormat="false" ht="15" hidden="false" customHeight="false" outlineLevel="0" collapsed="false">
      <c r="B12" s="11" t="s">
        <v>211</v>
      </c>
      <c r="C12" s="11" t="s">
        <v>212</v>
      </c>
      <c r="D12" s="10" t="n">
        <v>235</v>
      </c>
      <c r="E12" s="9" t="n">
        <v>4356</v>
      </c>
      <c r="F12" s="20" t="n">
        <f aca="false">IF(D12=0,0,E12/D12)</f>
        <v>18.536170212766</v>
      </c>
      <c r="G12" s="22" t="n">
        <v>7</v>
      </c>
      <c r="H12" s="11" t="s">
        <v>5</v>
      </c>
    </row>
    <row r="13" customFormat="false" ht="15" hidden="false" customHeight="false" outlineLevel="0" collapsed="false">
      <c r="B13" s="11" t="s">
        <v>213</v>
      </c>
      <c r="C13" s="11" t="s">
        <v>214</v>
      </c>
      <c r="D13" s="10" t="n">
        <v>226</v>
      </c>
      <c r="E13" s="9" t="n">
        <v>6411.75</v>
      </c>
      <c r="F13" s="20" t="n">
        <f aca="false">IF(D13=0,0,E13/D13)</f>
        <v>28.3705752212389</v>
      </c>
      <c r="G13" s="22" t="n">
        <v>11</v>
      </c>
      <c r="H13" s="11" t="s">
        <v>5</v>
      </c>
    </row>
    <row r="14" customFormat="false" ht="15" hidden="false" customHeight="false" outlineLevel="0" collapsed="false">
      <c r="B14" s="11" t="s">
        <v>215</v>
      </c>
      <c r="C14" s="11" t="s">
        <v>216</v>
      </c>
      <c r="D14" s="10" t="n">
        <v>215</v>
      </c>
      <c r="E14" s="9" t="n">
        <v>6324</v>
      </c>
      <c r="F14" s="20" t="n">
        <f aca="false">IF(D14=0,0,E14/D14)</f>
        <v>29.4139534883721</v>
      </c>
      <c r="G14" s="22" t="n">
        <v>8</v>
      </c>
      <c r="H14" s="11" t="s">
        <v>5</v>
      </c>
    </row>
    <row r="15" customFormat="false" ht="15" hidden="false" customHeight="false" outlineLevel="0" collapsed="false">
      <c r="B15" s="11" t="s">
        <v>217</v>
      </c>
      <c r="C15" s="11" t="s">
        <v>218</v>
      </c>
      <c r="D15" s="10" t="n">
        <v>213.5</v>
      </c>
      <c r="E15" s="9" t="n">
        <v>3202.5</v>
      </c>
      <c r="F15" s="20" t="n">
        <f aca="false">IF(D15=0,0,E15/D15)</f>
        <v>15</v>
      </c>
      <c r="G15" s="22" t="n">
        <v>8</v>
      </c>
      <c r="H15" s="11" t="s">
        <v>5</v>
      </c>
    </row>
    <row r="16" customFormat="false" ht="15" hidden="false" customHeight="false" outlineLevel="0" collapsed="false">
      <c r="B16" s="11" t="s">
        <v>219</v>
      </c>
      <c r="C16" s="11" t="s">
        <v>220</v>
      </c>
      <c r="D16" s="10" t="n">
        <v>200</v>
      </c>
      <c r="E16" s="9" t="n">
        <v>4680.5</v>
      </c>
      <c r="F16" s="20" t="n">
        <f aca="false">IF(D16=0,0,E16/D16)</f>
        <v>23.4025</v>
      </c>
      <c r="G16" s="22" t="n">
        <v>7</v>
      </c>
      <c r="H16" s="11" t="s">
        <v>5</v>
      </c>
    </row>
    <row r="17" customFormat="false" ht="15" hidden="false" customHeight="false" outlineLevel="0" collapsed="false">
      <c r="B17" s="11" t="s">
        <v>221</v>
      </c>
      <c r="C17" s="11" t="s">
        <v>222</v>
      </c>
      <c r="D17" s="10" t="n">
        <v>175</v>
      </c>
      <c r="E17" s="9" t="n">
        <v>3150</v>
      </c>
      <c r="F17" s="20" t="n">
        <f aca="false">IF(D17=0,0,E17/D17)</f>
        <v>18</v>
      </c>
      <c r="G17" s="22" t="n">
        <v>7</v>
      </c>
      <c r="H17" s="11" t="s">
        <v>5</v>
      </c>
    </row>
    <row r="18" customFormat="false" ht="15" hidden="false" customHeight="false" outlineLevel="0" collapsed="false">
      <c r="B18" s="11" t="s">
        <v>223</v>
      </c>
      <c r="C18" s="11" t="s">
        <v>224</v>
      </c>
      <c r="D18" s="10" t="n">
        <v>170</v>
      </c>
      <c r="E18" s="9" t="n">
        <v>7456</v>
      </c>
      <c r="F18" s="20" t="n">
        <f aca="false">IF(D18=0,0,E18/D18)</f>
        <v>43.8588235294118</v>
      </c>
      <c r="G18" s="22" t="n">
        <v>20</v>
      </c>
      <c r="H18" s="11" t="s">
        <v>5</v>
      </c>
    </row>
    <row r="19" customFormat="false" ht="15" hidden="false" customHeight="false" outlineLevel="0" collapsed="false">
      <c r="B19" s="11" t="s">
        <v>225</v>
      </c>
      <c r="C19" s="11" t="s">
        <v>226</v>
      </c>
      <c r="D19" s="10" t="n">
        <v>152</v>
      </c>
      <c r="E19" s="9" t="n">
        <v>4230</v>
      </c>
      <c r="F19" s="20" t="n">
        <f aca="false">IF(D19=0,0,E19/D19)</f>
        <v>27.8289473684211</v>
      </c>
      <c r="G19" s="22" t="n">
        <v>12</v>
      </c>
      <c r="H19" s="11" t="s">
        <v>5</v>
      </c>
    </row>
    <row r="20" customFormat="false" ht="15" hidden="false" customHeight="false" outlineLevel="0" collapsed="false">
      <c r="B20" s="11" t="s">
        <v>227</v>
      </c>
      <c r="C20" s="11" t="s">
        <v>228</v>
      </c>
      <c r="D20" s="10" t="n">
        <v>146.5</v>
      </c>
      <c r="E20" s="9" t="n">
        <v>2860</v>
      </c>
      <c r="F20" s="20" t="n">
        <f aca="false">IF(D20=0,0,E20/D20)</f>
        <v>19.5221843003413</v>
      </c>
      <c r="G20" s="22" t="n">
        <v>10</v>
      </c>
      <c r="H20" s="11" t="s">
        <v>5</v>
      </c>
    </row>
    <row r="21" customFormat="false" ht="15" hidden="false" customHeight="false" outlineLevel="0" collapsed="false">
      <c r="B21" s="11" t="s">
        <v>229</v>
      </c>
      <c r="C21" s="11" t="s">
        <v>230</v>
      </c>
      <c r="D21" s="10" t="n">
        <v>105.5</v>
      </c>
      <c r="E21" s="9" t="n">
        <v>5039.5</v>
      </c>
      <c r="F21" s="20" t="n">
        <f aca="false">IF(D21=0,0,E21/D21)</f>
        <v>47.7677725118483</v>
      </c>
      <c r="G21" s="22" t="n">
        <v>35</v>
      </c>
      <c r="H21" s="11" t="s">
        <v>5</v>
      </c>
    </row>
    <row r="22" customFormat="false" ht="15" hidden="false" customHeight="false" outlineLevel="0" collapsed="false">
      <c r="B22" s="11" t="s">
        <v>231</v>
      </c>
      <c r="C22" s="11" t="s">
        <v>232</v>
      </c>
      <c r="D22" s="10" t="n">
        <v>97.5</v>
      </c>
      <c r="E22" s="9" t="n">
        <v>1592</v>
      </c>
      <c r="F22" s="20" t="n">
        <f aca="false">IF(D22=0,0,E22/D22)</f>
        <v>16.3282051282051</v>
      </c>
      <c r="G22" s="22" t="n">
        <v>5</v>
      </c>
      <c r="H22" s="11" t="s">
        <v>5</v>
      </c>
    </row>
    <row r="23" customFormat="false" ht="15" hidden="false" customHeight="false" outlineLevel="0" collapsed="false">
      <c r="B23" s="11" t="s">
        <v>233</v>
      </c>
      <c r="C23" s="11" t="s">
        <v>234</v>
      </c>
      <c r="D23" s="10" t="n">
        <v>52</v>
      </c>
      <c r="E23" s="9" t="n">
        <v>2737.5</v>
      </c>
      <c r="F23" s="20" t="n">
        <f aca="false">IF(D23=0,0,E23/D23)</f>
        <v>52.6442307692308</v>
      </c>
      <c r="G23" s="22" t="n">
        <v>22</v>
      </c>
      <c r="H23" s="11" t="s">
        <v>5</v>
      </c>
    </row>
    <row r="24" customFormat="false" ht="15" hidden="false" customHeight="false" outlineLevel="0" collapsed="false">
      <c r="B24" s="11" t="s">
        <v>235</v>
      </c>
      <c r="C24" s="11" t="s">
        <v>236</v>
      </c>
      <c r="D24" s="10" t="n">
        <v>45.5</v>
      </c>
      <c r="E24" s="9" t="n">
        <v>728</v>
      </c>
      <c r="F24" s="20" t="n">
        <f aca="false">IF(D24=0,0,E24/D24)</f>
        <v>16</v>
      </c>
      <c r="G24" s="22" t="n">
        <v>4</v>
      </c>
      <c r="H24" s="11" t="s">
        <v>5</v>
      </c>
    </row>
    <row r="25" customFormat="false" ht="15" hidden="false" customHeight="false" outlineLevel="0" collapsed="false">
      <c r="B25" s="11" t="s">
        <v>237</v>
      </c>
      <c r="C25" s="11" t="s">
        <v>238</v>
      </c>
      <c r="D25" s="10" t="n">
        <v>44</v>
      </c>
      <c r="E25" s="9" t="n">
        <v>0</v>
      </c>
      <c r="F25" s="20" t="n">
        <f aca="false">IF(D25=0,0,E25/D25)</f>
        <v>0</v>
      </c>
      <c r="G25" s="22" t="n">
        <v>1</v>
      </c>
      <c r="H25" s="11" t="s">
        <v>5</v>
      </c>
    </row>
    <row r="26" customFormat="false" ht="15" hidden="false" customHeight="false" outlineLevel="0" collapsed="false">
      <c r="B26" s="11" t="s">
        <v>239</v>
      </c>
      <c r="C26" s="11" t="s">
        <v>240</v>
      </c>
      <c r="D26" s="10" t="n">
        <v>40</v>
      </c>
      <c r="E26" s="9" t="n">
        <v>552</v>
      </c>
      <c r="F26" s="20" t="n">
        <f aca="false">IF(D26=0,0,E26/D26)</f>
        <v>13.8</v>
      </c>
      <c r="G26" s="22" t="n">
        <v>5</v>
      </c>
      <c r="H26" s="11" t="s">
        <v>5</v>
      </c>
    </row>
    <row r="27" customFormat="false" ht="15" hidden="false" customHeight="false" outlineLevel="0" collapsed="false">
      <c r="B27" s="11" t="s">
        <v>241</v>
      </c>
      <c r="C27" s="11" t="s">
        <v>242</v>
      </c>
      <c r="D27" s="10" t="n">
        <v>40</v>
      </c>
      <c r="E27" s="9" t="n">
        <v>760</v>
      </c>
      <c r="F27" s="20" t="n">
        <f aca="false">IF(D27=0,0,E27/D27)</f>
        <v>19</v>
      </c>
      <c r="G27" s="22" t="n">
        <v>1</v>
      </c>
      <c r="H27" s="11" t="s">
        <v>5</v>
      </c>
    </row>
    <row r="28" customFormat="false" ht="15" hidden="false" customHeight="false" outlineLevel="0" collapsed="false">
      <c r="B28" s="11" t="s">
        <v>243</v>
      </c>
      <c r="C28" s="11" t="s">
        <v>244</v>
      </c>
      <c r="D28" s="10" t="n">
        <v>22.5</v>
      </c>
      <c r="E28" s="9" t="n">
        <v>360</v>
      </c>
      <c r="F28" s="20" t="n">
        <f aca="false">IF(D28=0,0,E28/D28)</f>
        <v>16</v>
      </c>
      <c r="G28" s="22" t="n">
        <v>2</v>
      </c>
      <c r="H28" s="11" t="s">
        <v>5</v>
      </c>
    </row>
    <row r="29" customFormat="false" ht="15" hidden="false" customHeight="false" outlineLevel="0" collapsed="false">
      <c r="B29" s="11" t="s">
        <v>245</v>
      </c>
      <c r="C29" s="11" t="s">
        <v>246</v>
      </c>
      <c r="D29" s="10" t="n">
        <v>19</v>
      </c>
      <c r="E29" s="9" t="n">
        <v>304</v>
      </c>
      <c r="F29" s="20" t="n">
        <f aca="false">IF(D29=0,0,E29/D29)</f>
        <v>16</v>
      </c>
      <c r="G29" s="22" t="n">
        <v>3</v>
      </c>
      <c r="H29" s="11" t="s">
        <v>5</v>
      </c>
    </row>
    <row r="30" customFormat="false" ht="15" hidden="false" customHeight="false" outlineLevel="0" collapsed="false">
      <c r="B30" s="11" t="s">
        <v>247</v>
      </c>
      <c r="C30" s="11" t="s">
        <v>248</v>
      </c>
      <c r="D30" s="10" t="n">
        <v>17</v>
      </c>
      <c r="E30" s="9" t="n">
        <v>731</v>
      </c>
      <c r="F30" s="20" t="n">
        <f aca="false">IF(D30=0,0,E30/D30)</f>
        <v>43</v>
      </c>
      <c r="G30" s="22" t="n">
        <v>2</v>
      </c>
      <c r="H30" s="11" t="s">
        <v>5</v>
      </c>
    </row>
    <row r="31" customFormat="false" ht="15" hidden="false" customHeight="false" outlineLevel="0" collapsed="false">
      <c r="B31" s="11" t="s">
        <v>249</v>
      </c>
      <c r="C31" s="11" t="s">
        <v>250</v>
      </c>
      <c r="D31" s="10" t="n">
        <v>16</v>
      </c>
      <c r="E31" s="9" t="n">
        <v>256</v>
      </c>
      <c r="F31" s="20" t="n">
        <f aca="false">IF(D31=0,0,E31/D31)</f>
        <v>16</v>
      </c>
      <c r="G31" s="22" t="n">
        <v>2</v>
      </c>
      <c r="H31" s="11" t="s">
        <v>5</v>
      </c>
    </row>
    <row r="32" customFormat="false" ht="15" hidden="false" customHeight="false" outlineLevel="0" collapsed="false">
      <c r="B32" s="11" t="s">
        <v>251</v>
      </c>
      <c r="C32" s="11" t="s">
        <v>252</v>
      </c>
      <c r="D32" s="10" t="n">
        <v>8</v>
      </c>
      <c r="E32" s="9" t="n">
        <v>120</v>
      </c>
      <c r="F32" s="20" t="n">
        <f aca="false">IF(D32=0,0,E32/D32)</f>
        <v>15</v>
      </c>
      <c r="G32" s="22" t="n">
        <v>1</v>
      </c>
      <c r="H32" s="11" t="s">
        <v>5</v>
      </c>
    </row>
    <row r="33" customFormat="false" ht="15" hidden="false" customHeight="false" outlineLevel="0" collapsed="false">
      <c r="B33" s="11" t="s">
        <v>253</v>
      </c>
      <c r="C33" s="11" t="s">
        <v>254</v>
      </c>
      <c r="D33" s="10" t="n">
        <v>8</v>
      </c>
      <c r="E33" s="9" t="n">
        <v>184</v>
      </c>
      <c r="F33" s="20" t="n">
        <f aca="false">IF(D33=0,0,E33/D33)</f>
        <v>23</v>
      </c>
      <c r="G33" s="22" t="n">
        <v>1</v>
      </c>
      <c r="H33" s="11" t="s">
        <v>5</v>
      </c>
    </row>
    <row r="34" customFormat="false" ht="15" hidden="false" customHeight="false" outlineLevel="0" collapsed="false">
      <c r="B34" s="11" t="s">
        <v>255</v>
      </c>
      <c r="C34" s="11" t="s">
        <v>256</v>
      </c>
      <c r="D34" s="10" t="n">
        <v>8</v>
      </c>
      <c r="E34" s="9" t="n">
        <v>208</v>
      </c>
      <c r="F34" s="20" t="n">
        <f aca="false">IF(D34=0,0,E34/D34)</f>
        <v>26</v>
      </c>
      <c r="G34" s="22" t="n">
        <v>1</v>
      </c>
      <c r="H34" s="11" t="s">
        <v>5</v>
      </c>
    </row>
    <row r="35" customFormat="false" ht="15" hidden="false" customHeight="false" outlineLevel="0" collapsed="false">
      <c r="B35" s="11" t="s">
        <v>257</v>
      </c>
      <c r="C35" s="11" t="s">
        <v>258</v>
      </c>
      <c r="D35" s="10" t="n">
        <v>8</v>
      </c>
      <c r="E35" s="9" t="n">
        <v>248</v>
      </c>
      <c r="F35" s="20" t="n">
        <f aca="false">IF(D35=0,0,E35/D35)</f>
        <v>31</v>
      </c>
      <c r="G35" s="22" t="n">
        <v>1</v>
      </c>
      <c r="H35" s="11" t="s">
        <v>5</v>
      </c>
    </row>
    <row r="36" customFormat="false" ht="15" hidden="false" customHeight="false" outlineLevel="0" collapsed="false">
      <c r="B36" s="11" t="s">
        <v>259</v>
      </c>
      <c r="C36" s="11" t="s">
        <v>260</v>
      </c>
      <c r="D36" s="10" t="n">
        <v>7</v>
      </c>
      <c r="E36" s="9" t="n">
        <v>199.5</v>
      </c>
      <c r="F36" s="20" t="n">
        <f aca="false">IF(D36=0,0,E36/D36)</f>
        <v>28.5</v>
      </c>
      <c r="G36" s="22" t="n">
        <v>1</v>
      </c>
      <c r="H36" s="11" t="s">
        <v>5</v>
      </c>
    </row>
    <row r="37" customFormat="false" ht="15" hidden="false" customHeight="false" outlineLevel="0" collapsed="false">
      <c r="B37" s="11" t="s">
        <v>261</v>
      </c>
      <c r="C37" s="11" t="s">
        <v>262</v>
      </c>
      <c r="D37" s="10" t="n">
        <v>5.5</v>
      </c>
      <c r="E37" s="9" t="n">
        <v>88</v>
      </c>
      <c r="F37" s="20" t="n">
        <f aca="false">IF(D37=0,0,E37/D37)</f>
        <v>16</v>
      </c>
      <c r="G37" s="22" t="n">
        <v>1</v>
      </c>
      <c r="H37" s="11" t="s">
        <v>5</v>
      </c>
    </row>
    <row r="38" customFormat="false" ht="15" hidden="false" customHeight="false" outlineLevel="0" collapsed="false">
      <c r="B38" s="11" t="s">
        <v>263</v>
      </c>
      <c r="C38" s="11" t="s">
        <v>264</v>
      </c>
      <c r="D38" s="10" t="n">
        <v>5</v>
      </c>
      <c r="E38" s="9" t="n">
        <v>130</v>
      </c>
      <c r="F38" s="20" t="n">
        <f aca="false">IF(D38=0,0,E38/D38)</f>
        <v>26</v>
      </c>
      <c r="G38" s="22" t="n">
        <v>1</v>
      </c>
      <c r="H38" s="11" t="s">
        <v>5</v>
      </c>
    </row>
    <row r="39" customFormat="false" ht="15" hidden="false" customHeight="false" outlineLevel="0" collapsed="false">
      <c r="B39" s="18" t="s">
        <v>130</v>
      </c>
      <c r="D39" s="21" t="n">
        <f aca="false">SUM(D6:D38)</f>
        <v>5993</v>
      </c>
      <c r="E39" s="20" t="n">
        <f aca="false">SUM(E6:E38)</f>
        <v>150690.75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265</v>
      </c>
    </row>
    <row r="3" customFormat="false" ht="21.75" hidden="false" customHeight="true" outlineLevel="0" collapsed="false">
      <c r="B3" s="2" t="s">
        <v>266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267</v>
      </c>
    </row>
    <row r="6" customFormat="false" ht="15" hidden="false" customHeight="false" outlineLevel="0" collapsed="false">
      <c r="B6" s="3" t="s">
        <v>268</v>
      </c>
      <c r="C6" s="3" t="s">
        <v>269</v>
      </c>
      <c r="D6" s="3" t="s">
        <v>270</v>
      </c>
      <c r="E6" s="3" t="s">
        <v>87</v>
      </c>
    </row>
    <row r="7" customFormat="false" ht="15" hidden="false" customHeight="false" outlineLevel="0" collapsed="false">
      <c r="B7" s="11" t="s">
        <v>271</v>
      </c>
      <c r="C7" s="10" t="n">
        <v>33</v>
      </c>
      <c r="D7" s="11" t="s">
        <v>272</v>
      </c>
      <c r="E7" s="11" t="s">
        <v>5</v>
      </c>
    </row>
    <row r="8" customFormat="false" ht="15" hidden="false" customHeight="false" outlineLevel="0" collapsed="false">
      <c r="B8" s="11" t="s">
        <v>273</v>
      </c>
      <c r="C8" s="10" t="n">
        <v>5993</v>
      </c>
      <c r="D8" s="11" t="s">
        <v>274</v>
      </c>
      <c r="E8" s="11" t="s">
        <v>5</v>
      </c>
    </row>
    <row r="9" customFormat="false" ht="15" hidden="false" customHeight="false" outlineLevel="0" collapsed="false">
      <c r="B9" s="11" t="s">
        <v>275</v>
      </c>
      <c r="C9" s="10" t="n">
        <v>150690.75</v>
      </c>
      <c r="D9" s="11" t="s">
        <v>274</v>
      </c>
      <c r="E9" s="11" t="s">
        <v>5</v>
      </c>
    </row>
    <row r="10" customFormat="false" ht="15" hidden="false" customHeight="false" outlineLevel="0" collapsed="false">
      <c r="B10" s="11" t="s">
        <v>276</v>
      </c>
      <c r="C10" s="9" t="n">
        <v>25.1444602035708</v>
      </c>
      <c r="D10" s="11" t="s">
        <v>277</v>
      </c>
      <c r="E10" s="11" t="s">
        <v>278</v>
      </c>
    </row>
    <row r="11" customFormat="false" ht="15" hidden="false" customHeight="false" outlineLevel="0" collapsed="false">
      <c r="B11" s="11" t="s">
        <v>279</v>
      </c>
      <c r="C11" s="24" t="n">
        <v>0.119305856832972</v>
      </c>
      <c r="D11" s="11" t="s">
        <v>280</v>
      </c>
      <c r="E11" s="11" t="s">
        <v>278</v>
      </c>
    </row>
    <row r="12" customFormat="false" ht="15" hidden="false" customHeight="false" outlineLevel="0" collapsed="false">
      <c r="B12" s="11" t="s">
        <v>281</v>
      </c>
      <c r="C12" s="24" t="n">
        <v>0.534456866344068</v>
      </c>
      <c r="D12" s="11" t="s">
        <v>282</v>
      </c>
      <c r="E12" s="11" t="s">
        <v>278</v>
      </c>
    </row>
    <row r="13" customFormat="false" ht="15" hidden="false" customHeight="false" outlineLevel="0" collapsed="false">
      <c r="B13" s="11" t="s">
        <v>283</v>
      </c>
      <c r="C13" s="9" t="n">
        <v>52.6442307692308</v>
      </c>
      <c r="D13" s="11" t="s">
        <v>284</v>
      </c>
      <c r="E13" s="11" t="s">
        <v>278</v>
      </c>
    </row>
    <row r="14" customFormat="false" ht="15" hidden="false" customHeight="false" outlineLevel="0" collapsed="false">
      <c r="B14" s="11" t="s">
        <v>285</v>
      </c>
      <c r="C14" s="9" t="n">
        <v>0</v>
      </c>
      <c r="D14" s="11" t="s">
        <v>284</v>
      </c>
      <c r="E14" s="11" t="s">
        <v>278</v>
      </c>
    </row>
    <row r="15" customFormat="false" ht="15" hidden="false" customHeight="false" outlineLevel="0" collapsed="false">
      <c r="B15" s="11" t="s">
        <v>286</v>
      </c>
      <c r="C15" s="10" t="n">
        <v>181.606060606061</v>
      </c>
      <c r="D15" s="11" t="s">
        <v>287</v>
      </c>
      <c r="E15" s="11" t="s">
        <v>278</v>
      </c>
    </row>
    <row r="16" customFormat="false" ht="15" hidden="false" customHeight="false" outlineLevel="0" collapsed="false">
      <c r="B16" s="11" t="s">
        <v>288</v>
      </c>
      <c r="C16" s="10" t="n">
        <v>8.81818181818182</v>
      </c>
      <c r="D16" s="11" t="s">
        <v>289</v>
      </c>
      <c r="E16" s="1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290</v>
      </c>
    </row>
    <row r="3" customFormat="false" ht="21.75" hidden="false" customHeight="true" outlineLevel="0" collapsed="false">
      <c r="B3" s="2" t="s">
        <v>291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268</v>
      </c>
      <c r="C5" s="3" t="s">
        <v>269</v>
      </c>
      <c r="D5" s="3" t="s">
        <v>292</v>
      </c>
      <c r="E5" s="3" t="s">
        <v>293</v>
      </c>
    </row>
    <row r="6" customFormat="false" ht="15" hidden="false" customHeight="false" outlineLevel="0" collapsed="false">
      <c r="B6" s="11" t="s">
        <v>294</v>
      </c>
      <c r="C6" s="9" t="n">
        <v>92.3058568329718</v>
      </c>
      <c r="D6" s="11" t="s">
        <v>295</v>
      </c>
    </row>
    <row r="7" customFormat="false" ht="15" hidden="false" customHeight="false" outlineLevel="0" collapsed="false">
      <c r="B7" s="11" t="s">
        <v>296</v>
      </c>
      <c r="C7" s="9" t="n">
        <v>31.188590021692</v>
      </c>
      <c r="D7" s="11" t="s">
        <v>295</v>
      </c>
    </row>
    <row r="8" customFormat="false" ht="15" hidden="false" customHeight="false" outlineLevel="0" collapsed="false">
      <c r="B8" s="11" t="s">
        <v>297</v>
      </c>
      <c r="C8" s="9" t="n">
        <v>25.1444602035708</v>
      </c>
      <c r="D8" s="11" t="s">
        <v>295</v>
      </c>
      <c r="E8" s="11" t="s">
        <v>298</v>
      </c>
    </row>
    <row r="9" customFormat="false" ht="15" hidden="false" customHeight="false" outlineLevel="0" collapsed="false">
      <c r="B9" s="11" t="s">
        <v>299</v>
      </c>
      <c r="C9" s="9" t="n">
        <v>51.2948</v>
      </c>
      <c r="D9" s="11" t="s">
        <v>295</v>
      </c>
      <c r="E9" s="11" t="s">
        <v>300</v>
      </c>
    </row>
    <row r="10" customFormat="false" ht="15" hidden="false" customHeight="false" outlineLevel="0" collapsed="false">
      <c r="B10" s="11" t="s">
        <v>301</v>
      </c>
      <c r="C10" s="25" t="n">
        <v>1.3421</v>
      </c>
      <c r="D10" s="11" t="s">
        <v>302</v>
      </c>
      <c r="E10" s="11" t="s">
        <v>303</v>
      </c>
    </row>
    <row r="11" customFormat="false" ht="15" hidden="false" customHeight="false" outlineLevel="0" collapsed="false">
      <c r="B11" s="11" t="s">
        <v>304</v>
      </c>
      <c r="C11" s="10" t="n">
        <v>4762</v>
      </c>
      <c r="D11" s="11" t="s">
        <v>305</v>
      </c>
    </row>
    <row r="12" customFormat="false" ht="15" hidden="false" customHeight="false" outlineLevel="0" collapsed="false">
      <c r="B12" s="11" t="s">
        <v>306</v>
      </c>
      <c r="C12" s="10" t="n">
        <v>923.5</v>
      </c>
      <c r="D12" s="11" t="s">
        <v>305</v>
      </c>
    </row>
    <row r="13" customFormat="false" ht="15" hidden="false" customHeight="false" outlineLevel="0" collapsed="false">
      <c r="B13" s="11" t="s">
        <v>307</v>
      </c>
      <c r="C13" s="26" t="n">
        <v>0.815830049683056</v>
      </c>
      <c r="D13" s="11" t="s">
        <v>308</v>
      </c>
    </row>
    <row r="14" customFormat="false" ht="15" hidden="false" customHeight="false" outlineLevel="0" collapsed="false">
      <c r="B14" s="11" t="s">
        <v>309</v>
      </c>
      <c r="C14" s="26" t="n">
        <v>0.337883110473997</v>
      </c>
      <c r="D14" s="11" t="s">
        <v>308</v>
      </c>
    </row>
    <row r="15" customFormat="false" ht="15" hidden="false" customHeight="false" outlineLevel="0" collapsed="false">
      <c r="B15" s="11" t="s">
        <v>310</v>
      </c>
      <c r="C15" s="26" t="n">
        <v>0.272403735432194</v>
      </c>
      <c r="D15" s="11" t="s">
        <v>308</v>
      </c>
    </row>
    <row r="16" customFormat="false" ht="15" hidden="false" customHeight="false" outlineLevel="0" collapsed="false">
      <c r="B16" s="11" t="s">
        <v>311</v>
      </c>
      <c r="C16" s="26" t="n">
        <v>0.240776696572058</v>
      </c>
      <c r="D16" s="11" t="s">
        <v>308</v>
      </c>
    </row>
    <row r="17" customFormat="false" ht="15" hidden="false" customHeight="false" outlineLevel="0" collapsed="false">
      <c r="B17" s="11" t="s">
        <v>312</v>
      </c>
      <c r="C17" s="26" t="n">
        <v>0.662116889526003</v>
      </c>
      <c r="D17" s="11" t="s">
        <v>308</v>
      </c>
      <c r="E17" s="11" t="s">
        <v>313</v>
      </c>
    </row>
    <row r="18" customFormat="false" ht="15" hidden="false" customHeight="false" outlineLevel="0" collapsed="false">
      <c r="B18" s="11" t="s">
        <v>314</v>
      </c>
      <c r="C18" s="9" t="n">
        <v>7683.18055555556</v>
      </c>
      <c r="D18" s="11" t="s">
        <v>315</v>
      </c>
      <c r="E18" s="11" t="s">
        <v>316</v>
      </c>
    </row>
    <row r="19" customFormat="false" ht="15" hidden="false" customHeight="false" outlineLevel="0" collapsed="false">
      <c r="B19" s="11" t="s">
        <v>317</v>
      </c>
      <c r="C19" s="10" t="n">
        <v>83.2361111111111</v>
      </c>
      <c r="D19" s="11" t="s">
        <v>305</v>
      </c>
    </row>
    <row r="20" customFormat="false" ht="15" hidden="false" customHeight="false" outlineLevel="0" collapsed="false">
      <c r="B20" s="11" t="s">
        <v>318</v>
      </c>
      <c r="C20" s="9" t="n">
        <v>2092.92708333333</v>
      </c>
      <c r="D20" s="11" t="s">
        <v>315</v>
      </c>
    </row>
    <row r="21" customFormat="false" ht="15" hidden="false" customHeight="false" outlineLevel="0" collapsed="false">
      <c r="B21" s="11" t="s">
        <v>319</v>
      </c>
      <c r="C21" s="9" t="n">
        <v>1849.93083333333</v>
      </c>
      <c r="D21" s="11" t="s">
        <v>315</v>
      </c>
    </row>
    <row r="22" customFormat="false" ht="15" hidden="false" customHeight="false" outlineLevel="0" collapsed="false">
      <c r="B22" s="11" t="s">
        <v>320</v>
      </c>
      <c r="C22" s="9" t="n">
        <v>5087.16361111111</v>
      </c>
      <c r="D22" s="11" t="s">
        <v>315</v>
      </c>
    </row>
    <row r="23" customFormat="false" ht="15" hidden="false" customHeight="false" outlineLevel="0" collapsed="false">
      <c r="B23" s="11" t="s">
        <v>321</v>
      </c>
      <c r="C23" s="10" t="n">
        <v>66.1388888888889</v>
      </c>
      <c r="D23" s="11" t="s">
        <v>305</v>
      </c>
    </row>
    <row r="24" customFormat="false" ht="15" hidden="false" customHeight="false" outlineLevel="0" collapsed="false">
      <c r="B24" s="11" t="s">
        <v>322</v>
      </c>
      <c r="C24" s="9" t="n">
        <v>736.603195739015</v>
      </c>
      <c r="D24" s="11" t="s">
        <v>315</v>
      </c>
      <c r="E24" s="11" t="s">
        <v>323</v>
      </c>
    </row>
    <row r="25" customFormat="false" ht="15" hidden="false" customHeight="false" outlineLevel="0" collapsed="false">
      <c r="B25" s="11" t="s">
        <v>324</v>
      </c>
      <c r="C25" s="10" t="n">
        <v>7.98002663115846</v>
      </c>
      <c r="D25" s="11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325</v>
      </c>
    </row>
    <row r="3" customFormat="false" ht="21.75" hidden="false" customHeight="true" outlineLevel="0" collapsed="false">
      <c r="B3" s="2" t="s">
        <v>326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327</v>
      </c>
      <c r="C5" s="3" t="s">
        <v>328</v>
      </c>
      <c r="D5" s="3" t="s">
        <v>329</v>
      </c>
      <c r="E5" s="3" t="s">
        <v>330</v>
      </c>
      <c r="F5" s="3" t="s">
        <v>67</v>
      </c>
      <c r="G5" s="3" t="s">
        <v>80</v>
      </c>
      <c r="H5" s="3" t="s">
        <v>331</v>
      </c>
      <c r="I5" s="3" t="s">
        <v>87</v>
      </c>
    </row>
    <row r="6" customFormat="false" ht="15" hidden="false" customHeight="false" outlineLevel="0" collapsed="false">
      <c r="B6" s="11" t="s">
        <v>332</v>
      </c>
      <c r="C6" s="11" t="s">
        <v>333</v>
      </c>
      <c r="D6" s="11" t="s">
        <v>12</v>
      </c>
      <c r="E6" s="11" t="s">
        <v>334</v>
      </c>
      <c r="F6" s="11" t="s">
        <v>335</v>
      </c>
      <c r="G6" s="11" t="s">
        <v>336</v>
      </c>
      <c r="H6" s="9" t="n">
        <v>475800</v>
      </c>
      <c r="I6" s="11" t="s">
        <v>20</v>
      </c>
    </row>
    <row r="7" customFormat="false" ht="15" hidden="false" customHeight="false" outlineLevel="0" collapsed="false">
      <c r="B7" s="11" t="s">
        <v>337</v>
      </c>
      <c r="C7" s="11" t="s">
        <v>338</v>
      </c>
      <c r="D7" s="11" t="s">
        <v>12</v>
      </c>
      <c r="E7" s="11" t="s">
        <v>339</v>
      </c>
      <c r="F7" s="11" t="s">
        <v>340</v>
      </c>
      <c r="G7" s="11" t="s">
        <v>341</v>
      </c>
      <c r="H7" s="9" t="n">
        <v>77389</v>
      </c>
      <c r="I7" s="11" t="s">
        <v>5</v>
      </c>
    </row>
    <row r="8" customFormat="false" ht="15" hidden="false" customHeight="false" outlineLevel="0" collapsed="false">
      <c r="B8" s="18" t="s">
        <v>342</v>
      </c>
      <c r="H8" s="20" t="n">
        <f aca="false">SUM(H6:H7)</f>
        <v>553189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343</v>
      </c>
    </row>
    <row r="3" customFormat="false" ht="21.75" hidden="false" customHeight="true" outlineLevel="0" collapsed="false">
      <c r="B3" s="2" t="s">
        <v>344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345</v>
      </c>
      <c r="C5" s="3" t="s">
        <v>328</v>
      </c>
      <c r="D5" s="3" t="s">
        <v>346</v>
      </c>
      <c r="E5" s="3" t="s">
        <v>347</v>
      </c>
      <c r="F5" s="3" t="s">
        <v>348</v>
      </c>
      <c r="G5" s="3" t="s">
        <v>87</v>
      </c>
    </row>
    <row r="6" customFormat="false" ht="15" hidden="false" customHeight="false" outlineLevel="0" collapsed="false">
      <c r="B6" s="11" t="s">
        <v>349</v>
      </c>
      <c r="C6" s="11" t="s">
        <v>350</v>
      </c>
      <c r="D6" s="27" t="n">
        <v>-40700</v>
      </c>
      <c r="E6" s="27" t="n">
        <v>-2035</v>
      </c>
      <c r="F6" s="22" t="n">
        <v>4</v>
      </c>
      <c r="G6" s="11" t="s">
        <v>5</v>
      </c>
    </row>
    <row r="7" customFormat="false" ht="15" hidden="false" customHeight="false" outlineLevel="0" collapsed="false">
      <c r="B7" s="11" t="s">
        <v>351</v>
      </c>
      <c r="C7" s="11" t="s">
        <v>352</v>
      </c>
      <c r="D7" s="27" t="n">
        <v>-8273</v>
      </c>
      <c r="E7" s="27" t="n">
        <v>-413.65</v>
      </c>
      <c r="F7" s="22" t="n">
        <v>3</v>
      </c>
      <c r="G7" s="11" t="s">
        <v>5</v>
      </c>
    </row>
    <row r="8" customFormat="false" ht="15" hidden="false" customHeight="false" outlineLevel="0" collapsed="false">
      <c r="B8" s="11" t="s">
        <v>353</v>
      </c>
      <c r="C8" s="11" t="s">
        <v>354</v>
      </c>
      <c r="D8" s="27" t="n">
        <v>-35681</v>
      </c>
      <c r="E8" s="27" t="n">
        <v>-1784.05</v>
      </c>
      <c r="F8" s="22" t="n">
        <v>2</v>
      </c>
      <c r="G8" s="11" t="s">
        <v>5</v>
      </c>
    </row>
    <row r="9" customFormat="false" ht="15" hidden="false" customHeight="false" outlineLevel="0" collapsed="false">
      <c r="B9" s="11" t="s">
        <v>355</v>
      </c>
      <c r="C9" s="11" t="s">
        <v>356</v>
      </c>
      <c r="D9" s="27" t="n">
        <v>-47993</v>
      </c>
      <c r="E9" s="27" t="n">
        <v>-2399.65</v>
      </c>
      <c r="F9" s="22" t="n">
        <v>4</v>
      </c>
      <c r="G9" s="11" t="s">
        <v>5</v>
      </c>
    </row>
    <row r="10" customFormat="false" ht="15" hidden="false" customHeight="false" outlineLevel="0" collapsed="false">
      <c r="B10" s="11" t="s">
        <v>357</v>
      </c>
      <c r="C10" s="11" t="s">
        <v>358</v>
      </c>
      <c r="D10" s="27" t="n">
        <v>-52062</v>
      </c>
      <c r="E10" s="27" t="n">
        <v>-2603.1</v>
      </c>
      <c r="F10" s="22" t="n">
        <v>5</v>
      </c>
      <c r="G10" s="11" t="s">
        <v>5</v>
      </c>
    </row>
    <row r="11" customFormat="false" ht="15" hidden="false" customHeight="false" outlineLevel="0" collapsed="false">
      <c r="B11" s="11" t="s">
        <v>359</v>
      </c>
      <c r="C11" s="11" t="s">
        <v>360</v>
      </c>
      <c r="D11" s="27" t="n">
        <v>-28431</v>
      </c>
      <c r="E11" s="27" t="n">
        <v>-1421.55</v>
      </c>
      <c r="F11" s="22" t="n">
        <v>3</v>
      </c>
      <c r="G11" s="11" t="s">
        <v>5</v>
      </c>
    </row>
    <row r="12" customFormat="false" ht="15" hidden="false" customHeight="false" outlineLevel="0" collapsed="false">
      <c r="B12" s="11" t="s">
        <v>361</v>
      </c>
      <c r="C12" s="11" t="s">
        <v>362</v>
      </c>
      <c r="D12" s="27" t="n">
        <v>-378</v>
      </c>
      <c r="E12" s="27" t="n">
        <v>-18.9</v>
      </c>
      <c r="F12" s="22" t="n">
        <v>1</v>
      </c>
      <c r="G12" s="11" t="s">
        <v>5</v>
      </c>
    </row>
    <row r="13" customFormat="false" ht="15" hidden="false" customHeight="false" outlineLevel="0" collapsed="false">
      <c r="B13" s="11" t="s">
        <v>363</v>
      </c>
      <c r="C13" s="11" t="s">
        <v>364</v>
      </c>
      <c r="D13" s="27" t="n">
        <v>-103750</v>
      </c>
      <c r="E13" s="27" t="n">
        <v>-5187.5</v>
      </c>
      <c r="F13" s="22" t="n">
        <v>4</v>
      </c>
      <c r="G13" s="11" t="s">
        <v>5</v>
      </c>
    </row>
    <row r="14" customFormat="false" ht="15" hidden="false" customHeight="false" outlineLevel="0" collapsed="false">
      <c r="B14" s="11" t="s">
        <v>365</v>
      </c>
      <c r="C14" s="11" t="s">
        <v>366</v>
      </c>
      <c r="D14" s="27" t="n">
        <v>-165460</v>
      </c>
      <c r="E14" s="27" t="n">
        <v>-8273</v>
      </c>
      <c r="F14" s="22" t="n">
        <v>5</v>
      </c>
      <c r="G14" s="11" t="s">
        <v>5</v>
      </c>
    </row>
    <row r="15" customFormat="false" ht="15" hidden="false" customHeight="false" outlineLevel="0" collapsed="false">
      <c r="B15" s="11" t="s">
        <v>367</v>
      </c>
      <c r="C15" s="11" t="s">
        <v>368</v>
      </c>
      <c r="D15" s="27" t="n">
        <v>-70461</v>
      </c>
      <c r="E15" s="27" t="n">
        <v>-3523.05</v>
      </c>
      <c r="F15" s="22" t="n">
        <v>9</v>
      </c>
      <c r="G15" s="11" t="s">
        <v>5</v>
      </c>
    </row>
    <row r="16" customFormat="false" ht="15" hidden="false" customHeight="false" outlineLevel="0" collapsed="false">
      <c r="B16" s="18" t="s">
        <v>369</v>
      </c>
      <c r="D16" s="16" t="n">
        <f aca="false">SUM(D6:D15)</f>
        <v>-553189</v>
      </c>
      <c r="E16" s="16" t="n">
        <f aca="false">SUM(E6:E15)</f>
        <v>-27659.45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370</v>
      </c>
    </row>
    <row r="3" customFormat="false" ht="21.75" hidden="false" customHeight="true" outlineLevel="0" collapsed="false">
      <c r="B3" s="2" t="s">
        <v>371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372</v>
      </c>
      <c r="C5" s="3" t="s">
        <v>373</v>
      </c>
      <c r="D5" s="3" t="s">
        <v>374</v>
      </c>
      <c r="E5" s="3" t="s">
        <v>375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376</v>
      </c>
      <c r="D6" s="11" t="s">
        <v>377</v>
      </c>
      <c r="E6" s="13" t="s">
        <v>378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379</v>
      </c>
      <c r="D7" s="11" t="s">
        <v>380</v>
      </c>
      <c r="E7" s="13" t="s">
        <v>378</v>
      </c>
      <c r="F7" s="11" t="s">
        <v>381</v>
      </c>
    </row>
    <row r="8" customFormat="false" ht="15" hidden="false" customHeight="false" outlineLevel="0" collapsed="false">
      <c r="B8" s="11" t="n">
        <v>3</v>
      </c>
      <c r="C8" s="11" t="s">
        <v>382</v>
      </c>
      <c r="D8" s="11" t="s">
        <v>383</v>
      </c>
      <c r="E8" s="13" t="s">
        <v>378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384</v>
      </c>
      <c r="D9" s="11" t="s">
        <v>385</v>
      </c>
      <c r="E9" s="13" t="s">
        <v>378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386</v>
      </c>
      <c r="D10" s="11" t="s">
        <v>387</v>
      </c>
      <c r="E10" s="13" t="s">
        <v>378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388</v>
      </c>
      <c r="D11" s="11" t="s">
        <v>389</v>
      </c>
      <c r="E11" s="13" t="s">
        <v>378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390</v>
      </c>
      <c r="D12" s="11" t="s">
        <v>391</v>
      </c>
      <c r="E12" s="13" t="s">
        <v>378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392</v>
      </c>
      <c r="D13" s="11" t="s">
        <v>393</v>
      </c>
      <c r="E13" s="13" t="s">
        <v>378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394</v>
      </c>
      <c r="D14" s="11" t="s">
        <v>395</v>
      </c>
      <c r="E14" s="13" t="s">
        <v>378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396</v>
      </c>
      <c r="D15" s="11" t="s">
        <v>397</v>
      </c>
      <c r="E15" s="13" t="s">
        <v>378</v>
      </c>
      <c r="F15" s="11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399</v>
      </c>
    </row>
    <row r="3" customFormat="false" ht="21.75" hidden="false" customHeight="true" outlineLevel="0" collapsed="false">
      <c r="B3" s="2" t="s">
        <v>400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401</v>
      </c>
      <c r="C5" s="3" t="s">
        <v>402</v>
      </c>
      <c r="D5" s="3" t="s">
        <v>269</v>
      </c>
      <c r="E5" s="3" t="s">
        <v>133</v>
      </c>
      <c r="F5" s="3" t="s">
        <v>270</v>
      </c>
      <c r="G5" s="3" t="s">
        <v>375</v>
      </c>
      <c r="H5" s="3" t="s">
        <v>403</v>
      </c>
    </row>
    <row r="6" customFormat="false" ht="15" hidden="false" customHeight="false" outlineLevel="0" collapsed="false">
      <c r="B6" s="11" t="s">
        <v>404</v>
      </c>
      <c r="C6" s="11" t="s">
        <v>405</v>
      </c>
      <c r="D6" s="11" t="s">
        <v>4</v>
      </c>
      <c r="E6" s="11" t="s">
        <v>406</v>
      </c>
      <c r="F6" s="11" t="s">
        <v>407</v>
      </c>
      <c r="G6" s="13" t="s">
        <v>378</v>
      </c>
      <c r="H6" s="11" t="s">
        <v>5</v>
      </c>
    </row>
    <row r="7" customFormat="false" ht="15" hidden="false" customHeight="false" outlineLevel="0" collapsed="false">
      <c r="B7" s="11" t="s">
        <v>408</v>
      </c>
      <c r="C7" s="11" t="s">
        <v>409</v>
      </c>
      <c r="D7" s="11" t="s">
        <v>410</v>
      </c>
      <c r="E7" s="11" t="s">
        <v>406</v>
      </c>
      <c r="F7" s="11"/>
      <c r="G7" s="13" t="s">
        <v>378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411</v>
      </c>
      <c r="D8" s="11" t="s">
        <v>12</v>
      </c>
      <c r="E8" s="11" t="s">
        <v>406</v>
      </c>
      <c r="F8" s="11"/>
      <c r="G8" s="13" t="s">
        <v>378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412</v>
      </c>
      <c r="D9" s="11" t="s">
        <v>17</v>
      </c>
      <c r="E9" s="11" t="s">
        <v>406</v>
      </c>
      <c r="F9" s="11"/>
      <c r="G9" s="13" t="s">
        <v>378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413</v>
      </c>
      <c r="D10" s="11" t="s">
        <v>35</v>
      </c>
      <c r="E10" s="11" t="s">
        <v>406</v>
      </c>
      <c r="F10" s="11"/>
      <c r="G10" s="13" t="s">
        <v>378</v>
      </c>
      <c r="H10" s="11" t="s">
        <v>36</v>
      </c>
    </row>
    <row r="11" customFormat="false" ht="15" hidden="false" customHeight="false" outlineLevel="0" collapsed="false">
      <c r="B11" s="11" t="s">
        <v>414</v>
      </c>
      <c r="C11" s="11" t="s">
        <v>415</v>
      </c>
      <c r="D11" s="11" t="s">
        <v>28</v>
      </c>
      <c r="E11" s="11" t="s">
        <v>406</v>
      </c>
      <c r="F11" s="11"/>
      <c r="G11" s="13" t="s">
        <v>378</v>
      </c>
      <c r="H11" s="11" t="s">
        <v>13</v>
      </c>
    </row>
    <row r="12" customFormat="false" ht="15" hidden="false" customHeight="false" outlineLevel="0" collapsed="false">
      <c r="B12" s="11" t="s">
        <v>416</v>
      </c>
      <c r="C12" s="11" t="s">
        <v>417</v>
      </c>
      <c r="D12" s="11" t="s">
        <v>418</v>
      </c>
      <c r="E12" s="11" t="s">
        <v>406</v>
      </c>
      <c r="F12" s="11"/>
      <c r="G12" s="13" t="s">
        <v>378</v>
      </c>
      <c r="H12" s="11" t="s">
        <v>419</v>
      </c>
    </row>
    <row r="13" customFormat="false" ht="15" hidden="false" customHeight="false" outlineLevel="0" collapsed="false">
      <c r="B13" s="11" t="s">
        <v>420</v>
      </c>
      <c r="C13" s="11" t="s">
        <v>421</v>
      </c>
      <c r="D13" s="11" t="s">
        <v>30</v>
      </c>
      <c r="E13" s="11" t="s">
        <v>406</v>
      </c>
      <c r="F13" s="11"/>
      <c r="G13" s="13" t="s">
        <v>378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422</v>
      </c>
      <c r="D14" s="11" t="s">
        <v>19</v>
      </c>
      <c r="E14" s="11" t="s">
        <v>406</v>
      </c>
      <c r="F14" s="11"/>
      <c r="G14" s="13" t="s">
        <v>378</v>
      </c>
      <c r="H14" s="11" t="s">
        <v>20</v>
      </c>
    </row>
    <row r="15" customFormat="false" ht="15" hidden="false" customHeight="false" outlineLevel="0" collapsed="false">
      <c r="B15" s="11" t="s">
        <v>423</v>
      </c>
      <c r="C15" s="11" t="s">
        <v>424</v>
      </c>
      <c r="D15" s="11" t="s">
        <v>22</v>
      </c>
      <c r="E15" s="11" t="s">
        <v>406</v>
      </c>
      <c r="F15" s="11"/>
      <c r="G15" s="13" t="s">
        <v>378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425</v>
      </c>
      <c r="D16" s="11" t="s">
        <v>26</v>
      </c>
      <c r="E16" s="11" t="s">
        <v>406</v>
      </c>
      <c r="F16" s="11"/>
      <c r="G16" s="13" t="s">
        <v>378</v>
      </c>
      <c r="H16" s="11" t="s">
        <v>20</v>
      </c>
    </row>
    <row r="17" customFormat="false" ht="15" hidden="false" customHeight="false" outlineLevel="0" collapsed="false">
      <c r="B17" s="11" t="s">
        <v>426</v>
      </c>
      <c r="C17" s="11" t="s">
        <v>427</v>
      </c>
      <c r="D17" s="11" t="s">
        <v>333</v>
      </c>
      <c r="E17" s="11" t="s">
        <v>406</v>
      </c>
      <c r="F17" s="11"/>
      <c r="G17" s="13" t="s">
        <v>378</v>
      </c>
      <c r="H17" s="11" t="s">
        <v>20</v>
      </c>
    </row>
    <row r="18" customFormat="false" ht="15" hidden="false" customHeight="false" outlineLevel="0" collapsed="false">
      <c r="B18" s="11" t="s">
        <v>428</v>
      </c>
      <c r="C18" s="11" t="s">
        <v>429</v>
      </c>
      <c r="D18" s="11" t="s">
        <v>430</v>
      </c>
      <c r="E18" s="11" t="s">
        <v>406</v>
      </c>
      <c r="F18" s="11"/>
      <c r="G18" s="13" t="s">
        <v>378</v>
      </c>
      <c r="H18" s="11" t="s">
        <v>5</v>
      </c>
    </row>
    <row r="19" customFormat="false" ht="15" hidden="false" customHeight="false" outlineLevel="0" collapsed="false">
      <c r="B19" s="11" t="s">
        <v>431</v>
      </c>
      <c r="C19" s="11" t="s">
        <v>432</v>
      </c>
      <c r="D19" s="11" t="s">
        <v>433</v>
      </c>
      <c r="E19" s="11" t="s">
        <v>406</v>
      </c>
      <c r="F19" s="11"/>
      <c r="G19" s="13" t="s">
        <v>378</v>
      </c>
      <c r="H19" s="11" t="s">
        <v>5</v>
      </c>
    </row>
    <row r="20" customFormat="false" ht="15" hidden="false" customHeight="false" outlineLevel="0" collapsed="false">
      <c r="B20" s="11" t="s">
        <v>434</v>
      </c>
      <c r="C20" s="11" t="s">
        <v>435</v>
      </c>
      <c r="D20" s="22" t="n">
        <v>11</v>
      </c>
      <c r="E20" s="11" t="s">
        <v>406</v>
      </c>
      <c r="F20" s="11"/>
      <c r="G20" s="13" t="s">
        <v>378</v>
      </c>
      <c r="H20" s="11" t="s">
        <v>278</v>
      </c>
    </row>
    <row r="21" customFormat="false" ht="15" hidden="false" customHeight="false" outlineLevel="0" collapsed="false">
      <c r="B21" s="11" t="s">
        <v>39</v>
      </c>
      <c r="C21" s="11" t="s">
        <v>436</v>
      </c>
      <c r="D21" s="22" t="n">
        <v>72</v>
      </c>
      <c r="E21" s="11" t="s">
        <v>406</v>
      </c>
      <c r="F21" s="11" t="s">
        <v>437</v>
      </c>
      <c r="G21" s="13" t="s">
        <v>378</v>
      </c>
      <c r="H21" s="11" t="s">
        <v>438</v>
      </c>
    </row>
    <row r="22" customFormat="false" ht="15" hidden="false" customHeight="false" outlineLevel="0" collapsed="false">
      <c r="B22" s="11" t="s">
        <v>439</v>
      </c>
      <c r="C22" s="11" t="s">
        <v>440</v>
      </c>
      <c r="D22" s="22" t="n">
        <v>751</v>
      </c>
      <c r="E22" s="11" t="s">
        <v>406</v>
      </c>
      <c r="F22" s="11" t="s">
        <v>441</v>
      </c>
      <c r="G22" s="13" t="s">
        <v>378</v>
      </c>
      <c r="H22" s="11" t="s">
        <v>438</v>
      </c>
    </row>
    <row r="23" customFormat="false" ht="15" hidden="false" customHeight="false" outlineLevel="0" collapsed="false">
      <c r="B23" s="11" t="s">
        <v>442</v>
      </c>
      <c r="C23" s="11" t="s">
        <v>443</v>
      </c>
      <c r="D23" s="9" t="n">
        <v>475800</v>
      </c>
      <c r="E23" s="11" t="s">
        <v>444</v>
      </c>
      <c r="F23" s="11"/>
      <c r="G23" s="13" t="s">
        <v>378</v>
      </c>
      <c r="H23" s="11" t="s">
        <v>13</v>
      </c>
    </row>
    <row r="24" customFormat="false" ht="15" hidden="false" customHeight="false" outlineLevel="0" collapsed="false">
      <c r="B24" s="11" t="s">
        <v>445</v>
      </c>
      <c r="C24" s="11" t="s">
        <v>446</v>
      </c>
      <c r="D24" s="9" t="n">
        <v>553189</v>
      </c>
      <c r="E24" s="11" t="s">
        <v>444</v>
      </c>
      <c r="F24" s="11"/>
      <c r="G24" s="13" t="s">
        <v>378</v>
      </c>
      <c r="H24" s="11" t="s">
        <v>13</v>
      </c>
    </row>
    <row r="25" customFormat="false" ht="15" hidden="false" customHeight="false" outlineLevel="0" collapsed="false">
      <c r="B25" s="11" t="s">
        <v>447</v>
      </c>
      <c r="C25" s="11" t="s">
        <v>448</v>
      </c>
      <c r="D25" s="9" t="n">
        <v>77389</v>
      </c>
      <c r="E25" s="11" t="s">
        <v>444</v>
      </c>
      <c r="F25" s="11" t="s">
        <v>449</v>
      </c>
      <c r="G25" s="13" t="s">
        <v>378</v>
      </c>
      <c r="H25" s="11" t="s">
        <v>381</v>
      </c>
    </row>
    <row r="26" customFormat="false" ht="15" hidden="false" customHeight="false" outlineLevel="0" collapsed="false">
      <c r="B26" s="11" t="s">
        <v>450</v>
      </c>
      <c r="C26" s="11" t="s">
        <v>451</v>
      </c>
      <c r="D26" s="26" t="n">
        <v>0.162650273224044</v>
      </c>
      <c r="E26" s="11" t="s">
        <v>444</v>
      </c>
      <c r="F26" s="11"/>
      <c r="G26" s="13" t="s">
        <v>378</v>
      </c>
      <c r="H26" s="11" t="s">
        <v>278</v>
      </c>
    </row>
    <row r="27" customFormat="false" ht="15" hidden="false" customHeight="false" outlineLevel="0" collapsed="false">
      <c r="B27" s="11" t="s">
        <v>452</v>
      </c>
      <c r="C27" s="11" t="s">
        <v>453</v>
      </c>
      <c r="D27" s="9" t="n">
        <v>553189</v>
      </c>
      <c r="E27" s="11" t="s">
        <v>444</v>
      </c>
      <c r="F27" s="11" t="s">
        <v>454</v>
      </c>
      <c r="G27" s="13" t="s">
        <v>378</v>
      </c>
      <c r="H27" s="11" t="s">
        <v>5</v>
      </c>
    </row>
    <row r="28" customFormat="false" ht="15" hidden="false" customHeight="false" outlineLevel="0" collapsed="false">
      <c r="B28" s="11" t="s">
        <v>455</v>
      </c>
      <c r="C28" s="11" t="s">
        <v>456</v>
      </c>
      <c r="D28" s="9" t="n">
        <v>366275.78</v>
      </c>
      <c r="E28" s="11" t="s">
        <v>444</v>
      </c>
      <c r="F28" s="11" t="s">
        <v>457</v>
      </c>
      <c r="G28" s="13" t="s">
        <v>378</v>
      </c>
      <c r="H28" s="11" t="s">
        <v>5</v>
      </c>
    </row>
    <row r="29" customFormat="false" ht="15" hidden="false" customHeight="false" outlineLevel="0" collapsed="false">
      <c r="B29" s="11" t="s">
        <v>458</v>
      </c>
      <c r="C29" s="11" t="s">
        <v>459</v>
      </c>
      <c r="D29" s="9" t="n">
        <v>186913.22</v>
      </c>
      <c r="E29" s="11" t="s">
        <v>444</v>
      </c>
      <c r="F29" s="11" t="s">
        <v>460</v>
      </c>
      <c r="G29" s="13" t="s">
        <v>378</v>
      </c>
      <c r="H29" s="11" t="s">
        <v>5</v>
      </c>
    </row>
    <row r="30" customFormat="false" ht="15" hidden="false" customHeight="false" outlineLevel="0" collapsed="false">
      <c r="B30" s="11" t="s">
        <v>309</v>
      </c>
      <c r="C30" s="11" t="s">
        <v>461</v>
      </c>
      <c r="D30" s="26" t="n">
        <v>0.337883110473997</v>
      </c>
      <c r="E30" s="11" t="s">
        <v>444</v>
      </c>
      <c r="F30" s="11"/>
      <c r="G30" s="13" t="s">
        <v>378</v>
      </c>
      <c r="H30" s="11" t="s">
        <v>278</v>
      </c>
    </row>
    <row r="31" customFormat="false" ht="15" hidden="false" customHeight="false" outlineLevel="0" collapsed="false">
      <c r="B31" s="11" t="s">
        <v>462</v>
      </c>
      <c r="C31" s="11" t="s">
        <v>463</v>
      </c>
      <c r="D31" s="9" t="n">
        <v>27659.45</v>
      </c>
      <c r="E31" s="11" t="s">
        <v>444</v>
      </c>
      <c r="F31" s="11" t="s">
        <v>464</v>
      </c>
      <c r="G31" s="13" t="s">
        <v>378</v>
      </c>
      <c r="H31" s="11" t="s">
        <v>5</v>
      </c>
    </row>
    <row r="32" customFormat="false" ht="15" hidden="false" customHeight="false" outlineLevel="0" collapsed="false">
      <c r="B32" s="11" t="s">
        <v>465</v>
      </c>
      <c r="C32" s="11" t="s">
        <v>466</v>
      </c>
      <c r="D32" s="26" t="n">
        <v>0.05</v>
      </c>
      <c r="E32" s="11" t="s">
        <v>444</v>
      </c>
      <c r="F32" s="11"/>
      <c r="G32" s="13" t="s">
        <v>378</v>
      </c>
      <c r="H32" s="11" t="s">
        <v>278</v>
      </c>
    </row>
    <row r="33" customFormat="false" ht="15" hidden="false" customHeight="false" outlineLevel="0" collapsed="false">
      <c r="B33" s="11" t="s">
        <v>467</v>
      </c>
      <c r="C33" s="11" t="s">
        <v>468</v>
      </c>
      <c r="D33" s="9" t="n">
        <v>150690.75</v>
      </c>
      <c r="E33" s="11" t="s">
        <v>138</v>
      </c>
      <c r="F33" s="11" t="s">
        <v>469</v>
      </c>
      <c r="G33" s="13" t="s">
        <v>378</v>
      </c>
      <c r="H33" s="11" t="s">
        <v>5</v>
      </c>
    </row>
    <row r="34" customFormat="false" ht="15" hidden="false" customHeight="false" outlineLevel="0" collapsed="false">
      <c r="B34" s="11" t="s">
        <v>470</v>
      </c>
      <c r="C34" s="11" t="s">
        <v>471</v>
      </c>
      <c r="D34" s="9" t="n">
        <v>133195.02</v>
      </c>
      <c r="E34" s="11" t="s">
        <v>140</v>
      </c>
      <c r="F34" s="11" t="s">
        <v>472</v>
      </c>
      <c r="G34" s="13" t="s">
        <v>378</v>
      </c>
      <c r="H34" s="11" t="s">
        <v>5</v>
      </c>
    </row>
    <row r="35" customFormat="false" ht="15" hidden="false" customHeight="false" outlineLevel="0" collapsed="false">
      <c r="B35" s="11" t="s">
        <v>473</v>
      </c>
      <c r="C35" s="11" t="s">
        <v>474</v>
      </c>
      <c r="D35" s="9" t="n">
        <v>4030.45</v>
      </c>
      <c r="E35" s="11" t="s">
        <v>444</v>
      </c>
      <c r="F35" s="11" t="s">
        <v>475</v>
      </c>
      <c r="G35" s="13" t="s">
        <v>378</v>
      </c>
      <c r="H35" s="11" t="s">
        <v>5</v>
      </c>
    </row>
    <row r="36" customFormat="false" ht="15" hidden="false" customHeight="false" outlineLevel="0" collapsed="false">
      <c r="B36" s="11" t="s">
        <v>476</v>
      </c>
      <c r="C36" s="11" t="s">
        <v>477</v>
      </c>
      <c r="D36" s="9" t="n">
        <v>66831.47</v>
      </c>
      <c r="E36" s="11" t="s">
        <v>138</v>
      </c>
      <c r="F36" s="11" t="s">
        <v>478</v>
      </c>
      <c r="G36" s="13" t="s">
        <v>378</v>
      </c>
      <c r="H36" s="11" t="s">
        <v>5</v>
      </c>
    </row>
    <row r="37" customFormat="false" ht="15" hidden="false" customHeight="false" outlineLevel="0" collapsed="false">
      <c r="B37" s="11" t="s">
        <v>479</v>
      </c>
      <c r="C37" s="11" t="s">
        <v>480</v>
      </c>
      <c r="D37" s="9" t="n">
        <v>11528.09</v>
      </c>
      <c r="E37" s="11" t="s">
        <v>138</v>
      </c>
      <c r="F37" s="11" t="s">
        <v>481</v>
      </c>
      <c r="G37" s="13" t="s">
        <v>378</v>
      </c>
      <c r="H37" s="11" t="s">
        <v>5</v>
      </c>
    </row>
    <row r="38" customFormat="false" ht="15" hidden="false" customHeight="false" outlineLevel="0" collapsed="false">
      <c r="B38" s="11" t="s">
        <v>273</v>
      </c>
      <c r="C38" s="11" t="s">
        <v>482</v>
      </c>
      <c r="D38" s="10" t="n">
        <v>5993</v>
      </c>
      <c r="E38" s="11" t="s">
        <v>138</v>
      </c>
      <c r="F38" s="11" t="s">
        <v>483</v>
      </c>
      <c r="G38" s="13" t="s">
        <v>378</v>
      </c>
      <c r="H38" s="11" t="s">
        <v>5</v>
      </c>
    </row>
    <row r="39" customFormat="false" ht="15" hidden="false" customHeight="false" outlineLevel="0" collapsed="false">
      <c r="B39" s="11" t="s">
        <v>271</v>
      </c>
      <c r="C39" s="11" t="s">
        <v>484</v>
      </c>
      <c r="D39" s="22" t="n">
        <v>33</v>
      </c>
      <c r="E39" s="11" t="s">
        <v>138</v>
      </c>
      <c r="F39" s="11" t="s">
        <v>485</v>
      </c>
      <c r="G39" s="13" t="s">
        <v>378</v>
      </c>
      <c r="H39" s="11" t="s">
        <v>5</v>
      </c>
    </row>
    <row r="40" customFormat="false" ht="15" hidden="false" customHeight="false" outlineLevel="0" collapsed="false">
      <c r="B40" s="11" t="s">
        <v>486</v>
      </c>
      <c r="C40" s="11" t="s">
        <v>487</v>
      </c>
      <c r="D40" s="9" t="n">
        <v>25.1444602035708</v>
      </c>
      <c r="E40" s="11" t="s">
        <v>138</v>
      </c>
      <c r="F40" s="11"/>
      <c r="G40" s="13" t="s">
        <v>378</v>
      </c>
      <c r="H40" s="11" t="s">
        <v>278</v>
      </c>
    </row>
    <row r="41" customFormat="false" ht="15" hidden="false" customHeight="false" outlineLevel="0" collapsed="false">
      <c r="B41" s="11" t="s">
        <v>488</v>
      </c>
      <c r="C41" s="11" t="s">
        <v>489</v>
      </c>
      <c r="D41" s="9" t="n">
        <v>51.2948</v>
      </c>
      <c r="E41" s="11" t="s">
        <v>138</v>
      </c>
      <c r="F41" s="11"/>
      <c r="G41" s="13" t="s">
        <v>378</v>
      </c>
      <c r="H41" s="11" t="s">
        <v>278</v>
      </c>
    </row>
    <row r="42" customFormat="false" ht="15" hidden="false" customHeight="false" outlineLevel="0" collapsed="false">
      <c r="B42" s="11" t="s">
        <v>301</v>
      </c>
      <c r="C42" s="11" t="s">
        <v>490</v>
      </c>
      <c r="D42" s="25" t="n">
        <v>1.3421</v>
      </c>
      <c r="E42" s="11" t="s">
        <v>138</v>
      </c>
      <c r="F42" s="11"/>
      <c r="G42" s="13" t="s">
        <v>378</v>
      </c>
      <c r="H42" s="11" t="s">
        <v>278</v>
      </c>
    </row>
    <row r="43" customFormat="false" ht="15" hidden="false" customHeight="false" outlineLevel="0" collapsed="false">
      <c r="B43" s="11" t="s">
        <v>491</v>
      </c>
      <c r="C43" s="11" t="s">
        <v>492</v>
      </c>
      <c r="D43" s="10" t="n">
        <v>4762</v>
      </c>
      <c r="E43" s="11" t="s">
        <v>138</v>
      </c>
      <c r="F43" s="11" t="s">
        <v>493</v>
      </c>
      <c r="G43" s="13" t="s">
        <v>378</v>
      </c>
      <c r="H43" s="11" t="s">
        <v>5</v>
      </c>
    </row>
    <row r="44" customFormat="false" ht="15" hidden="false" customHeight="false" outlineLevel="0" collapsed="false">
      <c r="B44" s="11" t="s">
        <v>494</v>
      </c>
      <c r="C44" s="11" t="s">
        <v>495</v>
      </c>
      <c r="D44" s="10" t="n">
        <v>923.5</v>
      </c>
      <c r="E44" s="11" t="s">
        <v>138</v>
      </c>
      <c r="F44" s="11" t="s">
        <v>496</v>
      </c>
      <c r="G44" s="13" t="s">
        <v>378</v>
      </c>
      <c r="H44" s="11" t="s">
        <v>5</v>
      </c>
    </row>
    <row r="45" customFormat="false" ht="15" hidden="false" customHeight="false" outlineLevel="0" collapsed="false">
      <c r="B45" s="11" t="s">
        <v>497</v>
      </c>
      <c r="C45" s="11" t="s">
        <v>498</v>
      </c>
      <c r="D45" s="9" t="n">
        <v>92.3058568329718</v>
      </c>
      <c r="E45" s="11" t="s">
        <v>499</v>
      </c>
      <c r="F45" s="11"/>
      <c r="G45" s="13" t="s">
        <v>378</v>
      </c>
      <c r="H45" s="11" t="s">
        <v>278</v>
      </c>
    </row>
    <row r="46" customFormat="false" ht="15" hidden="false" customHeight="false" outlineLevel="0" collapsed="false">
      <c r="B46" s="11" t="s">
        <v>500</v>
      </c>
      <c r="C46" s="11" t="s">
        <v>501</v>
      </c>
      <c r="D46" s="9" t="n">
        <v>31.188590021692</v>
      </c>
      <c r="E46" s="11" t="s">
        <v>499</v>
      </c>
      <c r="F46" s="11"/>
      <c r="G46" s="13" t="s">
        <v>378</v>
      </c>
      <c r="H46" s="11" t="s">
        <v>278</v>
      </c>
    </row>
    <row r="47" customFormat="false" ht="15" hidden="false" customHeight="false" outlineLevel="0" collapsed="false">
      <c r="B47" s="11" t="s">
        <v>502</v>
      </c>
      <c r="C47" s="11" t="s">
        <v>503</v>
      </c>
      <c r="D47" s="9" t="n">
        <v>7683.18055555556</v>
      </c>
      <c r="E47" s="11" t="s">
        <v>499</v>
      </c>
      <c r="F47" s="11" t="s">
        <v>316</v>
      </c>
      <c r="G47" s="13" t="s">
        <v>378</v>
      </c>
      <c r="H47" s="11" t="s">
        <v>278</v>
      </c>
    </row>
    <row r="48" customFormat="false" ht="15" hidden="false" customHeight="false" outlineLevel="0" collapsed="false">
      <c r="B48" s="11" t="s">
        <v>320</v>
      </c>
      <c r="C48" s="11" t="s">
        <v>504</v>
      </c>
      <c r="D48" s="9" t="n">
        <v>5087.16361111111</v>
      </c>
      <c r="E48" s="11" t="s">
        <v>499</v>
      </c>
      <c r="F48" s="11"/>
      <c r="G48" s="13" t="s">
        <v>378</v>
      </c>
      <c r="H48" s="11" t="s">
        <v>278</v>
      </c>
    </row>
    <row r="49" customFormat="false" ht="15" hidden="false" customHeight="false" outlineLevel="0" collapsed="false">
      <c r="B49" s="11" t="s">
        <v>505</v>
      </c>
      <c r="C49" s="11" t="s">
        <v>506</v>
      </c>
      <c r="D49" s="10" t="n">
        <v>83.2361111111111</v>
      </c>
      <c r="E49" s="11" t="s">
        <v>499</v>
      </c>
      <c r="F49" s="11"/>
      <c r="G49" s="13" t="s">
        <v>378</v>
      </c>
      <c r="H49" s="11" t="s">
        <v>278</v>
      </c>
    </row>
    <row r="50" customFormat="false" ht="15" hidden="false" customHeight="false" outlineLevel="0" collapsed="false">
      <c r="B50" s="11" t="s">
        <v>322</v>
      </c>
      <c r="C50" s="11" t="s">
        <v>507</v>
      </c>
      <c r="D50" s="9" t="n">
        <v>736.603195739015</v>
      </c>
      <c r="E50" s="11" t="s">
        <v>499</v>
      </c>
      <c r="F50" s="11" t="s">
        <v>323</v>
      </c>
      <c r="G50" s="13" t="s">
        <v>378</v>
      </c>
      <c r="H50" s="11" t="s">
        <v>278</v>
      </c>
    </row>
    <row r="51" customFormat="false" ht="15" hidden="false" customHeight="false" outlineLevel="0" collapsed="false">
      <c r="B51" s="11" t="s">
        <v>310</v>
      </c>
      <c r="C51" s="11" t="s">
        <v>508</v>
      </c>
      <c r="D51" s="26" t="n">
        <v>0.272403735432194</v>
      </c>
      <c r="E51" s="11" t="s">
        <v>509</v>
      </c>
      <c r="F51" s="11"/>
      <c r="G51" s="13" t="s">
        <v>378</v>
      </c>
      <c r="H51" s="11" t="s">
        <v>278</v>
      </c>
    </row>
    <row r="52" customFormat="false" ht="15" hidden="false" customHeight="false" outlineLevel="0" collapsed="false">
      <c r="B52" s="11" t="s">
        <v>311</v>
      </c>
      <c r="C52" s="11" t="s">
        <v>510</v>
      </c>
      <c r="D52" s="26" t="n">
        <v>0.240776696572058</v>
      </c>
      <c r="E52" s="11" t="s">
        <v>509</v>
      </c>
      <c r="F52" s="11"/>
      <c r="G52" s="13" t="s">
        <v>378</v>
      </c>
      <c r="H52" s="11" t="s">
        <v>278</v>
      </c>
    </row>
    <row r="53" customFormat="false" ht="15" hidden="false" customHeight="false" outlineLevel="0" collapsed="false">
      <c r="B53" s="11" t="s">
        <v>511</v>
      </c>
      <c r="C53" s="11" t="s">
        <v>512</v>
      </c>
      <c r="D53" s="22" t="n">
        <v>17</v>
      </c>
      <c r="E53" s="11" t="s">
        <v>140</v>
      </c>
      <c r="F53" s="11"/>
      <c r="G53" s="13" t="s">
        <v>378</v>
      </c>
      <c r="H53" s="11" t="s">
        <v>5</v>
      </c>
    </row>
    <row r="54" customFormat="false" ht="15" hidden="false" customHeight="false" outlineLevel="0" collapsed="false">
      <c r="B54" s="11" t="s">
        <v>513</v>
      </c>
      <c r="C54" s="11" t="s">
        <v>514</v>
      </c>
      <c r="D54" s="22" t="n">
        <v>10</v>
      </c>
      <c r="E54" s="11" t="s">
        <v>515</v>
      </c>
      <c r="F54" s="11"/>
      <c r="G54" s="13" t="s">
        <v>378</v>
      </c>
      <c r="H54" s="11" t="s">
        <v>5</v>
      </c>
    </row>
    <row r="55" customFormat="false" ht="15" hidden="false" customHeight="false" outlineLevel="0" collapsed="false">
      <c r="B55" s="11" t="s">
        <v>516</v>
      </c>
      <c r="C55" s="11" t="s">
        <v>517</v>
      </c>
      <c r="D55" s="26" t="n">
        <v>0.119305856832972</v>
      </c>
      <c r="E55" s="11" t="s">
        <v>518</v>
      </c>
      <c r="F55" s="11"/>
      <c r="G55" s="13" t="s">
        <v>378</v>
      </c>
      <c r="H55" s="11" t="s">
        <v>278</v>
      </c>
    </row>
    <row r="56" customFormat="false" ht="15" hidden="false" customHeight="false" outlineLevel="0" collapsed="false">
      <c r="B56" s="11" t="s">
        <v>519</v>
      </c>
      <c r="C56" s="11" t="s">
        <v>520</v>
      </c>
      <c r="D56" s="26" t="n">
        <v>0.534456866344068</v>
      </c>
      <c r="E56" s="11" t="s">
        <v>518</v>
      </c>
      <c r="F56" s="11"/>
      <c r="G56" s="13" t="s">
        <v>378</v>
      </c>
      <c r="H56" s="11" t="s">
        <v>278</v>
      </c>
    </row>
    <row r="57" customFormat="false" ht="15" hidden="false" customHeight="false" outlineLevel="0" collapsed="false">
      <c r="B57" s="11" t="s">
        <v>521</v>
      </c>
      <c r="C57" s="11" t="s">
        <v>522</v>
      </c>
      <c r="D57" s="22" t="n">
        <v>21</v>
      </c>
      <c r="E57" s="11" t="s">
        <v>523</v>
      </c>
      <c r="F57" s="11"/>
      <c r="G57" s="13" t="s">
        <v>378</v>
      </c>
      <c r="H57" s="11" t="s">
        <v>5</v>
      </c>
    </row>
    <row r="58" customFormat="false" ht="15" hidden="false" customHeight="false" outlineLevel="0" collapsed="false">
      <c r="B58" s="11" t="s">
        <v>524</v>
      </c>
      <c r="C58" s="11" t="s">
        <v>525</v>
      </c>
      <c r="D58" s="22" t="n">
        <v>11</v>
      </c>
      <c r="E58" s="11" t="s">
        <v>526</v>
      </c>
      <c r="F58" s="11"/>
      <c r="G58" s="13" t="s">
        <v>378</v>
      </c>
      <c r="H58" s="11" t="s">
        <v>527</v>
      </c>
    </row>
    <row r="59" customFormat="false" ht="15" hidden="false" customHeight="false" outlineLevel="0" collapsed="false">
      <c r="B59" s="11" t="s">
        <v>528</v>
      </c>
      <c r="C59" s="11" t="s">
        <v>529</v>
      </c>
      <c r="D59" s="22" t="n">
        <v>75</v>
      </c>
      <c r="E59" s="11" t="s">
        <v>526</v>
      </c>
      <c r="F59" s="11"/>
      <c r="G59" s="13" t="s">
        <v>378</v>
      </c>
      <c r="H59" s="11" t="s">
        <v>530</v>
      </c>
    </row>
    <row r="60" customFormat="false" ht="15" hidden="false" customHeight="false" outlineLevel="0" collapsed="false">
      <c r="B60" s="11" t="s">
        <v>531</v>
      </c>
      <c r="C60" s="11" t="s">
        <v>532</v>
      </c>
      <c r="D60" s="22" t="n">
        <v>7</v>
      </c>
      <c r="E60" s="11" t="s">
        <v>526</v>
      </c>
      <c r="F60" s="11"/>
      <c r="G60" s="13" t="s">
        <v>378</v>
      </c>
      <c r="H60" s="11" t="s">
        <v>533</v>
      </c>
    </row>
    <row r="61" customFormat="false" ht="15" hidden="false" customHeight="false" outlineLevel="0" collapsed="false">
      <c r="B61" s="11" t="s">
        <v>534</v>
      </c>
      <c r="C61" s="11" t="s">
        <v>535</v>
      </c>
      <c r="D61" s="22" t="n">
        <v>26</v>
      </c>
      <c r="E61" s="11" t="s">
        <v>526</v>
      </c>
      <c r="F61" s="11"/>
      <c r="G61" s="13" t="s">
        <v>378</v>
      </c>
      <c r="H61" s="11" t="s">
        <v>536</v>
      </c>
    </row>
    <row r="62" customFormat="false" ht="15" hidden="false" customHeight="false" outlineLevel="0" collapsed="false">
      <c r="B62" s="11" t="s">
        <v>537</v>
      </c>
      <c r="C62" s="11" t="s">
        <v>538</v>
      </c>
      <c r="D62" s="22" t="n">
        <v>97</v>
      </c>
      <c r="E62" s="11" t="s">
        <v>526</v>
      </c>
      <c r="F62" s="11" t="s">
        <v>539</v>
      </c>
      <c r="G62" s="13" t="s">
        <v>378</v>
      </c>
      <c r="H62" s="11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541</v>
      </c>
    </row>
    <row r="3" customFormat="false" ht="21.75" hidden="false" customHeight="true" outlineLevel="0" collapsed="false">
      <c r="B3" s="2" t="s">
        <v>542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543</v>
      </c>
      <c r="C5" s="3" t="s">
        <v>147</v>
      </c>
      <c r="D5" s="3" t="s">
        <v>148</v>
      </c>
      <c r="E5" s="3" t="s">
        <v>149</v>
      </c>
      <c r="F5" s="3" t="s">
        <v>150</v>
      </c>
      <c r="G5" s="3" t="s">
        <v>544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152</v>
      </c>
      <c r="D6" s="11" t="s">
        <v>153</v>
      </c>
      <c r="E6" s="9" t="n">
        <v>35554.85</v>
      </c>
      <c r="F6" s="22" t="n">
        <v>27</v>
      </c>
      <c r="G6" s="17" t="n">
        <f aca="false">E6/117192.21</f>
        <v>0.303389192848228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155</v>
      </c>
      <c r="D7" s="11" t="s">
        <v>156</v>
      </c>
      <c r="E7" s="9" t="n">
        <v>26527.5</v>
      </c>
      <c r="F7" s="22" t="n">
        <v>52</v>
      </c>
      <c r="G7" s="17" t="n">
        <f aca="false">E7/117192.21</f>
        <v>0.226358902183003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157</v>
      </c>
      <c r="D8" s="11" t="s">
        <v>158</v>
      </c>
      <c r="E8" s="9" t="n">
        <v>22910.38</v>
      </c>
      <c r="F8" s="22" t="n">
        <v>7</v>
      </c>
      <c r="G8" s="17" t="n">
        <f aca="false">E8/117192.21</f>
        <v>0.195494052036394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159</v>
      </c>
      <c r="D9" s="11" t="s">
        <v>160</v>
      </c>
      <c r="E9" s="9" t="n">
        <v>19553.06</v>
      </c>
      <c r="F9" s="22" t="n">
        <v>19</v>
      </c>
      <c r="G9" s="17" t="n">
        <f aca="false">E9/117192.21</f>
        <v>0.166846072789309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161</v>
      </c>
      <c r="D10" s="11" t="s">
        <v>162</v>
      </c>
      <c r="E10" s="9" t="n">
        <v>4838.64</v>
      </c>
      <c r="F10" s="22" t="n">
        <v>3</v>
      </c>
      <c r="G10" s="17" t="n">
        <f aca="false">E10/117192.21</f>
        <v>0.0412880685499488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164</v>
      </c>
      <c r="D11" s="11" t="s">
        <v>165</v>
      </c>
      <c r="E11" s="9" t="n">
        <v>1859</v>
      </c>
      <c r="F11" s="22" t="n">
        <v>1</v>
      </c>
      <c r="G11" s="17" t="n">
        <f aca="false">E11/117192.21</f>
        <v>0.0158628291078392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166</v>
      </c>
      <c r="D12" s="11" t="s">
        <v>167</v>
      </c>
      <c r="E12" s="9" t="n">
        <v>1385.58</v>
      </c>
      <c r="F12" s="22" t="n">
        <v>1</v>
      </c>
      <c r="G12" s="17" t="n">
        <f aca="false">E12/117192.21</f>
        <v>0.0118231408043248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168</v>
      </c>
      <c r="D13" s="11" t="s">
        <v>169</v>
      </c>
      <c r="E13" s="9" t="n">
        <v>1312.98</v>
      </c>
      <c r="F13" s="22" t="n">
        <v>3</v>
      </c>
      <c r="G13" s="17" t="n">
        <f aca="false">E13/117192.21</f>
        <v>0.0112036457030719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170</v>
      </c>
      <c r="D14" s="11" t="s">
        <v>171</v>
      </c>
      <c r="E14" s="9" t="n">
        <v>796.24</v>
      </c>
      <c r="F14" s="22" t="n">
        <v>1</v>
      </c>
      <c r="G14" s="17" t="n">
        <f aca="false">E14/117192.21</f>
        <v>0.00679430825649589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172</v>
      </c>
      <c r="D15" s="11" t="s">
        <v>173</v>
      </c>
      <c r="E15" s="9" t="n">
        <v>772.5</v>
      </c>
      <c r="F15" s="22" t="n">
        <v>1</v>
      </c>
      <c r="G15" s="17" t="n">
        <f aca="false">E15/117192.21</f>
        <v>0.00659173506498427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175</v>
      </c>
      <c r="D16" s="11" t="s">
        <v>176</v>
      </c>
      <c r="E16" s="9" t="n">
        <v>534.04</v>
      </c>
      <c r="F16" s="22" t="n">
        <v>3</v>
      </c>
      <c r="G16" s="17" t="n">
        <f aca="false">E16/117192.21</f>
        <v>0.00455695818007016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178</v>
      </c>
      <c r="D17" s="11" t="s">
        <v>179</v>
      </c>
      <c r="E17" s="9" t="n">
        <v>501.94</v>
      </c>
      <c r="F17" s="22" t="n">
        <v>7</v>
      </c>
      <c r="G17" s="17" t="n">
        <f aca="false">E17/117192.21</f>
        <v>0.00428304918902033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180</v>
      </c>
      <c r="D18" s="11" t="s">
        <v>181</v>
      </c>
      <c r="E18" s="9" t="n">
        <v>296.3</v>
      </c>
      <c r="F18" s="22" t="n">
        <v>3</v>
      </c>
      <c r="G18" s="17" t="n">
        <f aca="false">E18/117192.21</f>
        <v>0.00252832504822633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182</v>
      </c>
      <c r="D19" s="11" t="s">
        <v>183</v>
      </c>
      <c r="E19" s="9" t="n">
        <v>155</v>
      </c>
      <c r="F19" s="22" t="n">
        <v>1</v>
      </c>
      <c r="G19" s="17" t="n">
        <f aca="false">E19/117192.21</f>
        <v>0.00132261350818455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185</v>
      </c>
      <c r="D20" s="11" t="s">
        <v>186</v>
      </c>
      <c r="E20" s="9" t="n">
        <v>121.44</v>
      </c>
      <c r="F20" s="22" t="n">
        <v>2</v>
      </c>
      <c r="G20" s="17" t="n">
        <f aca="false">E20/117192.21</f>
        <v>0.00103624635118665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187</v>
      </c>
      <c r="D21" s="11" t="s">
        <v>188</v>
      </c>
      <c r="E21" s="9" t="n">
        <v>72.76</v>
      </c>
      <c r="F21" s="22" t="n">
        <v>2</v>
      </c>
      <c r="G21" s="17" t="n">
        <f aca="false">E21/117192.21</f>
        <v>0.000620860379712952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189</v>
      </c>
      <c r="D22" s="11" t="s">
        <v>190</v>
      </c>
      <c r="E22" s="9" t="n">
        <v>0</v>
      </c>
      <c r="F22" s="22" t="n">
        <v>2</v>
      </c>
      <c r="G22" s="17" t="n">
        <f aca="false">E22/117192.21</f>
        <v>0</v>
      </c>
      <c r="H22" s="11" t="s">
        <v>5</v>
      </c>
    </row>
    <row r="23" customFormat="false" ht="15" hidden="false" customHeight="false" outlineLevel="0" collapsed="false">
      <c r="B23" s="18" t="s">
        <v>130</v>
      </c>
      <c r="E23" s="20" t="n">
        <f aca="false">SUM(E6:E22)</f>
        <v>117192.21</v>
      </c>
      <c r="F23" s="23" t="n">
        <f aca="false">SUM(F6:F22)</f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545</v>
      </c>
    </row>
    <row r="3" customFormat="false" ht="21.75" hidden="false" customHeight="true" outlineLevel="0" collapsed="false">
      <c r="B3" s="2" t="s">
        <v>546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547</v>
      </c>
      <c r="C5" s="3" t="s">
        <v>330</v>
      </c>
      <c r="D5" s="3" t="s">
        <v>328</v>
      </c>
      <c r="E5" s="3" t="s">
        <v>548</v>
      </c>
      <c r="F5" s="3" t="s">
        <v>549</v>
      </c>
      <c r="G5" s="3" t="s">
        <v>550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551</v>
      </c>
      <c r="C6" s="11" t="s">
        <v>552</v>
      </c>
      <c r="D6" s="11" t="s">
        <v>333</v>
      </c>
      <c r="E6" s="11" t="s">
        <v>553</v>
      </c>
      <c r="F6" s="11" t="s">
        <v>12</v>
      </c>
      <c r="G6" s="27" t="n">
        <v>475800</v>
      </c>
      <c r="H6" s="11" t="s">
        <v>340</v>
      </c>
      <c r="I6" s="11" t="s">
        <v>20</v>
      </c>
    </row>
    <row r="7" customFormat="false" ht="15" hidden="false" customHeight="false" outlineLevel="0" collapsed="false">
      <c r="B7" s="11" t="s">
        <v>554</v>
      </c>
      <c r="C7" s="11" t="s">
        <v>555</v>
      </c>
      <c r="D7" s="11" t="s">
        <v>350</v>
      </c>
      <c r="E7" s="11" t="s">
        <v>556</v>
      </c>
      <c r="F7" s="11" t="s">
        <v>557</v>
      </c>
      <c r="G7" s="27" t="n">
        <v>0</v>
      </c>
      <c r="H7" s="11" t="s">
        <v>558</v>
      </c>
      <c r="I7" s="11" t="s">
        <v>5</v>
      </c>
    </row>
    <row r="8" customFormat="false" ht="15" hidden="false" customHeight="false" outlineLevel="0" collapsed="false">
      <c r="B8" s="11" t="s">
        <v>559</v>
      </c>
      <c r="C8" s="11" t="s">
        <v>555</v>
      </c>
      <c r="D8" s="11" t="s">
        <v>368</v>
      </c>
      <c r="E8" s="11" t="s">
        <v>560</v>
      </c>
      <c r="F8" s="11" t="s">
        <v>557</v>
      </c>
      <c r="G8" s="27" t="n">
        <v>0</v>
      </c>
      <c r="H8" s="11" t="s">
        <v>558</v>
      </c>
      <c r="I8" s="11" t="s">
        <v>5</v>
      </c>
    </row>
    <row r="9" customFormat="false" ht="15" hidden="false" customHeight="false" outlineLevel="0" collapsed="false">
      <c r="B9" s="11" t="s">
        <v>561</v>
      </c>
      <c r="C9" s="11" t="s">
        <v>462</v>
      </c>
      <c r="D9" s="11" t="s">
        <v>562</v>
      </c>
      <c r="E9" s="11" t="s">
        <v>563</v>
      </c>
      <c r="F9" s="11" t="s">
        <v>69</v>
      </c>
      <c r="G9" s="27" t="n">
        <v>0</v>
      </c>
      <c r="H9" s="11" t="s">
        <v>564</v>
      </c>
      <c r="I9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565</v>
      </c>
    </row>
    <row r="3" customFormat="false" ht="21.75" hidden="false" customHeight="true" outlineLevel="0" collapsed="false">
      <c r="B3" s="2" t="s">
        <v>566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133</v>
      </c>
      <c r="C5" s="3" t="s">
        <v>567</v>
      </c>
      <c r="D5" s="3" t="s">
        <v>568</v>
      </c>
      <c r="E5" s="3" t="s">
        <v>569</v>
      </c>
      <c r="F5" s="3" t="s">
        <v>270</v>
      </c>
    </row>
    <row r="6" customFormat="false" ht="15" hidden="false" customHeight="false" outlineLevel="0" collapsed="false">
      <c r="B6" s="11" t="s">
        <v>570</v>
      </c>
      <c r="C6" s="11" t="s">
        <v>571</v>
      </c>
      <c r="D6" s="27" t="n">
        <v>77389</v>
      </c>
      <c r="E6" s="11" t="s">
        <v>572</v>
      </c>
      <c r="F6" s="11" t="s">
        <v>573</v>
      </c>
    </row>
    <row r="7" customFormat="false" ht="15" hidden="false" customHeight="false" outlineLevel="0" collapsed="false">
      <c r="B7" s="11" t="s">
        <v>138</v>
      </c>
      <c r="C7" s="11" t="s">
        <v>574</v>
      </c>
      <c r="D7" s="27" t="n">
        <v>5361.75</v>
      </c>
      <c r="E7" s="11" t="s">
        <v>575</v>
      </c>
      <c r="F7" s="11" t="s">
        <v>51</v>
      </c>
    </row>
    <row r="8" customFormat="false" ht="15" hidden="false" customHeight="false" outlineLevel="0" collapsed="false">
      <c r="B8" s="11" t="s">
        <v>140</v>
      </c>
      <c r="C8" s="11" t="s">
        <v>576</v>
      </c>
      <c r="D8" s="27" t="n">
        <v>-39700.98</v>
      </c>
      <c r="E8" s="11" t="s">
        <v>577</v>
      </c>
      <c r="F8" s="11" t="s">
        <v>578</v>
      </c>
    </row>
    <row r="9" customFormat="false" ht="15" hidden="false" customHeight="false" outlineLevel="0" collapsed="false">
      <c r="B9" s="11" t="s">
        <v>142</v>
      </c>
      <c r="C9" s="11" t="s">
        <v>579</v>
      </c>
      <c r="D9" s="27" t="n">
        <v>-4437.55</v>
      </c>
      <c r="E9" s="11" t="s">
        <v>580</v>
      </c>
      <c r="F9" s="11"/>
    </row>
    <row r="10" customFormat="false" ht="15" hidden="false" customHeight="false" outlineLevel="0" collapsed="false">
      <c r="B10" s="11" t="s">
        <v>581</v>
      </c>
      <c r="C10" s="11" t="s">
        <v>582</v>
      </c>
      <c r="D10" s="27" t="n">
        <v>1572.39000000001</v>
      </c>
      <c r="E10" s="11" t="s">
        <v>583</v>
      </c>
      <c r="F10" s="11"/>
    </row>
    <row r="11" customFormat="false" ht="15" hidden="false" customHeight="false" outlineLevel="0" collapsed="false">
      <c r="B11" s="18" t="s">
        <v>584</v>
      </c>
      <c r="D11" s="16" t="n">
        <f aca="false">SUM(D6:D10)</f>
        <v>40184.61</v>
      </c>
    </row>
    <row r="14" customFormat="false" ht="15" hidden="false" customHeight="false" outlineLevel="0" collapsed="false">
      <c r="B14" s="3" t="s">
        <v>585</v>
      </c>
    </row>
    <row r="15" customFormat="false" ht="15" hidden="false" customHeight="false" outlineLevel="0" collapsed="false">
      <c r="B15" s="3" t="s">
        <v>586</v>
      </c>
      <c r="C15" s="3" t="s">
        <v>587</v>
      </c>
      <c r="D15" s="3" t="s">
        <v>588</v>
      </c>
      <c r="E15" s="3" t="s">
        <v>270</v>
      </c>
    </row>
    <row r="16" customFormat="false" ht="15" hidden="false" customHeight="false" outlineLevel="0" collapsed="false">
      <c r="B16" s="11" t="s">
        <v>589</v>
      </c>
      <c r="C16" s="22" t="n">
        <v>11</v>
      </c>
      <c r="D16" s="27" t="n">
        <v>77389</v>
      </c>
      <c r="E16" s="11" t="s">
        <v>590</v>
      </c>
    </row>
    <row r="17" customFormat="false" ht="15" hidden="false" customHeight="false" outlineLevel="0" collapsed="false">
      <c r="B17" s="11" t="s">
        <v>591</v>
      </c>
      <c r="C17" s="22" t="n">
        <v>8</v>
      </c>
      <c r="D17" s="27" t="n">
        <v>5361.75</v>
      </c>
      <c r="E17" s="11" t="s">
        <v>592</v>
      </c>
    </row>
    <row r="18" customFormat="false" ht="15" hidden="false" customHeight="false" outlineLevel="0" collapsed="false">
      <c r="B18" s="11" t="s">
        <v>593</v>
      </c>
      <c r="C18" s="22" t="n">
        <v>5</v>
      </c>
      <c r="D18" s="27" t="n">
        <v>-39700.98</v>
      </c>
      <c r="E18" s="11" t="s">
        <v>578</v>
      </c>
    </row>
    <row r="19" customFormat="false" ht="15" hidden="false" customHeight="false" outlineLevel="0" collapsed="false">
      <c r="B19" s="11" t="s">
        <v>594</v>
      </c>
      <c r="C19" s="22" t="n">
        <v>2</v>
      </c>
      <c r="D19" s="27" t="n">
        <v>1572.39000000001</v>
      </c>
      <c r="E19" s="11" t="s">
        <v>595</v>
      </c>
    </row>
    <row r="20" customFormat="false" ht="15" hidden="false" customHeight="false" outlineLevel="0" collapsed="false">
      <c r="B20" s="11" t="s">
        <v>596</v>
      </c>
      <c r="C20" s="22" t="n">
        <v>5</v>
      </c>
      <c r="D20" s="27" t="n">
        <v>-4437.55</v>
      </c>
      <c r="E20" s="11" t="s"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598</v>
      </c>
    </row>
    <row r="3" customFormat="false" ht="21.75" hidden="false" customHeight="true" outlineLevel="0" collapsed="false">
      <c r="B3" s="2" t="s">
        <v>599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600</v>
      </c>
    </row>
    <row r="6" customFormat="false" ht="15" hidden="false" customHeight="false" outlineLevel="0" collapsed="false">
      <c r="B6" s="3" t="s">
        <v>601</v>
      </c>
      <c r="C6" s="3" t="s">
        <v>602</v>
      </c>
      <c r="D6" s="3" t="s">
        <v>603</v>
      </c>
      <c r="E6" s="3" t="s">
        <v>67</v>
      </c>
      <c r="F6" s="3" t="s">
        <v>604</v>
      </c>
    </row>
    <row r="7" customFormat="false" ht="15" hidden="false" customHeight="false" outlineLevel="0" collapsed="false">
      <c r="B7" s="11" t="s">
        <v>605</v>
      </c>
      <c r="C7" s="11" t="s">
        <v>606</v>
      </c>
      <c r="D7" s="11" t="s">
        <v>607</v>
      </c>
      <c r="E7" s="28" t="s">
        <v>608</v>
      </c>
      <c r="F7" s="11" t="s">
        <v>609</v>
      </c>
    </row>
    <row r="8" customFormat="false" ht="15" hidden="false" customHeight="false" outlineLevel="0" collapsed="false">
      <c r="B8" s="11" t="s">
        <v>310</v>
      </c>
      <c r="C8" s="24" t="n">
        <v>0.272403735432194</v>
      </c>
      <c r="D8" s="11" t="s">
        <v>610</v>
      </c>
      <c r="E8" s="13" t="s">
        <v>611</v>
      </c>
      <c r="F8" s="11" t="s">
        <v>612</v>
      </c>
    </row>
    <row r="9" customFormat="false" ht="15" hidden="false" customHeight="false" outlineLevel="0" collapsed="false">
      <c r="B9" s="11" t="s">
        <v>613</v>
      </c>
      <c r="C9" s="24" t="n">
        <v>0.0362141329635983</v>
      </c>
      <c r="D9" s="11" t="s">
        <v>614</v>
      </c>
      <c r="E9" s="13" t="s">
        <v>611</v>
      </c>
      <c r="F9" s="11" t="s">
        <v>615</v>
      </c>
    </row>
    <row r="10" customFormat="false" ht="15" hidden="false" customHeight="false" outlineLevel="0" collapsed="false">
      <c r="B10" s="11" t="s">
        <v>616</v>
      </c>
      <c r="C10" s="24" t="n">
        <v>0.933376288406883</v>
      </c>
      <c r="D10" s="11" t="s">
        <v>617</v>
      </c>
      <c r="E10" s="13" t="s">
        <v>611</v>
      </c>
      <c r="F10" s="11" t="s">
        <v>618</v>
      </c>
    </row>
    <row r="11" customFormat="false" ht="15" hidden="false" customHeight="false" outlineLevel="0" collapsed="false">
      <c r="B11" s="11" t="s">
        <v>619</v>
      </c>
      <c r="C11" s="24" t="n">
        <v>0.05</v>
      </c>
      <c r="D11" s="11" t="s">
        <v>620</v>
      </c>
      <c r="E11" s="13" t="s">
        <v>611</v>
      </c>
      <c r="F11" s="11" t="s">
        <v>621</v>
      </c>
    </row>
    <row r="12" customFormat="false" ht="15" hidden="false" customHeight="false" outlineLevel="0" collapsed="false">
      <c r="B12" s="11" t="s">
        <v>309</v>
      </c>
      <c r="C12" s="24" t="n">
        <v>0.337883110473997</v>
      </c>
      <c r="D12" s="11" t="s">
        <v>622</v>
      </c>
      <c r="E12" s="13" t="s">
        <v>611</v>
      </c>
      <c r="F12" s="11" t="s">
        <v>623</v>
      </c>
    </row>
    <row r="13" customFormat="false" ht="15" hidden="false" customHeight="false" outlineLevel="0" collapsed="false">
      <c r="B13" s="11" t="s">
        <v>624</v>
      </c>
      <c r="C13" s="10" t="n">
        <v>5993</v>
      </c>
      <c r="D13" s="11" t="s">
        <v>625</v>
      </c>
      <c r="E13" s="29" t="s">
        <v>626</v>
      </c>
      <c r="F13" s="11" t="s">
        <v>627</v>
      </c>
    </row>
    <row r="14" customFormat="false" ht="15" hidden="false" customHeight="false" outlineLevel="0" collapsed="false">
      <c r="B14" s="11" t="s">
        <v>628</v>
      </c>
      <c r="C14" s="24" t="n">
        <v>0.119305856832972</v>
      </c>
      <c r="D14" s="11" t="s">
        <v>629</v>
      </c>
      <c r="E14" s="13" t="s">
        <v>611</v>
      </c>
      <c r="F14" s="11" t="s">
        <v>630</v>
      </c>
    </row>
    <row r="15" customFormat="false" ht="15" hidden="false" customHeight="false" outlineLevel="0" collapsed="false">
      <c r="B15" s="11" t="s">
        <v>631</v>
      </c>
      <c r="C15" s="24" t="n">
        <v>0.815830049683056</v>
      </c>
      <c r="D15" s="11" t="s">
        <v>632</v>
      </c>
      <c r="E15" s="28" t="s">
        <v>608</v>
      </c>
      <c r="F15" s="11" t="s">
        <v>633</v>
      </c>
    </row>
    <row r="16" customFormat="false" ht="15" hidden="false" customHeight="false" outlineLevel="0" collapsed="false">
      <c r="B16" s="11" t="s">
        <v>634</v>
      </c>
      <c r="C16" s="11" t="s">
        <v>635</v>
      </c>
      <c r="D16" s="11" t="s">
        <v>636</v>
      </c>
      <c r="E16" s="28" t="s">
        <v>608</v>
      </c>
      <c r="F16" s="11" t="s">
        <v>637</v>
      </c>
    </row>
    <row r="18" customFormat="false" ht="15" hidden="false" customHeight="false" outlineLevel="0" collapsed="false">
      <c r="B18" s="3" t="s">
        <v>638</v>
      </c>
    </row>
    <row r="19" customFormat="false" ht="15" hidden="false" customHeight="false" outlineLevel="0" collapsed="false">
      <c r="B19" s="3" t="s">
        <v>639</v>
      </c>
      <c r="C19" s="3" t="s">
        <v>640</v>
      </c>
      <c r="D19" s="3" t="s">
        <v>375</v>
      </c>
      <c r="E19" s="3" t="s">
        <v>641</v>
      </c>
      <c r="F19" s="3" t="s">
        <v>642</v>
      </c>
    </row>
    <row r="20" customFormat="false" ht="15" hidden="false" customHeight="false" outlineLevel="0" collapsed="false">
      <c r="B20" s="11" t="s">
        <v>643</v>
      </c>
      <c r="C20" s="24" t="n">
        <v>0.337883110473997</v>
      </c>
      <c r="D20" s="11" t="s">
        <v>83</v>
      </c>
      <c r="E20" s="11" t="s">
        <v>644</v>
      </c>
      <c r="F20" s="11" t="s">
        <v>623</v>
      </c>
    </row>
    <row r="21" customFormat="false" ht="15" hidden="false" customHeight="false" outlineLevel="0" collapsed="false">
      <c r="B21" s="11" t="s">
        <v>645</v>
      </c>
      <c r="C21" s="11" t="s">
        <v>637</v>
      </c>
      <c r="D21" s="11" t="s">
        <v>564</v>
      </c>
      <c r="E21" s="11" t="s">
        <v>646</v>
      </c>
      <c r="F21" s="11" t="s">
        <v>564</v>
      </c>
    </row>
    <row r="22" customFormat="false" ht="15" hidden="false" customHeight="false" outlineLevel="0" collapsed="false">
      <c r="B22" s="11" t="s">
        <v>647</v>
      </c>
      <c r="C22" s="11" t="s">
        <v>648</v>
      </c>
      <c r="D22" s="11" t="s">
        <v>378</v>
      </c>
      <c r="E22" s="11" t="s">
        <v>316</v>
      </c>
      <c r="F22" s="11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649</v>
      </c>
    </row>
    <row r="3" customFormat="false" ht="21.75" hidden="false" customHeight="true" outlineLevel="0" collapsed="false">
      <c r="B3" s="2" t="s">
        <v>650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372</v>
      </c>
      <c r="C5" s="3" t="s">
        <v>651</v>
      </c>
      <c r="D5" s="3" t="s">
        <v>652</v>
      </c>
      <c r="E5" s="3" t="s">
        <v>269</v>
      </c>
      <c r="F5" s="3" t="s">
        <v>653</v>
      </c>
      <c r="G5" s="3" t="s">
        <v>654</v>
      </c>
      <c r="H5" s="3" t="s">
        <v>375</v>
      </c>
      <c r="I5" s="3" t="s">
        <v>655</v>
      </c>
    </row>
    <row r="6" customFormat="false" ht="15" hidden="false" customHeight="false" outlineLevel="0" collapsed="false">
      <c r="B6" s="22" t="n">
        <v>1</v>
      </c>
      <c r="C6" s="11" t="s">
        <v>405</v>
      </c>
      <c r="D6" s="11" t="s">
        <v>404</v>
      </c>
      <c r="E6" s="11" t="s">
        <v>4</v>
      </c>
      <c r="F6" s="11" t="s">
        <v>656</v>
      </c>
      <c r="G6" s="11" t="s">
        <v>399</v>
      </c>
      <c r="H6" s="13" t="s">
        <v>378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409</v>
      </c>
      <c r="D7" s="11" t="s">
        <v>408</v>
      </c>
      <c r="E7" s="11" t="s">
        <v>410</v>
      </c>
      <c r="F7" s="11" t="s">
        <v>657</v>
      </c>
      <c r="G7" s="11" t="s">
        <v>399</v>
      </c>
      <c r="H7" s="13" t="s">
        <v>378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411</v>
      </c>
      <c r="D8" s="11" t="s">
        <v>11</v>
      </c>
      <c r="E8" s="11" t="s">
        <v>12</v>
      </c>
      <c r="F8" s="11" t="s">
        <v>657</v>
      </c>
      <c r="G8" s="11" t="s">
        <v>399</v>
      </c>
      <c r="H8" s="13" t="s">
        <v>378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412</v>
      </c>
      <c r="D9" s="11" t="s">
        <v>71</v>
      </c>
      <c r="E9" s="11" t="s">
        <v>17</v>
      </c>
      <c r="F9" s="11" t="s">
        <v>657</v>
      </c>
      <c r="G9" s="11" t="s">
        <v>399</v>
      </c>
      <c r="H9" s="13" t="s">
        <v>378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413</v>
      </c>
      <c r="D10" s="11" t="s">
        <v>34</v>
      </c>
      <c r="E10" s="11" t="s">
        <v>35</v>
      </c>
      <c r="F10" s="11" t="s">
        <v>657</v>
      </c>
      <c r="G10" s="11" t="s">
        <v>399</v>
      </c>
      <c r="H10" s="13" t="s">
        <v>378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415</v>
      </c>
      <c r="D11" s="11" t="s">
        <v>414</v>
      </c>
      <c r="E11" s="11" t="s">
        <v>28</v>
      </c>
      <c r="F11" s="11" t="s">
        <v>657</v>
      </c>
      <c r="G11" s="11" t="s">
        <v>399</v>
      </c>
      <c r="H11" s="13" t="s">
        <v>378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417</v>
      </c>
      <c r="D12" s="11" t="s">
        <v>416</v>
      </c>
      <c r="E12" s="11" t="s">
        <v>418</v>
      </c>
      <c r="F12" s="11" t="s">
        <v>657</v>
      </c>
      <c r="G12" s="11" t="s">
        <v>399</v>
      </c>
      <c r="H12" s="13" t="s">
        <v>378</v>
      </c>
      <c r="I12" s="11" t="s">
        <v>419</v>
      </c>
    </row>
    <row r="13" customFormat="false" ht="15" hidden="false" customHeight="false" outlineLevel="0" collapsed="false">
      <c r="B13" s="22" t="n">
        <v>8</v>
      </c>
      <c r="C13" s="11" t="s">
        <v>421</v>
      </c>
      <c r="D13" s="11" t="s">
        <v>420</v>
      </c>
      <c r="E13" s="11" t="s">
        <v>30</v>
      </c>
      <c r="F13" s="11" t="s">
        <v>657</v>
      </c>
      <c r="G13" s="11" t="s">
        <v>399</v>
      </c>
      <c r="H13" s="13" t="s">
        <v>378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422</v>
      </c>
      <c r="D14" s="11" t="s">
        <v>18</v>
      </c>
      <c r="E14" s="11" t="s">
        <v>19</v>
      </c>
      <c r="F14" s="11" t="s">
        <v>657</v>
      </c>
      <c r="G14" s="11" t="s">
        <v>399</v>
      </c>
      <c r="H14" s="13" t="s">
        <v>378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424</v>
      </c>
      <c r="D15" s="11" t="s">
        <v>423</v>
      </c>
      <c r="E15" s="11" t="s">
        <v>22</v>
      </c>
      <c r="F15" s="11" t="s">
        <v>657</v>
      </c>
      <c r="G15" s="11" t="s">
        <v>399</v>
      </c>
      <c r="H15" s="13" t="s">
        <v>378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425</v>
      </c>
      <c r="D16" s="11" t="s">
        <v>25</v>
      </c>
      <c r="E16" s="11" t="s">
        <v>26</v>
      </c>
      <c r="F16" s="11" t="s">
        <v>657</v>
      </c>
      <c r="G16" s="11" t="s">
        <v>399</v>
      </c>
      <c r="H16" s="13" t="s">
        <v>378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427</v>
      </c>
      <c r="D17" s="11" t="s">
        <v>426</v>
      </c>
      <c r="E17" s="11" t="s">
        <v>333</v>
      </c>
      <c r="F17" s="11" t="s">
        <v>658</v>
      </c>
      <c r="G17" s="11" t="s">
        <v>399</v>
      </c>
      <c r="H17" s="13" t="s">
        <v>378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429</v>
      </c>
      <c r="D18" s="11" t="s">
        <v>428</v>
      </c>
      <c r="E18" s="11" t="s">
        <v>430</v>
      </c>
      <c r="F18" s="11" t="s">
        <v>658</v>
      </c>
      <c r="G18" s="11" t="s">
        <v>399</v>
      </c>
      <c r="H18" s="13" t="s">
        <v>378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432</v>
      </c>
      <c r="D19" s="11" t="s">
        <v>431</v>
      </c>
      <c r="E19" s="11" t="s">
        <v>433</v>
      </c>
      <c r="F19" s="11" t="s">
        <v>658</v>
      </c>
      <c r="G19" s="11" t="s">
        <v>399</v>
      </c>
      <c r="H19" s="13" t="s">
        <v>378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435</v>
      </c>
      <c r="D20" s="11" t="s">
        <v>434</v>
      </c>
      <c r="E20" s="22" t="n">
        <v>11</v>
      </c>
      <c r="F20" s="11" t="s">
        <v>659</v>
      </c>
      <c r="G20" s="11" t="s">
        <v>399</v>
      </c>
      <c r="H20" s="13" t="s">
        <v>378</v>
      </c>
      <c r="I20" s="11" t="s">
        <v>278</v>
      </c>
    </row>
    <row r="21" customFormat="false" ht="15" hidden="false" customHeight="false" outlineLevel="0" collapsed="false">
      <c r="B21" s="22" t="n">
        <v>16</v>
      </c>
      <c r="C21" s="11" t="s">
        <v>436</v>
      </c>
      <c r="D21" s="11" t="s">
        <v>39</v>
      </c>
      <c r="E21" s="22" t="n">
        <v>72</v>
      </c>
      <c r="F21" s="11" t="s">
        <v>660</v>
      </c>
      <c r="G21" s="11" t="s">
        <v>399</v>
      </c>
      <c r="H21" s="13" t="s">
        <v>378</v>
      </c>
      <c r="I21" s="11" t="s">
        <v>438</v>
      </c>
    </row>
    <row r="22" customFormat="false" ht="15" hidden="false" customHeight="false" outlineLevel="0" collapsed="false">
      <c r="B22" s="22" t="n">
        <v>17</v>
      </c>
      <c r="C22" s="11" t="s">
        <v>440</v>
      </c>
      <c r="D22" s="11" t="s">
        <v>439</v>
      </c>
      <c r="E22" s="22" t="n">
        <v>751</v>
      </c>
      <c r="F22" s="11" t="s">
        <v>661</v>
      </c>
      <c r="G22" s="11" t="s">
        <v>399</v>
      </c>
      <c r="H22" s="13" t="s">
        <v>378</v>
      </c>
      <c r="I22" s="11" t="s">
        <v>438</v>
      </c>
    </row>
    <row r="23" customFormat="false" ht="15" hidden="false" customHeight="false" outlineLevel="0" collapsed="false">
      <c r="B23" s="22" t="n">
        <v>18</v>
      </c>
      <c r="C23" s="11" t="s">
        <v>443</v>
      </c>
      <c r="D23" s="11" t="s">
        <v>442</v>
      </c>
      <c r="E23" s="9" t="n">
        <v>475800</v>
      </c>
      <c r="F23" s="11" t="s">
        <v>315</v>
      </c>
      <c r="G23" s="11" t="s">
        <v>399</v>
      </c>
      <c r="H23" s="13" t="s">
        <v>378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446</v>
      </c>
      <c r="D24" s="11" t="s">
        <v>445</v>
      </c>
      <c r="E24" s="9" t="n">
        <v>553189</v>
      </c>
      <c r="F24" s="11" t="s">
        <v>315</v>
      </c>
      <c r="G24" s="11" t="s">
        <v>399</v>
      </c>
      <c r="H24" s="13" t="s">
        <v>378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448</v>
      </c>
      <c r="D25" s="11" t="s">
        <v>447</v>
      </c>
      <c r="E25" s="9" t="n">
        <v>77389</v>
      </c>
      <c r="F25" s="11" t="s">
        <v>315</v>
      </c>
      <c r="G25" s="11" t="s">
        <v>399</v>
      </c>
      <c r="H25" s="13" t="s">
        <v>378</v>
      </c>
      <c r="I25" s="11" t="s">
        <v>381</v>
      </c>
    </row>
    <row r="26" customFormat="false" ht="15" hidden="false" customHeight="false" outlineLevel="0" collapsed="false">
      <c r="B26" s="22" t="n">
        <v>21</v>
      </c>
      <c r="C26" s="11" t="s">
        <v>451</v>
      </c>
      <c r="D26" s="11" t="s">
        <v>450</v>
      </c>
      <c r="E26" s="26" t="n">
        <v>0.162650273224044</v>
      </c>
      <c r="F26" s="11" t="s">
        <v>308</v>
      </c>
      <c r="G26" s="11" t="s">
        <v>399</v>
      </c>
      <c r="H26" s="13" t="s">
        <v>378</v>
      </c>
      <c r="I26" s="11" t="s">
        <v>278</v>
      </c>
    </row>
    <row r="27" customFormat="false" ht="15" hidden="false" customHeight="false" outlineLevel="0" collapsed="false">
      <c r="B27" s="22" t="n">
        <v>22</v>
      </c>
      <c r="C27" s="11" t="s">
        <v>453</v>
      </c>
      <c r="D27" s="11" t="s">
        <v>452</v>
      </c>
      <c r="E27" s="9" t="n">
        <v>553189</v>
      </c>
      <c r="F27" s="11" t="s">
        <v>315</v>
      </c>
      <c r="G27" s="11" t="s">
        <v>399</v>
      </c>
      <c r="H27" s="13" t="s">
        <v>378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456</v>
      </c>
      <c r="D28" s="11" t="s">
        <v>455</v>
      </c>
      <c r="E28" s="9" t="n">
        <v>366275.78</v>
      </c>
      <c r="F28" s="11" t="s">
        <v>315</v>
      </c>
      <c r="G28" s="11" t="s">
        <v>399</v>
      </c>
      <c r="H28" s="13" t="s">
        <v>378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459</v>
      </c>
      <c r="D29" s="11" t="s">
        <v>458</v>
      </c>
      <c r="E29" s="9" t="n">
        <v>186913.22</v>
      </c>
      <c r="F29" s="11" t="s">
        <v>315</v>
      </c>
      <c r="G29" s="11" t="s">
        <v>399</v>
      </c>
      <c r="H29" s="13" t="s">
        <v>378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461</v>
      </c>
      <c r="D30" s="11" t="s">
        <v>309</v>
      </c>
      <c r="E30" s="26" t="n">
        <v>0.337883110473997</v>
      </c>
      <c r="F30" s="11" t="s">
        <v>308</v>
      </c>
      <c r="G30" s="11" t="s">
        <v>399</v>
      </c>
      <c r="H30" s="13" t="s">
        <v>378</v>
      </c>
      <c r="I30" s="11" t="s">
        <v>278</v>
      </c>
    </row>
    <row r="31" customFormat="false" ht="15" hidden="false" customHeight="false" outlineLevel="0" collapsed="false">
      <c r="B31" s="22" t="n">
        <v>26</v>
      </c>
      <c r="C31" s="11" t="s">
        <v>463</v>
      </c>
      <c r="D31" s="11" t="s">
        <v>462</v>
      </c>
      <c r="E31" s="9" t="n">
        <v>27659.45</v>
      </c>
      <c r="F31" s="11" t="s">
        <v>315</v>
      </c>
      <c r="G31" s="11" t="s">
        <v>399</v>
      </c>
      <c r="H31" s="13" t="s">
        <v>378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466</v>
      </c>
      <c r="D32" s="11" t="s">
        <v>465</v>
      </c>
      <c r="E32" s="26" t="n">
        <v>0.05</v>
      </c>
      <c r="F32" s="11" t="s">
        <v>308</v>
      </c>
      <c r="G32" s="11" t="s">
        <v>399</v>
      </c>
      <c r="H32" s="13" t="s">
        <v>378</v>
      </c>
      <c r="I32" s="11" t="s">
        <v>278</v>
      </c>
    </row>
    <row r="33" customFormat="false" ht="15" hidden="false" customHeight="false" outlineLevel="0" collapsed="false">
      <c r="B33" s="22" t="n">
        <v>28</v>
      </c>
      <c r="C33" s="11" t="s">
        <v>468</v>
      </c>
      <c r="D33" s="11" t="s">
        <v>467</v>
      </c>
      <c r="E33" s="9" t="n">
        <v>150690.75</v>
      </c>
      <c r="F33" s="11" t="s">
        <v>315</v>
      </c>
      <c r="G33" s="11" t="s">
        <v>399</v>
      </c>
      <c r="H33" s="13" t="s">
        <v>378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471</v>
      </c>
      <c r="D34" s="11" t="s">
        <v>470</v>
      </c>
      <c r="E34" s="9" t="n">
        <v>133195.02</v>
      </c>
      <c r="F34" s="11" t="s">
        <v>315</v>
      </c>
      <c r="G34" s="11" t="s">
        <v>399</v>
      </c>
      <c r="H34" s="13" t="s">
        <v>378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474</v>
      </c>
      <c r="D35" s="11" t="s">
        <v>473</v>
      </c>
      <c r="E35" s="9" t="n">
        <v>4030.45</v>
      </c>
      <c r="F35" s="11" t="s">
        <v>315</v>
      </c>
      <c r="G35" s="11" t="s">
        <v>399</v>
      </c>
      <c r="H35" s="13" t="s">
        <v>378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477</v>
      </c>
      <c r="D36" s="11" t="s">
        <v>476</v>
      </c>
      <c r="E36" s="9" t="n">
        <v>66831.47</v>
      </c>
      <c r="F36" s="11" t="s">
        <v>315</v>
      </c>
      <c r="G36" s="11" t="s">
        <v>399</v>
      </c>
      <c r="H36" s="13" t="s">
        <v>378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480</v>
      </c>
      <c r="D37" s="11" t="s">
        <v>479</v>
      </c>
      <c r="E37" s="9" t="n">
        <v>11528.09</v>
      </c>
      <c r="F37" s="11" t="s">
        <v>315</v>
      </c>
      <c r="G37" s="11" t="s">
        <v>399</v>
      </c>
      <c r="H37" s="13" t="s">
        <v>378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482</v>
      </c>
      <c r="D38" s="11" t="s">
        <v>273</v>
      </c>
      <c r="E38" s="10" t="n">
        <v>5993</v>
      </c>
      <c r="F38" s="11" t="s">
        <v>662</v>
      </c>
      <c r="G38" s="11" t="s">
        <v>399</v>
      </c>
      <c r="H38" s="13" t="s">
        <v>378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484</v>
      </c>
      <c r="D39" s="11" t="s">
        <v>271</v>
      </c>
      <c r="E39" s="22" t="n">
        <v>33</v>
      </c>
      <c r="F39" s="11" t="s">
        <v>661</v>
      </c>
      <c r="G39" s="11" t="s">
        <v>399</v>
      </c>
      <c r="H39" s="13" t="s">
        <v>378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487</v>
      </c>
      <c r="D40" s="11" t="s">
        <v>486</v>
      </c>
      <c r="E40" s="9" t="n">
        <v>25.1444602035708</v>
      </c>
      <c r="F40" s="11" t="s">
        <v>295</v>
      </c>
      <c r="G40" s="11" t="s">
        <v>399</v>
      </c>
      <c r="H40" s="13" t="s">
        <v>378</v>
      </c>
      <c r="I40" s="11" t="s">
        <v>278</v>
      </c>
    </row>
    <row r="41" customFormat="false" ht="15" hidden="false" customHeight="false" outlineLevel="0" collapsed="false">
      <c r="B41" s="22" t="n">
        <v>36</v>
      </c>
      <c r="C41" s="11" t="s">
        <v>489</v>
      </c>
      <c r="D41" s="11" t="s">
        <v>488</v>
      </c>
      <c r="E41" s="9" t="n">
        <v>51.2948</v>
      </c>
      <c r="F41" s="11" t="s">
        <v>295</v>
      </c>
      <c r="G41" s="11" t="s">
        <v>399</v>
      </c>
      <c r="H41" s="13" t="s">
        <v>378</v>
      </c>
      <c r="I41" s="11" t="s">
        <v>278</v>
      </c>
    </row>
    <row r="42" customFormat="false" ht="15" hidden="false" customHeight="false" outlineLevel="0" collapsed="false">
      <c r="B42" s="22" t="n">
        <v>37</v>
      </c>
      <c r="C42" s="11" t="s">
        <v>490</v>
      </c>
      <c r="D42" s="11" t="s">
        <v>301</v>
      </c>
      <c r="E42" s="25" t="n">
        <v>1.3421</v>
      </c>
      <c r="F42" s="11" t="s">
        <v>302</v>
      </c>
      <c r="G42" s="11" t="s">
        <v>399</v>
      </c>
      <c r="H42" s="13" t="s">
        <v>378</v>
      </c>
      <c r="I42" s="11" t="s">
        <v>278</v>
      </c>
    </row>
    <row r="43" customFormat="false" ht="15" hidden="false" customHeight="false" outlineLevel="0" collapsed="false">
      <c r="B43" s="22" t="n">
        <v>38</v>
      </c>
      <c r="C43" s="11" t="s">
        <v>492</v>
      </c>
      <c r="D43" s="11" t="s">
        <v>491</v>
      </c>
      <c r="E43" s="10" t="n">
        <v>4762</v>
      </c>
      <c r="F43" s="11" t="s">
        <v>662</v>
      </c>
      <c r="G43" s="11" t="s">
        <v>399</v>
      </c>
      <c r="H43" s="13" t="s">
        <v>378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495</v>
      </c>
      <c r="D44" s="11" t="s">
        <v>494</v>
      </c>
      <c r="E44" s="10" t="n">
        <v>923.5</v>
      </c>
      <c r="F44" s="11" t="s">
        <v>662</v>
      </c>
      <c r="G44" s="11" t="s">
        <v>399</v>
      </c>
      <c r="H44" s="13" t="s">
        <v>378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498</v>
      </c>
      <c r="D45" s="11" t="s">
        <v>497</v>
      </c>
      <c r="E45" s="9" t="n">
        <v>92.3058568329718</v>
      </c>
      <c r="F45" s="11" t="s">
        <v>295</v>
      </c>
      <c r="G45" s="11" t="s">
        <v>399</v>
      </c>
      <c r="H45" s="13" t="s">
        <v>378</v>
      </c>
      <c r="I45" s="11" t="s">
        <v>278</v>
      </c>
    </row>
    <row r="46" customFormat="false" ht="15" hidden="false" customHeight="false" outlineLevel="0" collapsed="false">
      <c r="B46" s="22" t="n">
        <v>41</v>
      </c>
      <c r="C46" s="11" t="s">
        <v>501</v>
      </c>
      <c r="D46" s="11" t="s">
        <v>500</v>
      </c>
      <c r="E46" s="9" t="n">
        <v>31.188590021692</v>
      </c>
      <c r="F46" s="11" t="s">
        <v>295</v>
      </c>
      <c r="G46" s="11" t="s">
        <v>399</v>
      </c>
      <c r="H46" s="13" t="s">
        <v>378</v>
      </c>
      <c r="I46" s="11" t="s">
        <v>278</v>
      </c>
    </row>
    <row r="47" customFormat="false" ht="15" hidden="false" customHeight="false" outlineLevel="0" collapsed="false">
      <c r="B47" s="22" t="n">
        <v>42</v>
      </c>
      <c r="C47" s="11" t="s">
        <v>503</v>
      </c>
      <c r="D47" s="11" t="s">
        <v>502</v>
      </c>
      <c r="E47" s="9" t="n">
        <v>7683.18055555556</v>
      </c>
      <c r="F47" s="11" t="s">
        <v>315</v>
      </c>
      <c r="G47" s="11" t="s">
        <v>399</v>
      </c>
      <c r="H47" s="13" t="s">
        <v>378</v>
      </c>
      <c r="I47" s="11" t="s">
        <v>278</v>
      </c>
    </row>
    <row r="48" customFormat="false" ht="15" hidden="false" customHeight="false" outlineLevel="0" collapsed="false">
      <c r="B48" s="22" t="n">
        <v>43</v>
      </c>
      <c r="C48" s="11" t="s">
        <v>504</v>
      </c>
      <c r="D48" s="11" t="s">
        <v>320</v>
      </c>
      <c r="E48" s="9" t="n">
        <v>5087.16361111111</v>
      </c>
      <c r="F48" s="11" t="s">
        <v>315</v>
      </c>
      <c r="G48" s="11" t="s">
        <v>399</v>
      </c>
      <c r="H48" s="13" t="s">
        <v>378</v>
      </c>
      <c r="I48" s="11" t="s">
        <v>278</v>
      </c>
    </row>
    <row r="49" customFormat="false" ht="15" hidden="false" customHeight="false" outlineLevel="0" collapsed="false">
      <c r="B49" s="22" t="n">
        <v>44</v>
      </c>
      <c r="C49" s="11" t="s">
        <v>506</v>
      </c>
      <c r="D49" s="11" t="s">
        <v>505</v>
      </c>
      <c r="E49" s="10" t="n">
        <v>83.2361111111111</v>
      </c>
      <c r="F49" s="11" t="s">
        <v>662</v>
      </c>
      <c r="G49" s="11" t="s">
        <v>399</v>
      </c>
      <c r="H49" s="13" t="s">
        <v>378</v>
      </c>
      <c r="I49" s="11" t="s">
        <v>278</v>
      </c>
    </row>
    <row r="50" customFormat="false" ht="15" hidden="false" customHeight="false" outlineLevel="0" collapsed="false">
      <c r="B50" s="22" t="n">
        <v>45</v>
      </c>
      <c r="C50" s="11" t="s">
        <v>507</v>
      </c>
      <c r="D50" s="11" t="s">
        <v>322</v>
      </c>
      <c r="E50" s="9" t="n">
        <v>736.603195739015</v>
      </c>
      <c r="F50" s="11" t="s">
        <v>315</v>
      </c>
      <c r="G50" s="11" t="s">
        <v>399</v>
      </c>
      <c r="H50" s="13" t="s">
        <v>378</v>
      </c>
      <c r="I50" s="11" t="s">
        <v>278</v>
      </c>
    </row>
    <row r="51" customFormat="false" ht="15" hidden="false" customHeight="false" outlineLevel="0" collapsed="false">
      <c r="B51" s="22" t="n">
        <v>46</v>
      </c>
      <c r="C51" s="11" t="s">
        <v>508</v>
      </c>
      <c r="D51" s="11" t="s">
        <v>310</v>
      </c>
      <c r="E51" s="26" t="n">
        <v>0.272403735432194</v>
      </c>
      <c r="F51" s="11" t="s">
        <v>308</v>
      </c>
      <c r="G51" s="11" t="s">
        <v>399</v>
      </c>
      <c r="H51" s="13" t="s">
        <v>378</v>
      </c>
      <c r="I51" s="11" t="s">
        <v>278</v>
      </c>
    </row>
    <row r="52" customFormat="false" ht="15" hidden="false" customHeight="false" outlineLevel="0" collapsed="false">
      <c r="B52" s="22" t="n">
        <v>47</v>
      </c>
      <c r="C52" s="11" t="s">
        <v>510</v>
      </c>
      <c r="D52" s="11" t="s">
        <v>311</v>
      </c>
      <c r="E52" s="26" t="n">
        <v>0.240776696572058</v>
      </c>
      <c r="F52" s="11" t="s">
        <v>308</v>
      </c>
      <c r="G52" s="11" t="s">
        <v>399</v>
      </c>
      <c r="H52" s="13" t="s">
        <v>378</v>
      </c>
      <c r="I52" s="11" t="s">
        <v>278</v>
      </c>
    </row>
    <row r="53" customFormat="false" ht="15" hidden="false" customHeight="false" outlineLevel="0" collapsed="false">
      <c r="B53" s="22" t="n">
        <v>48</v>
      </c>
      <c r="C53" s="11" t="s">
        <v>512</v>
      </c>
      <c r="D53" s="11" t="s">
        <v>511</v>
      </c>
      <c r="E53" s="22" t="n">
        <v>17</v>
      </c>
      <c r="F53" s="11" t="s">
        <v>661</v>
      </c>
      <c r="G53" s="11" t="s">
        <v>399</v>
      </c>
      <c r="H53" s="13" t="s">
        <v>378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514</v>
      </c>
      <c r="D54" s="11" t="s">
        <v>513</v>
      </c>
      <c r="E54" s="22" t="n">
        <v>10</v>
      </c>
      <c r="F54" s="11" t="s">
        <v>661</v>
      </c>
      <c r="G54" s="11" t="s">
        <v>399</v>
      </c>
      <c r="H54" s="13" t="s">
        <v>378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517</v>
      </c>
      <c r="D55" s="11" t="s">
        <v>516</v>
      </c>
      <c r="E55" s="26" t="n">
        <v>0.119305856832972</v>
      </c>
      <c r="F55" s="11" t="s">
        <v>308</v>
      </c>
      <c r="G55" s="11" t="s">
        <v>399</v>
      </c>
      <c r="H55" s="13" t="s">
        <v>378</v>
      </c>
      <c r="I55" s="11" t="s">
        <v>278</v>
      </c>
    </row>
    <row r="56" customFormat="false" ht="15" hidden="false" customHeight="false" outlineLevel="0" collapsed="false">
      <c r="B56" s="22" t="n">
        <v>51</v>
      </c>
      <c r="C56" s="11" t="s">
        <v>520</v>
      </c>
      <c r="D56" s="11" t="s">
        <v>519</v>
      </c>
      <c r="E56" s="26" t="n">
        <v>0.534456866344068</v>
      </c>
      <c r="F56" s="11" t="s">
        <v>308</v>
      </c>
      <c r="G56" s="11" t="s">
        <v>399</v>
      </c>
      <c r="H56" s="13" t="s">
        <v>378</v>
      </c>
      <c r="I56" s="11" t="s">
        <v>278</v>
      </c>
    </row>
    <row r="57" customFormat="false" ht="15" hidden="false" customHeight="false" outlineLevel="0" collapsed="false">
      <c r="B57" s="22" t="n">
        <v>52</v>
      </c>
      <c r="C57" s="11" t="s">
        <v>522</v>
      </c>
      <c r="D57" s="11" t="s">
        <v>521</v>
      </c>
      <c r="E57" s="22" t="n">
        <v>21</v>
      </c>
      <c r="F57" s="11" t="s">
        <v>661</v>
      </c>
      <c r="G57" s="11" t="s">
        <v>399</v>
      </c>
      <c r="H57" s="13" t="s">
        <v>378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525</v>
      </c>
      <c r="D58" s="11" t="s">
        <v>524</v>
      </c>
      <c r="E58" s="22" t="n">
        <v>11</v>
      </c>
      <c r="F58" s="11" t="s">
        <v>661</v>
      </c>
      <c r="G58" s="11" t="s">
        <v>399</v>
      </c>
      <c r="H58" s="13" t="s">
        <v>378</v>
      </c>
      <c r="I58" s="11" t="s">
        <v>527</v>
      </c>
    </row>
    <row r="59" customFormat="false" ht="15" hidden="false" customHeight="false" outlineLevel="0" collapsed="false">
      <c r="B59" s="22" t="n">
        <v>54</v>
      </c>
      <c r="C59" s="11" t="s">
        <v>529</v>
      </c>
      <c r="D59" s="11" t="s">
        <v>528</v>
      </c>
      <c r="E59" s="22" t="n">
        <v>75</v>
      </c>
      <c r="F59" s="11" t="s">
        <v>661</v>
      </c>
      <c r="G59" s="11" t="s">
        <v>399</v>
      </c>
      <c r="H59" s="13" t="s">
        <v>378</v>
      </c>
      <c r="I59" s="11" t="s">
        <v>530</v>
      </c>
    </row>
    <row r="60" customFormat="false" ht="15" hidden="false" customHeight="false" outlineLevel="0" collapsed="false">
      <c r="B60" s="22" t="n">
        <v>55</v>
      </c>
      <c r="C60" s="11" t="s">
        <v>532</v>
      </c>
      <c r="D60" s="11" t="s">
        <v>531</v>
      </c>
      <c r="E60" s="22" t="n">
        <v>7</v>
      </c>
      <c r="F60" s="11" t="s">
        <v>661</v>
      </c>
      <c r="G60" s="11" t="s">
        <v>399</v>
      </c>
      <c r="H60" s="13" t="s">
        <v>378</v>
      </c>
      <c r="I60" s="11" t="s">
        <v>533</v>
      </c>
    </row>
    <row r="61" customFormat="false" ht="15" hidden="false" customHeight="false" outlineLevel="0" collapsed="false">
      <c r="B61" s="22" t="n">
        <v>56</v>
      </c>
      <c r="C61" s="11" t="s">
        <v>535</v>
      </c>
      <c r="D61" s="11" t="s">
        <v>534</v>
      </c>
      <c r="E61" s="22" t="n">
        <v>26</v>
      </c>
      <c r="F61" s="11" t="s">
        <v>661</v>
      </c>
      <c r="G61" s="11" t="s">
        <v>399</v>
      </c>
      <c r="H61" s="13" t="s">
        <v>378</v>
      </c>
      <c r="I61" s="11" t="s">
        <v>536</v>
      </c>
    </row>
    <row r="62" customFormat="false" ht="15" hidden="false" customHeight="false" outlineLevel="0" collapsed="false">
      <c r="B62" s="22" t="n">
        <v>57</v>
      </c>
      <c r="C62" s="11" t="s">
        <v>538</v>
      </c>
      <c r="D62" s="11" t="s">
        <v>537</v>
      </c>
      <c r="E62" s="22" t="n">
        <v>97</v>
      </c>
      <c r="F62" s="11" t="s">
        <v>661</v>
      </c>
      <c r="G62" s="11" t="s">
        <v>399</v>
      </c>
      <c r="H62" s="13" t="s">
        <v>378</v>
      </c>
      <c r="I62" s="11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663</v>
      </c>
    </row>
    <row r="3" customFormat="false" ht="21.75" hidden="false" customHeight="true" outlineLevel="0" collapsed="false">
      <c r="B3" s="2" t="s">
        <v>664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372</v>
      </c>
      <c r="C5" s="3" t="s">
        <v>665</v>
      </c>
      <c r="D5" s="3" t="s">
        <v>666</v>
      </c>
      <c r="E5" s="3" t="s">
        <v>667</v>
      </c>
      <c r="F5" s="3" t="s">
        <v>668</v>
      </c>
      <c r="G5" s="3" t="s">
        <v>67</v>
      </c>
      <c r="H5" s="3" t="s">
        <v>669</v>
      </c>
    </row>
    <row r="6" customFormat="false" ht="15" hidden="false" customHeight="false" outlineLevel="0" collapsed="false">
      <c r="B6" s="22" t="n">
        <v>1</v>
      </c>
      <c r="C6" s="11" t="s">
        <v>670</v>
      </c>
      <c r="D6" s="9" t="n">
        <v>553189</v>
      </c>
      <c r="E6" s="9" t="n">
        <v>553189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671</v>
      </c>
    </row>
    <row r="7" customFormat="false" ht="15" hidden="false" customHeight="false" outlineLevel="0" collapsed="false">
      <c r="B7" s="22" t="n">
        <v>2</v>
      </c>
      <c r="C7" s="11" t="s">
        <v>672</v>
      </c>
      <c r="D7" s="9" t="n">
        <v>366275.78</v>
      </c>
      <c r="E7" s="9" t="n">
        <v>366275.78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673</v>
      </c>
    </row>
    <row r="8" customFormat="false" ht="15" hidden="false" customHeight="false" outlineLevel="0" collapsed="false">
      <c r="B8" s="22" t="n">
        <v>3</v>
      </c>
      <c r="C8" s="11" t="s">
        <v>674</v>
      </c>
      <c r="D8" s="9" t="n">
        <v>186913.22</v>
      </c>
      <c r="E8" s="9" t="n">
        <v>186913.22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675</v>
      </c>
    </row>
    <row r="9" customFormat="false" ht="15" hidden="false" customHeight="false" outlineLevel="0" collapsed="false">
      <c r="B9" s="22" t="n">
        <v>4</v>
      </c>
      <c r="C9" s="11" t="s">
        <v>676</v>
      </c>
      <c r="D9" s="9" t="n">
        <v>553189</v>
      </c>
      <c r="E9" s="9" t="n">
        <v>553189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677</v>
      </c>
    </row>
    <row r="10" customFormat="false" ht="15" hidden="false" customHeight="false" outlineLevel="0" collapsed="false">
      <c r="B10" s="22" t="n">
        <v>5</v>
      </c>
      <c r="C10" s="11" t="s">
        <v>678</v>
      </c>
      <c r="D10" s="9" t="n">
        <v>5993</v>
      </c>
      <c r="E10" s="9" t="n">
        <v>5993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679</v>
      </c>
    </row>
    <row r="11" customFormat="false" ht="15" hidden="false" customHeight="false" outlineLevel="0" collapsed="false">
      <c r="B11" s="22" t="n">
        <v>6</v>
      </c>
      <c r="C11" s="11" t="s">
        <v>680</v>
      </c>
      <c r="D11" s="9" t="n">
        <v>77389</v>
      </c>
      <c r="E11" s="9" t="n">
        <v>77389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681</v>
      </c>
    </row>
    <row r="12" customFormat="false" ht="15" hidden="false" customHeight="false" outlineLevel="0" collapsed="false">
      <c r="B12" s="22" t="n">
        <v>7</v>
      </c>
      <c r="C12" s="11" t="s">
        <v>682</v>
      </c>
      <c r="D12" s="11" t="n">
        <v>33</v>
      </c>
      <c r="E12" s="11" t="n">
        <v>33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683</v>
      </c>
    </row>
    <row r="13" customFormat="false" ht="15" hidden="false" customHeight="false" outlineLevel="0" collapsed="false">
      <c r="B13" s="22" t="n">
        <v>8</v>
      </c>
      <c r="C13" s="11" t="s">
        <v>684</v>
      </c>
      <c r="D13" s="11" t="n">
        <v>21</v>
      </c>
      <c r="E13" s="11" t="n">
        <v>21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2026-04-20T22:50:44Z</dcterms:created>
  <dc:creator>openpyxl</dc:creator>
  <dc:description/>
  <dc:language>en-US</dc:language>
  <cp:lastModifiedBy/>
  <dcterms:modified xsi:type="dcterms:W3CDTF">2026-04-20T22:50:44Z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