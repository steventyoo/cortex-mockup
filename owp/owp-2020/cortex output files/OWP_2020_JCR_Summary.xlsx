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<sst xmlns="http://schemas.openxmlformats.org/spreadsheetml/2006/main" count="943" uniqueCount="540">
  <si>
    <t xml:space="preserve">Job #2020 · SRM Bellevue @ Main Apartments</t>
  </si>
  <si>
    <t xml:space="preserve">Cortex JCR Summary  •  SRM Development / Exxel Pacific (Owner: Bellevue Way Ventures)  •  Bellevue, WA (15 Bellevue Way SE)  •  6-story 288-unit luxury multifamily + retail (268 Type B + 20 Type A ADA)  •  May 2014 – Feb 2016 (~22 months)</t>
  </si>
  <si>
    <t xml:space="preserve">PROJECT OVERVIEW</t>
  </si>
  <si>
    <t xml:space="preserve">Project Job #</t>
  </si>
  <si>
    <t xml:space="preserve">2020</t>
  </si>
  <si>
    <t xml:space="preserve">Project Name:</t>
  </si>
  <si>
    <t xml:space="preserve">SRM Bellevue @ Main Apartments</t>
  </si>
  <si>
    <t xml:space="preserve">General Contractor</t>
  </si>
  <si>
    <t xml:space="preserve">SRM Development / Exxel Pacific (Owner: Bellevue Way Ventures)</t>
  </si>
  <si>
    <t xml:space="preserve">Location</t>
  </si>
  <si>
    <t xml:space="preserve">Bellevue, WA (15 Bellevue Way SE)</t>
  </si>
  <si>
    <t xml:space="preserve">Project Duration</t>
  </si>
  <si>
    <t xml:space="preserve">May 2014 – Feb 2016 (~22 months)</t>
  </si>
  <si>
    <t xml:space="preserve">Total Unique Documents</t>
  </si>
  <si>
    <t xml:space="preserve">Bellevue @ Main folder: Contract, Billing (10 archived SOVs thru #23), PO_s (30+ with master trim quote), COs (11), Permit 13-133992-BO, Invoices, Vendor Lien Waivers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</si>
  <si>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</si>
  <si>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</si>
  <si>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</si>
  <si>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</si>
  <si>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$2,858,341</t>
  </si>
  <si>
    <t xml:space="preserve">$923,838</t>
  </si>
  <si>
    <t xml:space="preserve">$1,934,503</t>
  </si>
  <si>
    <t xml:space="preserve">38,749</t>
  </si>
  <si>
    <t xml:space="preserve">Original $3,119,000 − $260,659 net COs (11) = $2,858,341</t>
  </si>
  <si>
    <t xml:space="preserve">32.3% margin</t>
  </si>
  <si>
    <t xml:space="preserve">67.7% of revenue</t>
  </si>
  <si>
    <t xml:space="preserve">57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</si>
  <si>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</si>
  <si>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</si>
  <si>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</si>
  <si>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</si>
  <si>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</si>
  <si>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</si>
  <si>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</si>
  <si>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</si>
  <si>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</si>
  <si>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</si>
  <si>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</si>
  <si>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</si>
  <si>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</si>
  <si>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</si>
  <si>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</si>
  <si>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</si>
  <si>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288</t>
  </si>
  <si>
    <t xml:space="preserve">Type B (standard)</t>
  </si>
  <si>
    <t xml:space="preserve">268</t>
  </si>
  <si>
    <t xml:space="preserve">Type A (ADA)</t>
  </si>
  <si>
    <t xml:space="preserve">20</t>
  </si>
  <si>
    <t xml:space="preserve">Water Closets</t>
  </si>
  <si>
    <t xml:space="preserve">288+20 ADA</t>
  </si>
  <si>
    <t xml:space="preserve">Kitchen Faucets</t>
  </si>
  <si>
    <t xml:space="preserve">257 (incl. amenity)</t>
  </si>
  <si>
    <t xml:space="preserve">Bathtub Trim</t>
  </si>
  <si>
    <t xml:space="preserve">Lav Faucets</t>
  </si>
  <si>
    <t xml:space="preserve">288 + 4 amenity</t>
  </si>
  <si>
    <t xml:space="preserve">Total Fixtures</t>
  </si>
  <si>
    <t xml:space="preserve">~1,564</t>
  </si>
  <si>
    <t xml:space="preserve">Fixtures / Unit</t>
  </si>
  <si>
    <t xml:space="preserve">~5.4</t>
  </si>
  <si>
    <t xml:space="preserve">Floors</t>
  </si>
  <si>
    <t xml:space="preserve">P2/P1 garage + L1 retail + Mezz + L2–L5 residential</t>
  </si>
  <si>
    <t xml:space="preserve">Duration</t>
  </si>
  <si>
    <t xml:space="preserve">22 mo</t>
  </si>
  <si>
    <t xml:space="preserve">SOURCES</t>
  </si>
  <si>
    <t xml:space="preserve">Job #2020 — SRM Bellevue @ Main Apartments  •  GC: Exxel Pacific / Owner: Bellevue Way Ventures  •  Bellevue, WA</t>
  </si>
  <si>
    <t xml:space="preserve">Canonical source: 2020 Job Detail Report.pdf (352 pages, OWP Sage Timberline export)</t>
  </si>
  <si>
    <t xml:space="preserve">Cost codes parsed: 24 (Labor+Material+Overhead+Burden+Revenue)</t>
  </si>
  <si>
    <t xml:space="preserve">Unit count (288) confirmed by TWO source documents:</t>
  </si>
  <si>
    <t xml:space="preserve">  1) Bellevue Main – Pricing to go to 101 Taylor Fixtures.xlsx: Type B lavs qty=268, Type A lavs qty=20, Lav faucets qty=288, Bathtub trim qty=288</t>
  </si>
  <si>
    <t xml:space="preserve">  2) BELLEVUE TRIM QUOTE PRICING organized by category USE.xlsx: Mansfield toilets 268 + 20 ADA = 288</t>
  </si>
  <si>
    <t xml:space="preserve">Kitchen fixtures: 257 kitchen faucets (Delta 4353-AR-DST) — 31 fewer than units (studios/amenity)</t>
  </si>
  <si>
    <t xml:space="preserve">Contract: One Way Plumbing Executed Contract OCR_D.pdf — Exxel Pacific / SRM Development GC</t>
  </si>
  <si>
    <t xml:space="preserve">Billing: 10 archived Schedule of Values files (pay apps #4, 9, 10, 12, 13, 15, 18, 19, 20, 23)</t>
  </si>
  <si>
    <t xml:space="preserve">Final contract $2,858,341 after 11 COs (net -$260,659, primarily CO#1 cast iron credit -$389,000)</t>
  </si>
  <si>
    <t xml:space="preserve">Permit: City of Bellevue #13-133992-BO (building/plumbing)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</si>
  <si>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</si>
  <si>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</si>
  <si>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</si>
  <si>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</si>
  <si>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</si>
  <si>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</si>
  <si>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</si>
  <si>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</si>
  <si>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</si>
  <si>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</si>
  <si>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</si>
  <si>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</si>
  <si>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</si>
  <si>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</si>
  <si>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</si>
  <si>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</si>
  <si>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</si>
  <si>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</si>
  <si>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</si>
  <si>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</si>
  <si>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</si>
  <si>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</si>
  <si>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</si>
  <si>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</si>
  <si>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</si>
  <si>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</si>
  <si>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</si>
  <si>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</si>
  <si>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</si>
  <si>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</si>
  <si>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</si>
  <si>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</si>
  <si>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</si>
  <si>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</si>
  <si>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</si>
  <si>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</si>
  <si>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</si>
  <si>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</si>
  <si>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</si>
  <si>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</si>
  <si>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</si>
  <si>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</si>
  <si>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</si>
  <si>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</si>
  <si>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</si>
  <si>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</si>
  <si>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OVERHEAD</t>
  </si>
  <si>
    <t xml:space="preserve">600</t>
  </si>
  <si>
    <t xml:space="preserve">Subcontractor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</si>
  <si>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</si>
  <si>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</si>
  <si>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</si>
  <si>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</si>
  <si>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</si>
  <si>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</si>
  <si>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</si>
  <si>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</si>
  <si>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</si>
  <si>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</si>
  <si>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</si>
  <si>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</si>
  <si>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</si>
  <si>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</si>
  <si>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</si>
  <si>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</si>
  <si>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</si>
  <si>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</si>
  <si>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</si>
  <si>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8 material cost codes  •  $735,695 JDR material  •  21 AP vendors  •  $792,735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</si>
  <si>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</si>
  <si>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</si>
  <si>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</si>
  <si>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</si>
  <si>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</si>
  <si>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</si>
  <si>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</si>
  <si>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</si>
  <si>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</si>
  <si>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Ferguson Enterprises, Inc.</t>
  </si>
  <si>
    <t xml:space="preserve">Keller Supply Company</t>
  </si>
  <si>
    <t xml:space="preserve">Rosen Supply Company</t>
  </si>
  <si>
    <t xml:space="preserve">Mechanical Sales, Inc.</t>
  </si>
  <si>
    <t xml:space="preserve">Consolidated Supply Co.</t>
  </si>
  <si>
    <t xml:space="preserve">United Rentals, Inc.</t>
  </si>
  <si>
    <t xml:space="preserve">Quality Concrete Products, Inc.</t>
  </si>
  <si>
    <t xml:space="preserve">Scan2Core, Inc.</t>
  </si>
  <si>
    <t xml:space="preserve">MAD Concrete Cutting &amp; Coring, Inc.</t>
  </si>
  <si>
    <t xml:space="preserve">Kele, Inc</t>
  </si>
  <si>
    <t xml:space="preserve">C.M. Hoskins Company</t>
  </si>
  <si>
    <t xml:space="preserve">Rosen Supply Kirkland</t>
  </si>
  <si>
    <t xml:space="preserve">Capital One Credit Card</t>
  </si>
  <si>
    <t xml:space="preserve">Shirley Dennison</t>
  </si>
  <si>
    <t xml:space="preserve">Seton Identification Products</t>
  </si>
  <si>
    <t xml:space="preserve">American Express 3-41000</t>
  </si>
  <si>
    <t xml:space="preserve">NRP-Meydenbauer</t>
  </si>
  <si>
    <t xml:space="preserve">Ferguson Enterprises, Inc. #3007</t>
  </si>
  <si>
    <t xml:space="preserve">Fastenal Company</t>
  </si>
  <si>
    <t xml:space="preserve">A.R. Brown Backflow Testing</t>
  </si>
  <si>
    <t xml:space="preserve">Rosen Supply Company, Inc.</t>
  </si>
  <si>
    <t xml:space="preserve">Vendor AP ties to JDR 'by Source: AP' line (792,734.87)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</si>
  <si>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</si>
  <si>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</si>
  <si>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</si>
  <si>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</si>
  <si>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</si>
  <si>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</si>
  <si>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Veley, Nathaniel S</t>
  </si>
  <si>
    <t xml:space="preserve">Senior</t>
  </si>
  <si>
    <t xml:space="preserve">Paco Leyva, Orlando</t>
  </si>
  <si>
    <t xml:space="preserve">Mid</t>
  </si>
  <si>
    <t xml:space="preserve">Gerard, Mitchell J</t>
  </si>
  <si>
    <t xml:space="preserve">Apprentice</t>
  </si>
  <si>
    <t xml:space="preserve">Moran Fernandez, Jose</t>
  </si>
  <si>
    <t xml:space="preserve">Reed, Reuben H</t>
  </si>
  <si>
    <t xml:space="preserve">Rodriguez, Fernando V</t>
  </si>
  <si>
    <t xml:space="preserve">Meza Fuentes, Erick A</t>
  </si>
  <si>
    <t xml:space="preserve">Monico Brambila, Jesus S</t>
  </si>
  <si>
    <t xml:space="preserve">Taylor, Evan R</t>
  </si>
  <si>
    <t xml:space="preserve">Ayers, Jordan L</t>
  </si>
  <si>
    <t xml:space="preserve">Holmes, Anthony R</t>
  </si>
  <si>
    <t xml:space="preserve">Wennig, Johnathan M</t>
  </si>
  <si>
    <t xml:space="preserve">Barbosa, Michael S</t>
  </si>
  <si>
    <t xml:space="preserve">Salazar, Hajdar L</t>
  </si>
  <si>
    <t xml:space="preserve">Cruz Jimenez, Adalberto</t>
  </si>
  <si>
    <t xml:space="preserve">Gonzalez Guzman, Rigoberto A</t>
  </si>
  <si>
    <t xml:space="preserve">Gerard, Jordan E</t>
  </si>
  <si>
    <t xml:space="preserve">Waites, Thaddeus Z</t>
  </si>
  <si>
    <t xml:space="preserve">Walker, Craig M</t>
  </si>
  <si>
    <t xml:space="preserve">Sanders, Allen O</t>
  </si>
  <si>
    <t xml:space="preserve">Kinssies, Jr, John E</t>
  </si>
  <si>
    <t xml:space="preserve">Ramos, Jose G</t>
  </si>
  <si>
    <t xml:space="preserve">Donelson, Richard T</t>
  </si>
  <si>
    <t xml:space="preserve">Galdamez, Dagoberto A</t>
  </si>
  <si>
    <t xml:space="preserve">Lopez Barrios, Luis F</t>
  </si>
  <si>
    <t xml:space="preserve">Vaughan, Tyler J</t>
  </si>
  <si>
    <t xml:space="preserve">Castro Hernandez, Jose A</t>
  </si>
  <si>
    <t xml:space="preserve">Lopez Martinez, Abimael</t>
  </si>
  <si>
    <t xml:space="preserve">Alba Jimenez, Jovani</t>
  </si>
  <si>
    <t xml:space="preserve">Garcia, Jordan X</t>
  </si>
  <si>
    <t xml:space="preserve">Alba Martinez, Santiago</t>
  </si>
  <si>
    <t xml:space="preserve">Hubbard, Robert W</t>
  </si>
  <si>
    <t xml:space="preserve">Ross, Kelli M</t>
  </si>
  <si>
    <t xml:space="preserve">Ramos Banegas, Noel O</t>
  </si>
  <si>
    <t xml:space="preserve">Ramirez, Lorenzo A</t>
  </si>
  <si>
    <t xml:space="preserve">Santiago, William T</t>
  </si>
  <si>
    <t xml:space="preserve">Gerard, Jeffrey S</t>
  </si>
  <si>
    <t xml:space="preserve">Soto Cruz, Jovani</t>
  </si>
  <si>
    <t xml:space="preserve">Reyes, Robert J</t>
  </si>
  <si>
    <t xml:space="preserve">Eliassen, Cory H</t>
  </si>
  <si>
    <t xml:space="preserve">Palma Vides, Jorge A</t>
  </si>
  <si>
    <t xml:space="preserve">Lima Romero, Melvin A</t>
  </si>
  <si>
    <t xml:space="preserve">Cortes Mendiola, Victor H</t>
  </si>
  <si>
    <t xml:space="preserve">Cruz Reyes, Jose</t>
  </si>
  <si>
    <t xml:space="preserve">Palma Vides, Hugo</t>
  </si>
  <si>
    <t xml:space="preserve">Soto Serna, Cesar E</t>
  </si>
  <si>
    <t xml:space="preserve">Whitaker, Daniel J</t>
  </si>
  <si>
    <t xml:space="preserve">Trump, Norman W</t>
  </si>
  <si>
    <t xml:space="preserve">Hubbard, Dustin R</t>
  </si>
  <si>
    <t xml:space="preserve">Schaefer, Taylor E</t>
  </si>
  <si>
    <t xml:space="preserve">Cruz Guzman, Joel A</t>
  </si>
  <si>
    <t xml:space="preserve">Ruiz, Hugo</t>
  </si>
  <si>
    <t xml:space="preserve">Gonzalez Hernandez, Josue</t>
  </si>
  <si>
    <t xml:space="preserve">Cortes Sepulveda, Jose R</t>
  </si>
  <si>
    <t xml:space="preserve">Sepulveda Gonzalez, Alfredo</t>
  </si>
  <si>
    <t xml:space="preserve">Ascencio, Jose L</t>
  </si>
  <si>
    <t xml:space="preserve">Anderson, Richard P</t>
  </si>
  <si>
    <t xml:space="preserve">TOTAL (57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</si>
  <si>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</si>
  <si>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</si>
  <si>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</si>
  <si>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</si>
  <si>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</si>
  <si>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</si>
  <si>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</si>
  <si>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</si>
  <si>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</si>
  <si>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</si>
  <si>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</si>
  <si>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</si>
  <si>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</si>
  <si>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</si>
  <si>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</si>
  <si>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</si>
  <si>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</si>
  <si>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</si>
  <si>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</si>
  <si>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</si>
  <si>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</si>
  <si>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</si>
  <si>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</si>
  <si>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</si>
  <si>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</si>
  <si>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</si>
  <si>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</si>
  <si>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</si>
  <si>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</si>
  <si>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</si>
  <si>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</si>
  <si>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</si>
  <si>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</si>
  <si>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</si>
  <si>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</si>
  <si>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</si>
  <si>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</si>
  <si>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</si>
  <si>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</si>
  <si>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</si>
  <si>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</si>
  <si>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</si>
  <si>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</si>
  <si>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</si>
  <si>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</si>
  <si>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</si>
  <si>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</si>
  <si>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</si>
  <si>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</si>
  <si>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</si>
  <si>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</si>
  <si>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</si>
  <si>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</si>
  <si>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</si>
  <si>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</si>
  <si>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</si>
  <si>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</si>
  <si>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279 unique POs  •  PO amounts not dollar-parsed from individual PDFs  •  JDR material $735,695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</si>
  <si>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</si>
  <si>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</si>
  <si>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</si>
  <si>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</si>
  <si>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</si>
  <si>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</si>
  <si>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</si>
  <si>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</si>
  <si>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</si>
  <si>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</si>
  <si>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</si>
  <si>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</si>
  <si>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34</t>
  </si>
  <si>
    <t xml:space="preserve">111+211 Garage</t>
  </si>
  <si>
    <t xml:space="preserve">40</t>
  </si>
  <si>
    <t xml:space="preserve">141+241 Water Main/Ins</t>
  </si>
  <si>
    <t xml:space="preserve">41</t>
  </si>
  <si>
    <t xml:space="preserve">140+240 Gas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</si>
  <si>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</si>
  <si>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</si>
  <si>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</si>
  <si>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</si>
  <si>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FEI</t>
  </si>
  <si>
    <t xml:space="preserve">KELLER</t>
  </si>
  <si>
    <t xml:space="preserve">FASTENAL</t>
  </si>
  <si>
    <t xml:space="preserve">MECH SALES</t>
  </si>
  <si>
    <t xml:space="preserve">CONSOLIDATED</t>
  </si>
  <si>
    <t xml:space="preserve">PIKE</t>
  </si>
  <si>
    <t xml:space="preserve">SIOUX CHIEF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</si>
  <si>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</si>
  <si>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</si>
  <si>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</si>
  <si>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</si>
  <si>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</si>
  <si>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</si>
  <si>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</si>
  <si>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10 archived pay applications (of ~23)  •  Original $3,119,000 − $260,659 COs = $2,858,341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</si>
  <si>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</si>
  <si>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</si>
  <si>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</si>
  <si>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</si>
  <si>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</si>
  <si>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</si>
  <si>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</si>
  <si>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</si>
  <si>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</si>
  <si>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</si>
  <si>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</si>
  <si>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</si>
  <si>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</si>
  <si>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</si>
  <si>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2014-08-25</t>
  </si>
  <si>
    <t xml:space="preserve">2014-12-15</t>
  </si>
  <si>
    <t xml:space="preserve">2015-01-22</t>
  </si>
  <si>
    <t xml:space="preserve">2015-03-24</t>
  </si>
  <si>
    <t xml:space="preserve">2015-04-23</t>
  </si>
  <si>
    <t xml:space="preserve">2015-06-25</t>
  </si>
  <si>
    <t xml:space="preserve">2015-09-25</t>
  </si>
  <si>
    <t xml:space="preserve">2015-10-23</t>
  </si>
  <si>
    <t xml:space="preserve">2015-11-23</t>
  </si>
  <si>
    <t xml:space="preserve">2016-02-25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</si>
  <si>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</si>
  <si>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</si>
  <si>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</si>
  <si>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</si>
  <si>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</si>
  <si>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</si>
  <si>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#2020 SRM Bellevue @ Main Apartments</t>
  </si>
  <si>
    <t xml:space="preserve">Narrative observations distilled from the full JDR analysis</t>
  </si>
  <si>
    <t xml:space="preserve">MARGIN PROFILE</t>
  </si>
  <si>
    <t xml:space="preserve">Net profit of $923,838 on $2,858,341 revenue = 32.3% gross margin. Direct cost $1,934,503 absorbs 67.7% of revenue.</t>
  </si>
  <si>
    <t xml:space="preserve">VENDOR CONCENTRATION</t>
  </si>
  <si>
    <t xml:space="preserve">Ferguson Enterprises, Inc. alone = $216,177 (27% of all AP) across 121 invoices. Total 21 AP vendors, $792,735 total AP spend.</t>
  </si>
  <si>
    <t xml:space="preserve">CREW PROFILE</t>
  </si>
  <si>
    <t xml:space="preserve">57 workers for 38,749 hours = 680 avg hrs/worker. Top 3 workers logged 8,366 hrs combined (22% of all labor).</t>
  </si>
  <si>
    <t xml:space="preserve">ROUGHIN DOMINANCE</t>
  </si>
  <si>
    <t xml:space="preserve">Code 120 Roughin Labor = 18,980 hrs (49% of all labor) and $348,603 actual. Code 230 Finish Material = $411,992 — 21% of total direct cost.</t>
  </si>
  <si>
    <t xml:space="preserve">BUDGET DELIVERY</t>
  </si>
  <si>
    <t xml:space="preserve">Revised budget was $1,919,609; actual direct cost $1,934,503 → $-14,894 variance (-0.8% under revised budget).</t>
  </si>
  <si>
    <t xml:space="preserve">CONTRACT GROWTH</t>
  </si>
  <si>
    <t xml:space="preserve">Contract grew from $3,119,000 to $2,858,341 — net +$-260,659 (-8.4%). Retainage of $142,517 (5%) withheld until closeout.</t>
  </si>
  <si>
    <t xml:space="preserve">BURDEN RATIO</t>
  </si>
  <si>
    <t xml:space="preserve">Burden codes 995 + 998 = $398,612 on $766,929 labor base = 52.0%. In line with OWP's typical 48–50% labor burden.</t>
  </si>
  <si>
    <t xml:space="preserve">PROJECT SCALE</t>
  </si>
  <si>
    <t xml:space="preserve">288 units · 1564 fixtures · 22 months. Revenue/unit $9,925, hours/unit 134.5, profit/unit $3,208.</t>
  </si>
  <si>
    <t xml:space="preserve">PRODUCTIVITY</t>
  </si>
  <si>
    <t xml:space="preserve">Blended labor rate $19.79/hr. Revenue/hour $74. Profit/hour $24. 1,761 hrs/month burn rate.</t>
  </si>
  <si>
    <t xml:space="preserve">FIXTURE DENSITY</t>
  </si>
  <si>
    <t xml:space="preserve">1564 fixtures ÷ 288 units = 5.43 fixtures/unit. Material/fixture $470, labor/fixture $490.</t>
  </si>
  <si>
    <t xml:space="preserve">BIGGEST QUESTION</t>
  </si>
  <si>
    <t xml:space="preserve">How does this job's 32.3%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</si>
  <si>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</si>
  <si>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</si>
  <si>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</si>
  <si>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</si>
  <si>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</si>
  <si>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</si>
  <si>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</si>
  <si>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</si>
  <si>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</si>
  <si>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</si>
  <si>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</si>
  <si>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</si>
  <si>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</si>
  <si>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</si>
  <si>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6-story 288-unit luxury multifamily + retail (268 Type B + 20 Type A ADA)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</si>
  <si>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</si>
  <si>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</si>
  <si>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</si>
  <si>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</si>
  <si>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</si>
  <si>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</si>
  <si>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</si>
  <si>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</si>
  <si>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</si>
  <si>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</si>
  <si>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</si>
  <si>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</si>
  <si>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</si>
  <si>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</si>
  <si>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</si>
  <si>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</si>
  <si>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</si>
  <si>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</si>
  <si>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</si>
  <si>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</si>
  <si>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</si>
  <si>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</si>
  <si>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</si>
  <si>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</si>
  <si>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11 labor codes</t>
  </si>
  <si>
    <t xml:space="preserve">Material Cost</t>
  </si>
  <si>
    <t xml:space="preserve">material_cost</t>
  </si>
  <si>
    <t xml:space="preserve">Sum of 8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</si>
  <si>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</si>
  <si>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</si>
  <si>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</si>
  <si>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</si>
  <si>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</si>
  <si>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</si>
  <si>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</si>
  <si>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</si>
  <si>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</si>
  <si>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</si>
  <si>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</si>
  <si>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</si>
  <si>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</si>
  <si>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</si>
  <si>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</si>
  <si>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</si>
  <si>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</si>
  <si>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</si>
  <si>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</si>
  <si>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</si>
  <si>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</si>
  <si>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</si>
  <si>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</si>
  <si>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</si>
  <si>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</si>
  <si>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</si>
  <si>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</si>
  <si>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</si>
  <si>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</si>
  <si>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</si>
  <si>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</si>
  <si>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</si>
  <si>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</si>
  <si>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</si>
  <si>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</si>
  <si>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</si>
  <si>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</si>
  <si>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</si>
  <si>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</si>
  <si>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</si>
  <si>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</si>
  <si>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</si>
  <si>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</si>
  <si>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</si>
  <si>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</si>
  <si>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</si>
  <si>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</si>
  <si>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</si>
  <si>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</si>
  <si>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</si>
  <si>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</si>
  <si>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</si>
  <si>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</si>
  <si>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</si>
  <si>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</si>
  <si>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</si>
  <si>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</si>
  <si>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</si>
  <si>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</si>
  <si>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</si>
  <si>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</si>
  <si>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</si>
  <si>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</si>
  <si>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</si>
  <si>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</si>
  <si>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</si>
  <si>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</si>
  <si>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</si>
  <si>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</si>
  <si>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</si>
  <si>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</si>
  <si>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</si>
  <si>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</si>
  <si>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</si>
  <si>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</si>
  <si>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Reconciliation — Tie-out Proofs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</si>
  <si>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</si>
  <si>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</si>
  <si>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</si>
  <si>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</si>
  <si>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(11 codes)</t>
  </si>
  <si>
    <t xml:space="preserve">Material subtotal (8 codes)</t>
  </si>
  <si>
    <t xml:space="preserve">Overhead subtotal (2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</si>
  <si>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</si>
  <si>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</si>
  <si>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</si>
  <si>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</si>
  <si>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</si>
  <si>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</si>
  <si>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</si>
  <si>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</si>
  <si>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</si>
  <si>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</si>
  <si>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</si>
  <si>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Vendor Detail — Job #2020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</si>
  <si>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</si>
  <si>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</si>
  <si>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</si>
  <si>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</si>
  <si>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</si>
  <si>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</si>
  <si>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2020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</si>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</sst>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#,##0"/>
    <numFmt numFmtId="173" formatCode="0.0%"/>
    <numFmt numFmtId="174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1F3864"/>
        <bgColor rgb="FF1F2937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993366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5E7EB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59595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593974</v>
      </c>
      <c r="D20" s="11" t="n">
        <v>766929.01</v>
      </c>
      <c r="E20" s="11" t="n">
        <f aca="false">C20-D20</f>
        <v>-172955.01</v>
      </c>
      <c r="F20" s="12" t="n">
        <f aca="false">IF(C20=0,0,D20/C20)</f>
        <v>1.29118279587995</v>
      </c>
      <c r="G20" s="12" t="n">
        <f aca="false">IF($D$24=0,0,D20/$D$24)</f>
        <v>0.396447525150398</v>
      </c>
    </row>
    <row r="21" customFormat="false" ht="15" hidden="false" customHeight="true" outlineLevel="0" collapsed="false">
      <c r="B21" s="5" t="s">
        <v>35</v>
      </c>
      <c r="C21" s="11" t="n">
        <v>997196</v>
      </c>
      <c r="D21" s="11" t="n">
        <v>735694.62</v>
      </c>
      <c r="E21" s="11" t="n">
        <f aca="false">C21-D21</f>
        <v>261501.38</v>
      </c>
      <c r="F21" s="12" t="n">
        <f aca="false">IF(C21=0,0,D21/C21)</f>
        <v>0.73776330831652</v>
      </c>
      <c r="G21" s="12" t="n">
        <f aca="false">IF($D$24=0,0,D21/$D$24)</f>
        <v>0.380301576237757</v>
      </c>
    </row>
    <row r="22" customFormat="false" ht="15" hidden="false" customHeight="true" outlineLevel="0" collapsed="false">
      <c r="B22" s="5" t="s">
        <v>36</v>
      </c>
      <c r="C22" s="11" t="n">
        <v>16000</v>
      </c>
      <c r="D22" s="11" t="n">
        <v>33267.19</v>
      </c>
      <c r="E22" s="11" t="n">
        <f aca="false">C22-D22</f>
        <v>-17267.19</v>
      </c>
      <c r="F22" s="12" t="n">
        <f aca="false">IF(C22=0,0,D22/C22)</f>
        <v>2.079199375</v>
      </c>
      <c r="G22" s="12" t="n">
        <f aca="false">IF($D$24=0,0,D22/$D$24)</f>
        <v>0.0171967613328489</v>
      </c>
    </row>
    <row r="23" customFormat="false" ht="15" hidden="false" customHeight="true" outlineLevel="0" collapsed="false">
      <c r="B23" s="5" t="s">
        <v>37</v>
      </c>
      <c r="C23" s="11" t="n">
        <v>312438.73</v>
      </c>
      <c r="D23" s="11" t="n">
        <v>398612.39</v>
      </c>
      <c r="E23" s="11" t="n">
        <f aca="false">C23-D23</f>
        <v>-86173.66</v>
      </c>
      <c r="F23" s="12" t="n">
        <f aca="false">IF(C23=0,0,D23/C23)</f>
        <v>1.27580978837035</v>
      </c>
      <c r="G23" s="12" t="n">
        <f aca="false">IF($D$24=0,0,D23/$D$24)</f>
        <v>0.206054137278997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1919608.73</v>
      </c>
      <c r="D24" s="13" t="n">
        <f aca="false">SUM(D20:D23)</f>
        <v>1934503.21</v>
      </c>
      <c r="E24" s="13" t="n">
        <f aca="false">C24-D24</f>
        <v>-14894.48</v>
      </c>
      <c r="F24" s="14" t="n">
        <f aca="false">IF(C24=0,0,D24/C24)</f>
        <v>1.00775912287084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45</v>
      </c>
      <c r="F29" s="5" t="s">
        <v>46</v>
      </c>
      <c r="G29" s="6" t="s">
        <v>47</v>
      </c>
    </row>
    <row r="30" customFormat="false" ht="15" hidden="false" customHeight="true" outlineLevel="0" collapsed="false">
      <c r="B30" s="5" t="s">
        <v>48</v>
      </c>
      <c r="C30" s="6" t="s">
        <v>49</v>
      </c>
      <c r="D30" s="5" t="s">
        <v>50</v>
      </c>
      <c r="E30" s="6" t="s">
        <v>51</v>
      </c>
      <c r="F30" s="5" t="s">
        <v>52</v>
      </c>
      <c r="G30" s="6" t="s">
        <v>43</v>
      </c>
    </row>
    <row r="31" customFormat="false" ht="15" hidden="false" customHeight="true" outlineLevel="0" collapsed="false">
      <c r="B31" s="5" t="s">
        <v>53</v>
      </c>
      <c r="C31" s="6" t="s">
        <v>54</v>
      </c>
      <c r="D31" s="5" t="s">
        <v>55</v>
      </c>
      <c r="E31" s="6" t="s">
        <v>56</v>
      </c>
      <c r="F31" s="5" t="s">
        <v>57</v>
      </c>
      <c r="G31" s="6" t="s">
        <v>58</v>
      </c>
    </row>
    <row r="32" customFormat="false" ht="15" hidden="false" customHeight="true" outlineLevel="0" collapsed="false">
      <c r="B32" s="5" t="s">
        <v>59</v>
      </c>
      <c r="C32" s="6" t="s">
        <v>60</v>
      </c>
      <c r="D32" s="5" t="s">
        <v>61</v>
      </c>
      <c r="E32" s="6" t="s">
        <v>62</v>
      </c>
    </row>
    <row r="36" customFormat="false" ht="15" hidden="false" customHeight="true" outlineLevel="0" collapsed="false">
      <c r="B36" s="4" t="s">
        <v>63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64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65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66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67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68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69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70</v>
      </c>
      <c r="C43" s="3"/>
      <c r="D43" s="3"/>
      <c r="E43" s="3"/>
      <c r="F43" s="3"/>
      <c r="G43" s="3"/>
    </row>
    <row r="44" customFormat="false" ht="15" hidden="false" customHeight="true" outlineLevel="0" collapsed="false">
      <c r="B44" s="3" t="s">
        <v>71</v>
      </c>
      <c r="C44" s="3"/>
      <c r="D44" s="3"/>
      <c r="E44" s="3"/>
      <c r="F44" s="3"/>
      <c r="G44" s="3"/>
    </row>
    <row r="45" customFormat="false" ht="15" hidden="false" customHeight="true" outlineLevel="0" collapsed="false">
      <c r="B45" s="3" t="s">
        <v>72</v>
      </c>
      <c r="C45" s="3"/>
      <c r="D45" s="3"/>
      <c r="E45" s="3"/>
      <c r="F45" s="3"/>
      <c r="G45" s="3"/>
    </row>
    <row r="46" customFormat="false" ht="15" hidden="false" customHeight="true" outlineLevel="0" collapsed="false">
      <c r="B46" s="3" t="s">
        <v>73</v>
      </c>
      <c r="C46" s="3"/>
      <c r="D46" s="3"/>
      <c r="E46" s="3"/>
      <c r="F46" s="3"/>
      <c r="G46" s="3"/>
    </row>
    <row r="47" customFormat="false" ht="15" hidden="false" customHeight="true" outlineLevel="0" collapsed="false">
      <c r="B47" s="3" t="s">
        <v>74</v>
      </c>
      <c r="C47" s="3"/>
      <c r="D47" s="3"/>
      <c r="E47" s="3"/>
      <c r="F47" s="3"/>
      <c r="G47" s="3"/>
    </row>
  </sheetData>
  <mergeCells count="17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75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76</v>
      </c>
      <c r="C4" s="10" t="s">
        <v>77</v>
      </c>
      <c r="D4" s="10" t="s">
        <v>78</v>
      </c>
      <c r="E4" s="10" t="s">
        <v>79</v>
      </c>
      <c r="F4" s="10" t="s">
        <v>30</v>
      </c>
      <c r="G4" s="10" t="s">
        <v>31</v>
      </c>
      <c r="H4" s="10" t="s">
        <v>80</v>
      </c>
    </row>
    <row r="5" customFormat="false" ht="15" hidden="false" customHeight="true" outlineLevel="0" collapsed="false">
      <c r="B5" s="4" t="s">
        <v>81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82</v>
      </c>
      <c r="C6" s="5" t="s">
        <v>83</v>
      </c>
      <c r="D6" s="11" t="n">
        <v>12800</v>
      </c>
      <c r="E6" s="11" t="n">
        <v>13700</v>
      </c>
      <c r="F6" s="11" t="n">
        <v>13026.5</v>
      </c>
      <c r="G6" s="11" t="n">
        <f aca="false">E6-F6</f>
        <v>673.5</v>
      </c>
      <c r="H6" s="12" t="n">
        <f aca="false">IF(E6=0,0,F6/E6)</f>
        <v>0.950839416058394</v>
      </c>
    </row>
    <row r="7" customFormat="false" ht="15" hidden="false" customHeight="true" outlineLevel="0" collapsed="false">
      <c r="B7" s="5" t="s">
        <v>84</v>
      </c>
      <c r="C7" s="5" t="s">
        <v>85</v>
      </c>
      <c r="D7" s="11" t="n">
        <v>15360</v>
      </c>
      <c r="E7" s="11" t="n">
        <v>17310</v>
      </c>
      <c r="F7" s="11" t="n">
        <v>18552.5</v>
      </c>
      <c r="G7" s="11" t="n">
        <f aca="false">E7-F7</f>
        <v>-1242.5</v>
      </c>
      <c r="H7" s="12" t="n">
        <f aca="false">IF(E7=0,0,F7/E7)</f>
        <v>1.07177931831311</v>
      </c>
    </row>
    <row r="8" customFormat="false" ht="15" hidden="false" customHeight="true" outlineLevel="0" collapsed="false">
      <c r="B8" s="5" t="s">
        <v>86</v>
      </c>
      <c r="C8" s="5" t="s">
        <v>87</v>
      </c>
      <c r="D8" s="11" t="n">
        <v>16160</v>
      </c>
      <c r="E8" s="11" t="n">
        <v>16760</v>
      </c>
      <c r="F8" s="11" t="n">
        <v>16803.75</v>
      </c>
      <c r="G8" s="11" t="n">
        <f aca="false">E8-F8</f>
        <v>-43.75</v>
      </c>
      <c r="H8" s="12" t="n">
        <f aca="false">IF(E8=0,0,F8/E8)</f>
        <v>1.00261038186158</v>
      </c>
    </row>
    <row r="9" customFormat="false" ht="15" hidden="false" customHeight="true" outlineLevel="0" collapsed="false">
      <c r="B9" s="5" t="s">
        <v>88</v>
      </c>
      <c r="C9" s="5" t="s">
        <v>89</v>
      </c>
      <c r="D9" s="11" t="n">
        <v>114350</v>
      </c>
      <c r="E9" s="11" t="n">
        <v>118946</v>
      </c>
      <c r="F9" s="11" t="n">
        <v>142441</v>
      </c>
      <c r="G9" s="11" t="n">
        <f aca="false">E9-F9</f>
        <v>-23495</v>
      </c>
      <c r="H9" s="12" t="n">
        <f aca="false">IF(E9=0,0,F9/E9)</f>
        <v>1.1975266087132</v>
      </c>
    </row>
    <row r="10" customFormat="false" ht="15" hidden="false" customHeight="true" outlineLevel="0" collapsed="false">
      <c r="B10" s="5" t="s">
        <v>90</v>
      </c>
      <c r="C10" s="5" t="s">
        <v>91</v>
      </c>
      <c r="D10" s="11" t="n">
        <v>16000</v>
      </c>
      <c r="E10" s="11" t="n">
        <v>16100</v>
      </c>
      <c r="F10" s="11" t="n">
        <v>16515.5</v>
      </c>
      <c r="G10" s="11" t="n">
        <f aca="false">E10-F10</f>
        <v>-415.5</v>
      </c>
      <c r="H10" s="12" t="n">
        <f aca="false">IF(E10=0,0,F10/E10)</f>
        <v>1.02580745341615</v>
      </c>
    </row>
    <row r="11" customFormat="false" ht="15" hidden="false" customHeight="true" outlineLevel="0" collapsed="false">
      <c r="B11" s="5" t="s">
        <v>92</v>
      </c>
      <c r="C11" s="5" t="s">
        <v>93</v>
      </c>
      <c r="D11" s="11" t="n">
        <v>2843</v>
      </c>
      <c r="E11" s="11" t="n">
        <v>2843</v>
      </c>
      <c r="F11" s="11" t="n">
        <v>2843</v>
      </c>
      <c r="G11" s="11" t="n">
        <f aca="false">E11-F11</f>
        <v>0</v>
      </c>
      <c r="H11" s="12" t="n">
        <f aca="false">IF(E11=0,0,F11/E11)</f>
        <v>1</v>
      </c>
    </row>
    <row r="12" customFormat="false" ht="15" hidden="false" customHeight="true" outlineLevel="0" collapsed="false">
      <c r="B12" s="5" t="s">
        <v>94</v>
      </c>
      <c r="C12" s="5" t="s">
        <v>95</v>
      </c>
      <c r="D12" s="11" t="n">
        <v>376600</v>
      </c>
      <c r="E12" s="11" t="n">
        <v>266055</v>
      </c>
      <c r="F12" s="11" t="n">
        <v>348602.98</v>
      </c>
      <c r="G12" s="11" t="n">
        <f aca="false">E12-F12</f>
        <v>-82547.98</v>
      </c>
      <c r="H12" s="12" t="n">
        <f aca="false">IF(E12=0,0,F12/E12)</f>
        <v>1.31026659901148</v>
      </c>
    </row>
    <row r="13" customFormat="false" ht="15" hidden="false" customHeight="true" outlineLevel="0" collapsed="false">
      <c r="B13" s="5" t="s">
        <v>96</v>
      </c>
      <c r="C13" s="5" t="s">
        <v>97</v>
      </c>
      <c r="D13" s="11" t="n">
        <v>51400</v>
      </c>
      <c r="E13" s="11" t="n">
        <v>58664</v>
      </c>
      <c r="F13" s="11" t="n">
        <v>64250.9</v>
      </c>
      <c r="G13" s="11" t="n">
        <f aca="false">E13-F13</f>
        <v>-5586.9</v>
      </c>
      <c r="H13" s="12" t="n">
        <f aca="false">IF(E13=0,0,F13/E13)</f>
        <v>1.09523557888995</v>
      </c>
    </row>
    <row r="14" customFormat="false" ht="15" hidden="false" customHeight="true" outlineLevel="0" collapsed="false">
      <c r="B14" s="5" t="s">
        <v>98</v>
      </c>
      <c r="C14" s="5" t="s">
        <v>99</v>
      </c>
      <c r="D14" s="11" t="n">
        <v>9000</v>
      </c>
      <c r="E14" s="11" t="n">
        <v>13862</v>
      </c>
      <c r="F14" s="11" t="n">
        <v>32025.5</v>
      </c>
      <c r="G14" s="11" t="n">
        <f aca="false">E14-F14</f>
        <v>-18163.5</v>
      </c>
      <c r="H14" s="12" t="n">
        <f aca="false">IF(E14=0,0,F14/E14)</f>
        <v>2.31030875775501</v>
      </c>
    </row>
    <row r="15" customFormat="false" ht="15" hidden="false" customHeight="true" outlineLevel="0" collapsed="false">
      <c r="B15" s="5" t="s">
        <v>100</v>
      </c>
      <c r="C15" s="5" t="s">
        <v>101</v>
      </c>
      <c r="D15" s="11" t="n">
        <v>55600</v>
      </c>
      <c r="E15" s="11" t="n">
        <v>57029</v>
      </c>
      <c r="F15" s="11" t="n">
        <v>85831.88</v>
      </c>
      <c r="G15" s="11" t="n">
        <f aca="false">E15-F15</f>
        <v>-28802.88</v>
      </c>
      <c r="H15" s="12" t="n">
        <f aca="false">IF(E15=0,0,F15/E15)</f>
        <v>1.50505672552561</v>
      </c>
    </row>
    <row r="16" customFormat="false" ht="15" hidden="false" customHeight="true" outlineLevel="0" collapsed="false">
      <c r="B16" s="5" t="s">
        <v>102</v>
      </c>
      <c r="C16" s="5" t="s">
        <v>103</v>
      </c>
      <c r="D16" s="11" t="n">
        <v>9900</v>
      </c>
      <c r="E16" s="11" t="n">
        <v>12705</v>
      </c>
      <c r="F16" s="11" t="n">
        <v>26035.5</v>
      </c>
      <c r="G16" s="11" t="n">
        <f aca="false">E16-F16</f>
        <v>-13330.5</v>
      </c>
      <c r="H16" s="12" t="n">
        <f aca="false">IF(E16=0,0,F16/E16)</f>
        <v>2.04923258559622</v>
      </c>
    </row>
    <row r="17" customFormat="false" ht="15" hidden="false" customHeight="true" outlineLevel="0" collapsed="false">
      <c r="B17" s="4" t="s">
        <v>104</v>
      </c>
      <c r="C17" s="4"/>
      <c r="D17" s="4"/>
      <c r="E17" s="4"/>
      <c r="F17" s="4"/>
      <c r="G17" s="4"/>
      <c r="H17" s="4"/>
    </row>
    <row r="18" customFormat="false" ht="15" hidden="false" customHeight="true" outlineLevel="0" collapsed="false">
      <c r="B18" s="5" t="s">
        <v>105</v>
      </c>
      <c r="C18" s="5" t="s">
        <v>106</v>
      </c>
      <c r="D18" s="11" t="n">
        <v>23100</v>
      </c>
      <c r="E18" s="11" t="n">
        <v>23300</v>
      </c>
      <c r="F18" s="11" t="n">
        <v>24415.78</v>
      </c>
      <c r="G18" s="11" t="n">
        <f aca="false">E18-F18</f>
        <v>-1115.78</v>
      </c>
      <c r="H18" s="12" t="n">
        <f aca="false">IF(E18=0,0,F18/E18)</f>
        <v>1.04788755364807</v>
      </c>
    </row>
    <row r="19" customFormat="false" ht="15" hidden="false" customHeight="true" outlineLevel="0" collapsed="false">
      <c r="B19" s="5" t="s">
        <v>107</v>
      </c>
      <c r="C19" s="5" t="s">
        <v>108</v>
      </c>
      <c r="D19" s="11" t="n">
        <v>95600</v>
      </c>
      <c r="E19" s="11" t="n">
        <v>92894</v>
      </c>
      <c r="F19" s="11" t="n">
        <v>54034.99</v>
      </c>
      <c r="G19" s="11" t="n">
        <f aca="false">E19-F19</f>
        <v>38859.01</v>
      </c>
      <c r="H19" s="12" t="n">
        <f aca="false">IF(E19=0,0,F19/E19)</f>
        <v>0.581684392964024</v>
      </c>
    </row>
    <row r="20" customFormat="false" ht="15" hidden="false" customHeight="true" outlineLevel="0" collapsed="false">
      <c r="B20" s="5" t="s">
        <v>109</v>
      </c>
      <c r="C20" s="5" t="s">
        <v>110</v>
      </c>
      <c r="D20" s="11" t="n">
        <v>26400</v>
      </c>
      <c r="E20" s="11" t="n">
        <v>26700</v>
      </c>
      <c r="F20" s="11" t="n">
        <v>24723.82</v>
      </c>
      <c r="G20" s="11" t="n">
        <f aca="false">E20-F20</f>
        <v>1976.18</v>
      </c>
      <c r="H20" s="12" t="n">
        <f aca="false">IF(E20=0,0,F20/E20)</f>
        <v>0.925985767790262</v>
      </c>
    </row>
    <row r="21" customFormat="false" ht="15" hidden="false" customHeight="true" outlineLevel="0" collapsed="false">
      <c r="B21" s="5" t="s">
        <v>111</v>
      </c>
      <c r="C21" s="5" t="s">
        <v>112</v>
      </c>
      <c r="D21" s="11" t="n">
        <v>363580</v>
      </c>
      <c r="E21" s="11" t="n">
        <v>213718</v>
      </c>
      <c r="F21" s="11" t="n">
        <v>87900.72</v>
      </c>
      <c r="G21" s="11" t="n">
        <f aca="false">E21-F21</f>
        <v>125817.28</v>
      </c>
      <c r="H21" s="12" t="n">
        <f aca="false">IF(E21=0,0,F21/E21)</f>
        <v>0.41129301228722</v>
      </c>
    </row>
    <row r="22" customFormat="false" ht="15" hidden="false" customHeight="true" outlineLevel="0" collapsed="false">
      <c r="B22" s="5" t="s">
        <v>113</v>
      </c>
      <c r="C22" s="5" t="s">
        <v>114</v>
      </c>
      <c r="D22" s="11" t="n">
        <v>478500</v>
      </c>
      <c r="E22" s="11" t="n">
        <v>526401</v>
      </c>
      <c r="F22" s="11" t="n">
        <v>411991.97</v>
      </c>
      <c r="G22" s="11" t="n">
        <f aca="false">E22-F22</f>
        <v>114409.03</v>
      </c>
      <c r="H22" s="12" t="n">
        <f aca="false">IF(E22=0,0,F22/E22)</f>
        <v>0.782658030664835</v>
      </c>
    </row>
    <row r="23" customFormat="false" ht="15" hidden="false" customHeight="true" outlineLevel="0" collapsed="false">
      <c r="B23" s="5" t="s">
        <v>115</v>
      </c>
      <c r="C23" s="5" t="s">
        <v>116</v>
      </c>
      <c r="D23" s="11" t="n">
        <v>12600</v>
      </c>
      <c r="E23" s="11" t="n">
        <v>12800</v>
      </c>
      <c r="F23" s="11" t="n">
        <v>8263.12</v>
      </c>
      <c r="G23" s="11" t="n">
        <f aca="false">E23-F23</f>
        <v>4536.88</v>
      </c>
      <c r="H23" s="12" t="n">
        <f aca="false">IF(E23=0,0,F23/E23)</f>
        <v>0.64555625</v>
      </c>
    </row>
    <row r="24" customFormat="false" ht="15" hidden="false" customHeight="true" outlineLevel="0" collapsed="false">
      <c r="B24" s="5" t="s">
        <v>117</v>
      </c>
      <c r="C24" s="5" t="s">
        <v>118</v>
      </c>
      <c r="D24" s="11" t="n">
        <v>92600</v>
      </c>
      <c r="E24" s="11" t="n">
        <v>93431</v>
      </c>
      <c r="F24" s="11" t="n">
        <v>122165.25</v>
      </c>
      <c r="G24" s="11" t="n">
        <f aca="false">E24-F24</f>
        <v>-28734.25</v>
      </c>
      <c r="H24" s="12" t="n">
        <f aca="false">IF(E24=0,0,F24/E24)</f>
        <v>1.30754514026394</v>
      </c>
    </row>
    <row r="25" customFormat="false" ht="15" hidden="false" customHeight="true" outlineLevel="0" collapsed="false">
      <c r="B25" s="5" t="s">
        <v>119</v>
      </c>
      <c r="C25" s="5" t="s">
        <v>120</v>
      </c>
      <c r="D25" s="11" t="n">
        <v>7000</v>
      </c>
      <c r="E25" s="11" t="n">
        <v>7952</v>
      </c>
      <c r="F25" s="11" t="n">
        <v>2198.97</v>
      </c>
      <c r="G25" s="11" t="n">
        <f aca="false">E25-F25</f>
        <v>5753.03</v>
      </c>
      <c r="H25" s="12" t="n">
        <f aca="false">IF(E25=0,0,F25/E25)</f>
        <v>0.276530432595573</v>
      </c>
    </row>
    <row r="26" customFormat="false" ht="15" hidden="false" customHeight="true" outlineLevel="0" collapsed="false">
      <c r="B26" s="4" t="s">
        <v>121</v>
      </c>
      <c r="C26" s="4"/>
      <c r="D26" s="4"/>
      <c r="E26" s="4"/>
      <c r="F26" s="4"/>
      <c r="G26" s="4"/>
      <c r="H26" s="4"/>
    </row>
    <row r="27" customFormat="false" ht="15" hidden="false" customHeight="true" outlineLevel="0" collapsed="false">
      <c r="B27" s="5" t="s">
        <v>122</v>
      </c>
      <c r="C27" s="5" t="s">
        <v>123</v>
      </c>
      <c r="D27" s="11" t="n">
        <v>4000</v>
      </c>
      <c r="E27" s="11" t="n">
        <v>5000</v>
      </c>
      <c r="F27" s="11" t="n">
        <v>21589.36</v>
      </c>
      <c r="G27" s="11" t="n">
        <f aca="false">E27-F27</f>
        <v>-16589.36</v>
      </c>
      <c r="H27" s="12" t="n">
        <f aca="false">IF(E27=0,0,F27/E27)</f>
        <v>4.317872</v>
      </c>
    </row>
    <row r="28" customFormat="false" ht="15" hidden="false" customHeight="true" outlineLevel="0" collapsed="false">
      <c r="B28" s="5" t="s">
        <v>124</v>
      </c>
      <c r="C28" s="5" t="s">
        <v>125</v>
      </c>
      <c r="D28" s="11" t="n">
        <v>1000</v>
      </c>
      <c r="E28" s="11" t="n">
        <v>11000</v>
      </c>
      <c r="F28" s="11" t="n">
        <v>11677.83</v>
      </c>
      <c r="G28" s="11" t="n">
        <f aca="false">E28-F28</f>
        <v>-677.83</v>
      </c>
      <c r="H28" s="12" t="n">
        <f aca="false">IF(E28=0,0,F28/E28)</f>
        <v>1.06162090909091</v>
      </c>
    </row>
    <row r="29" customFormat="false" ht="15" hidden="false" customHeight="true" outlineLevel="0" collapsed="false">
      <c r="B29" s="4" t="s">
        <v>126</v>
      </c>
      <c r="C29" s="4"/>
      <c r="D29" s="4"/>
      <c r="E29" s="4"/>
      <c r="F29" s="4"/>
      <c r="G29" s="4"/>
      <c r="H29" s="4"/>
    </row>
    <row r="30" customFormat="false" ht="15" hidden="false" customHeight="true" outlineLevel="0" collapsed="false">
      <c r="B30" s="5" t="s">
        <v>127</v>
      </c>
      <c r="C30" s="5" t="s">
        <v>128</v>
      </c>
      <c r="D30" s="11" t="n">
        <v>309922.16</v>
      </c>
      <c r="E30" s="11" t="n">
        <v>265927.39</v>
      </c>
      <c r="F30" s="11" t="n">
        <v>338661.76</v>
      </c>
      <c r="G30" s="11" t="n">
        <f aca="false">E30-F30</f>
        <v>-72734.37</v>
      </c>
      <c r="H30" s="12" t="n">
        <f aca="false">IF(E30=0,0,F30/E30)</f>
        <v>1.27351214179179</v>
      </c>
    </row>
    <row r="31" customFormat="false" ht="15" hidden="false" customHeight="true" outlineLevel="0" collapsed="false">
      <c r="B31" s="5" t="s">
        <v>129</v>
      </c>
      <c r="C31" s="5" t="s">
        <v>130</v>
      </c>
      <c r="D31" s="11" t="n">
        <v>54692.15</v>
      </c>
      <c r="E31" s="11" t="n">
        <v>46511.34</v>
      </c>
      <c r="F31" s="11" t="n">
        <v>59950.63</v>
      </c>
      <c r="G31" s="11" t="n">
        <f aca="false">E31-F31</f>
        <v>-13439.29</v>
      </c>
      <c r="H31" s="12" t="n">
        <f aca="false">IF(E31=0,0,F31/E31)</f>
        <v>1.28894652357898</v>
      </c>
    </row>
    <row r="32" customFormat="false" ht="15" hidden="false" customHeight="true" outlineLevel="0" collapsed="false">
      <c r="B32" s="6" t="s">
        <v>38</v>
      </c>
      <c r="C32" s="6" t="s">
        <v>131</v>
      </c>
      <c r="D32" s="13" t="n">
        <v>2149007.31</v>
      </c>
      <c r="E32" s="13" t="n">
        <v>1919608.73</v>
      </c>
      <c r="F32" s="13" t="n">
        <v>1934503.21</v>
      </c>
      <c r="G32" s="13" t="n">
        <f aca="false">E32-F32</f>
        <v>-14894.48</v>
      </c>
      <c r="H32" s="14" t="n">
        <f aca="false">IF(E32=0,0,F32/E32)</f>
        <v>1.00775912287084</v>
      </c>
    </row>
    <row r="35" customFormat="false" ht="15" hidden="false" customHeight="true" outlineLevel="0" collapsed="false">
      <c r="B35" s="4" t="s">
        <v>63</v>
      </c>
      <c r="C35" s="4"/>
      <c r="D35" s="4"/>
      <c r="E35" s="4"/>
      <c r="F35" s="4"/>
      <c r="G35" s="4"/>
      <c r="H35" s="4"/>
    </row>
    <row r="36" customFormat="false" ht="15" hidden="false" customHeight="true" outlineLevel="0" collapsed="false">
      <c r="B36" s="3" t="s">
        <v>64</v>
      </c>
      <c r="C36" s="3"/>
      <c r="D36" s="3"/>
      <c r="E36" s="3"/>
      <c r="F36" s="3"/>
      <c r="G36" s="3"/>
      <c r="H36" s="3"/>
    </row>
    <row r="37" customFormat="false" ht="15" hidden="false" customHeight="true" outlineLevel="0" collapsed="false">
      <c r="B37" s="3" t="s">
        <v>65</v>
      </c>
      <c r="C37" s="3"/>
      <c r="D37" s="3"/>
      <c r="E37" s="3"/>
      <c r="F37" s="3"/>
      <c r="G37" s="3"/>
      <c r="H37" s="3"/>
    </row>
    <row r="38" customFormat="false" ht="15" hidden="false" customHeight="true" outlineLevel="0" collapsed="false">
      <c r="B38" s="3" t="s">
        <v>66</v>
      </c>
      <c r="C38" s="3"/>
      <c r="D38" s="3"/>
      <c r="E38" s="3"/>
      <c r="F38" s="3"/>
      <c r="G38" s="3"/>
      <c r="H38" s="3"/>
    </row>
    <row r="39" customFormat="false" ht="15" hidden="false" customHeight="true" outlineLevel="0" collapsed="false">
      <c r="B39" s="3" t="s">
        <v>67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68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69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70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71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72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73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74</v>
      </c>
      <c r="C46" s="3"/>
      <c r="D46" s="3"/>
      <c r="E46" s="3"/>
      <c r="F46" s="3"/>
      <c r="G46" s="3"/>
      <c r="H46" s="3"/>
    </row>
  </sheetData>
  <mergeCells count="17">
    <mergeCell ref="B2:H2"/>
    <mergeCell ref="B5:H5"/>
    <mergeCell ref="B17:H17"/>
    <mergeCell ref="B26:H26"/>
    <mergeCell ref="B29:H29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132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133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134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135</v>
      </c>
    </row>
    <row r="6" customFormat="false" ht="15" hidden="false" customHeight="true" outlineLevel="0" collapsed="false">
      <c r="B6" s="5" t="s">
        <v>34</v>
      </c>
      <c r="C6" s="15" t="n">
        <v>11</v>
      </c>
      <c r="D6" s="11" t="n">
        <v>593974</v>
      </c>
      <c r="E6" s="11" t="n">
        <v>766929.01</v>
      </c>
      <c r="F6" s="11" t="n">
        <f aca="false">D6-E6</f>
        <v>-172955.01</v>
      </c>
      <c r="G6" s="12" t="n">
        <f aca="false">IF(D6=0,0,E6/D6)</f>
        <v>1.29118279587995</v>
      </c>
      <c r="H6" s="12" t="n">
        <f aca="false">IF(1934503.21=0,0,E6/1934503.21)</f>
        <v>0.396447525150398</v>
      </c>
      <c r="I6" s="11" t="n">
        <f aca="false">IF(288=0,0,E6/288)</f>
        <v>2662.94795138889</v>
      </c>
    </row>
    <row r="7" customFormat="false" ht="15" hidden="false" customHeight="true" outlineLevel="0" collapsed="false">
      <c r="B7" s="5" t="s">
        <v>35</v>
      </c>
      <c r="C7" s="15" t="n">
        <v>8</v>
      </c>
      <c r="D7" s="11" t="n">
        <v>997196</v>
      </c>
      <c r="E7" s="11" t="n">
        <v>735694.62</v>
      </c>
      <c r="F7" s="11" t="n">
        <f aca="false">D7-E7</f>
        <v>261501.38</v>
      </c>
      <c r="G7" s="12" t="n">
        <f aca="false">IF(D7=0,0,E7/D7)</f>
        <v>0.73776330831652</v>
      </c>
      <c r="H7" s="12" t="n">
        <f aca="false">IF(1934503.21=0,0,E7/1934503.21)</f>
        <v>0.380301576237757</v>
      </c>
      <c r="I7" s="11" t="n">
        <f aca="false">IF(288=0,0,E7/288)</f>
        <v>2554.49520833333</v>
      </c>
    </row>
    <row r="8" customFormat="false" ht="15" hidden="false" customHeight="true" outlineLevel="0" collapsed="false">
      <c r="B8" s="5" t="s">
        <v>36</v>
      </c>
      <c r="C8" s="15" t="n">
        <v>2</v>
      </c>
      <c r="D8" s="11" t="n">
        <v>16000</v>
      </c>
      <c r="E8" s="11" t="n">
        <v>33267.19</v>
      </c>
      <c r="F8" s="11" t="n">
        <f aca="false">D8-E8</f>
        <v>-17267.19</v>
      </c>
      <c r="G8" s="12" t="n">
        <f aca="false">IF(D8=0,0,E8/D8)</f>
        <v>2.079199375</v>
      </c>
      <c r="H8" s="12" t="n">
        <f aca="false">IF(1934503.21=0,0,E8/1934503.21)</f>
        <v>0.0171967613328489</v>
      </c>
      <c r="I8" s="11" t="n">
        <f aca="false">IF(288=0,0,E8/288)</f>
        <v>115.511076388889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312438.73</v>
      </c>
      <c r="E9" s="11" t="n">
        <v>398612.39</v>
      </c>
      <c r="F9" s="11" t="n">
        <f aca="false">D9-E9</f>
        <v>-86173.66</v>
      </c>
      <c r="G9" s="12" t="n">
        <f aca="false">IF(D9=0,0,E9/D9)</f>
        <v>1.27580978837035</v>
      </c>
      <c r="H9" s="12" t="n">
        <f aca="false">IF(1934503.21=0,0,E9/1934503.21)</f>
        <v>0.206054137278997</v>
      </c>
      <c r="I9" s="11" t="n">
        <f aca="false">IF(288=0,0,E9/288)</f>
        <v>1384.07079861111</v>
      </c>
    </row>
    <row r="12" customFormat="false" ht="15" hidden="false" customHeight="true" outlineLevel="0" collapsed="false">
      <c r="B12" s="4" t="s">
        <v>136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76</v>
      </c>
      <c r="C13" s="10" t="s">
        <v>77</v>
      </c>
      <c r="D13" s="10" t="s">
        <v>79</v>
      </c>
      <c r="E13" s="10" t="s">
        <v>30</v>
      </c>
      <c r="F13" s="10" t="s">
        <v>137</v>
      </c>
      <c r="G13" s="10" t="s">
        <v>138</v>
      </c>
    </row>
    <row r="14" customFormat="false" ht="15" hidden="false" customHeight="true" outlineLevel="0" collapsed="false">
      <c r="B14" s="5" t="s">
        <v>94</v>
      </c>
      <c r="C14" s="5" t="s">
        <v>95</v>
      </c>
      <c r="D14" s="11" t="n">
        <v>266055</v>
      </c>
      <c r="E14" s="11" t="n">
        <v>348602.98</v>
      </c>
      <c r="F14" s="11" t="n">
        <f aca="false">E14-D14</f>
        <v>82547.98</v>
      </c>
      <c r="G14" s="12" t="n">
        <f aca="false">IF(D14=0,0,F14/D14)</f>
        <v>0.310266599011483</v>
      </c>
    </row>
    <row r="15" customFormat="false" ht="15" hidden="false" customHeight="true" outlineLevel="0" collapsed="false">
      <c r="B15" s="5" t="s">
        <v>127</v>
      </c>
      <c r="C15" s="5" t="s">
        <v>128</v>
      </c>
      <c r="D15" s="11" t="n">
        <v>265927.39</v>
      </c>
      <c r="E15" s="11" t="n">
        <v>338661.76</v>
      </c>
      <c r="F15" s="11" t="n">
        <f aca="false">E15-D15</f>
        <v>72734.37</v>
      </c>
      <c r="G15" s="12" t="n">
        <f aca="false">IF(D15=0,0,F15/D15)</f>
        <v>0.273512141791788</v>
      </c>
    </row>
    <row r="16" customFormat="false" ht="15" hidden="false" customHeight="true" outlineLevel="0" collapsed="false">
      <c r="B16" s="5" t="s">
        <v>100</v>
      </c>
      <c r="C16" s="5" t="s">
        <v>101</v>
      </c>
      <c r="D16" s="11" t="n">
        <v>57029</v>
      </c>
      <c r="E16" s="11" t="n">
        <v>85831.88</v>
      </c>
      <c r="F16" s="11" t="n">
        <f aca="false">E16-D16</f>
        <v>28802.88</v>
      </c>
      <c r="G16" s="12" t="n">
        <f aca="false">IF(D16=0,0,F16/D16)</f>
        <v>0.50505672552561</v>
      </c>
    </row>
    <row r="17" customFormat="false" ht="15" hidden="false" customHeight="true" outlineLevel="0" collapsed="false">
      <c r="B17" s="5" t="s">
        <v>117</v>
      </c>
      <c r="C17" s="5" t="s">
        <v>118</v>
      </c>
      <c r="D17" s="11" t="n">
        <v>93431</v>
      </c>
      <c r="E17" s="11" t="n">
        <v>122165.25</v>
      </c>
      <c r="F17" s="11" t="n">
        <f aca="false">E17-D17</f>
        <v>28734.25</v>
      </c>
      <c r="G17" s="12" t="n">
        <f aca="false">IF(D17=0,0,F17/D17)</f>
        <v>0.307545140263938</v>
      </c>
    </row>
    <row r="18" customFormat="false" ht="15" hidden="false" customHeight="true" outlineLevel="0" collapsed="false">
      <c r="B18" s="5" t="s">
        <v>88</v>
      </c>
      <c r="C18" s="5" t="s">
        <v>89</v>
      </c>
      <c r="D18" s="11" t="n">
        <v>118946</v>
      </c>
      <c r="E18" s="11" t="n">
        <v>142441</v>
      </c>
      <c r="F18" s="11" t="n">
        <f aca="false">E18-D18</f>
        <v>23495</v>
      </c>
      <c r="G18" s="12" t="n">
        <f aca="false">IF(D18=0,0,F18/D18)</f>
        <v>0.197526608713198</v>
      </c>
    </row>
    <row r="19" customFormat="false" ht="15" hidden="false" customHeight="true" outlineLevel="0" collapsed="false">
      <c r="B19" s="5" t="s">
        <v>98</v>
      </c>
      <c r="C19" s="5" t="s">
        <v>99</v>
      </c>
      <c r="D19" s="11" t="n">
        <v>13862</v>
      </c>
      <c r="E19" s="11" t="n">
        <v>32025.5</v>
      </c>
      <c r="F19" s="11" t="n">
        <f aca="false">E19-D19</f>
        <v>18163.5</v>
      </c>
      <c r="G19" s="12" t="n">
        <f aca="false">IF(D19=0,0,F19/D19)</f>
        <v>1.31030875775501</v>
      </c>
    </row>
    <row r="20" customFormat="false" ht="15" hidden="false" customHeight="true" outlineLevel="0" collapsed="false">
      <c r="B20" s="5" t="s">
        <v>122</v>
      </c>
      <c r="C20" s="5" t="s">
        <v>123</v>
      </c>
      <c r="D20" s="11" t="n">
        <v>5000</v>
      </c>
      <c r="E20" s="11" t="n">
        <v>21589.36</v>
      </c>
      <c r="F20" s="11" t="n">
        <f aca="false">E20-D20</f>
        <v>16589.36</v>
      </c>
      <c r="G20" s="12" t="n">
        <f aca="false">IF(D20=0,0,F20/D20)</f>
        <v>3.317872</v>
      </c>
    </row>
    <row r="21" customFormat="false" ht="15" hidden="false" customHeight="true" outlineLevel="0" collapsed="false">
      <c r="B21" s="5" t="s">
        <v>129</v>
      </c>
      <c r="C21" s="5" t="s">
        <v>130</v>
      </c>
      <c r="D21" s="11" t="n">
        <v>46511.34</v>
      </c>
      <c r="E21" s="11" t="n">
        <v>59950.63</v>
      </c>
      <c r="F21" s="11" t="n">
        <f aca="false">E21-D21</f>
        <v>13439.29</v>
      </c>
      <c r="G21" s="12" t="n">
        <f aca="false">IF(D21=0,0,F21/D21)</f>
        <v>0.288946523578981</v>
      </c>
    </row>
    <row r="22" customFormat="false" ht="15" hidden="false" customHeight="true" outlineLevel="0" collapsed="false">
      <c r="B22" s="5" t="s">
        <v>102</v>
      </c>
      <c r="C22" s="5" t="s">
        <v>103</v>
      </c>
      <c r="D22" s="11" t="n">
        <v>12705</v>
      </c>
      <c r="E22" s="11" t="n">
        <v>26035.5</v>
      </c>
      <c r="F22" s="11" t="n">
        <f aca="false">E22-D22</f>
        <v>13330.5</v>
      </c>
      <c r="G22" s="12" t="n">
        <f aca="false">IF(D22=0,0,F22/D22)</f>
        <v>1.04923258559622</v>
      </c>
    </row>
    <row r="23" customFormat="false" ht="15" hidden="false" customHeight="true" outlineLevel="0" collapsed="false">
      <c r="B23" s="5" t="s">
        <v>96</v>
      </c>
      <c r="C23" s="5" t="s">
        <v>97</v>
      </c>
      <c r="D23" s="11" t="n">
        <v>58664</v>
      </c>
      <c r="E23" s="11" t="n">
        <v>64250.9</v>
      </c>
      <c r="F23" s="11" t="n">
        <f aca="false">E23-D23</f>
        <v>5586.9</v>
      </c>
      <c r="G23" s="12" t="n">
        <f aca="false">IF(D23=0,0,F23/D23)</f>
        <v>0.0952355788899496</v>
      </c>
    </row>
    <row r="26" customFormat="false" ht="15" hidden="false" customHeight="true" outlineLevel="0" collapsed="false">
      <c r="B26" s="4" t="s">
        <v>139</v>
      </c>
      <c r="C26" s="4"/>
      <c r="D26" s="4"/>
      <c r="E26" s="4"/>
      <c r="F26" s="4"/>
      <c r="G26" s="4"/>
      <c r="H26" s="4"/>
      <c r="I26" s="4"/>
    </row>
    <row r="27" customFormat="false" ht="15" hidden="false" customHeight="true" outlineLevel="0" collapsed="false">
      <c r="B27" s="10" t="s">
        <v>76</v>
      </c>
      <c r="C27" s="10" t="s">
        <v>77</v>
      </c>
      <c r="D27" s="10" t="s">
        <v>79</v>
      </c>
      <c r="E27" s="10" t="s">
        <v>30</v>
      </c>
      <c r="F27" s="10" t="s">
        <v>140</v>
      </c>
      <c r="G27" s="10" t="s">
        <v>141</v>
      </c>
    </row>
    <row r="28" customFormat="false" ht="15" hidden="false" customHeight="true" outlineLevel="0" collapsed="false">
      <c r="B28" s="5" t="s">
        <v>111</v>
      </c>
      <c r="C28" s="5" t="s">
        <v>112</v>
      </c>
      <c r="D28" s="11" t="n">
        <v>213718</v>
      </c>
      <c r="E28" s="11" t="n">
        <v>87900.72</v>
      </c>
      <c r="F28" s="11" t="n">
        <f aca="false">D28-E28</f>
        <v>125817.28</v>
      </c>
      <c r="G28" s="12" t="n">
        <f aca="false">IF(D28=0,0,F28/D28)</f>
        <v>0.58870698771278</v>
      </c>
    </row>
    <row r="29" customFormat="false" ht="15" hidden="false" customHeight="true" outlineLevel="0" collapsed="false">
      <c r="B29" s="5" t="s">
        <v>113</v>
      </c>
      <c r="C29" s="5" t="s">
        <v>114</v>
      </c>
      <c r="D29" s="11" t="n">
        <v>526401</v>
      </c>
      <c r="E29" s="11" t="n">
        <v>411991.97</v>
      </c>
      <c r="F29" s="11" t="n">
        <f aca="false">D29-E29</f>
        <v>114409.03</v>
      </c>
      <c r="G29" s="12" t="n">
        <f aca="false">IF(D29=0,0,F29/D29)</f>
        <v>0.217341969335165</v>
      </c>
    </row>
    <row r="30" customFormat="false" ht="15" hidden="false" customHeight="true" outlineLevel="0" collapsed="false">
      <c r="B30" s="5" t="s">
        <v>107</v>
      </c>
      <c r="C30" s="5" t="s">
        <v>108</v>
      </c>
      <c r="D30" s="11" t="n">
        <v>92894</v>
      </c>
      <c r="E30" s="11" t="n">
        <v>54034.99</v>
      </c>
      <c r="F30" s="11" t="n">
        <f aca="false">D30-E30</f>
        <v>38859.01</v>
      </c>
      <c r="G30" s="12" t="n">
        <f aca="false">IF(D30=0,0,F30/D30)</f>
        <v>0.418315607035977</v>
      </c>
    </row>
    <row r="31" customFormat="false" ht="15" hidden="false" customHeight="true" outlineLevel="0" collapsed="false">
      <c r="B31" s="5" t="s">
        <v>119</v>
      </c>
      <c r="C31" s="5" t="s">
        <v>120</v>
      </c>
      <c r="D31" s="11" t="n">
        <v>7952</v>
      </c>
      <c r="E31" s="11" t="n">
        <v>2198.97</v>
      </c>
      <c r="F31" s="11" t="n">
        <f aca="false">D31-E31</f>
        <v>5753.03</v>
      </c>
      <c r="G31" s="12" t="n">
        <f aca="false">IF(D31=0,0,F31/D31)</f>
        <v>0.723469567404427</v>
      </c>
    </row>
    <row r="32" customFormat="false" ht="15" hidden="false" customHeight="true" outlineLevel="0" collapsed="false">
      <c r="B32" s="5" t="s">
        <v>115</v>
      </c>
      <c r="C32" s="5" t="s">
        <v>116</v>
      </c>
      <c r="D32" s="11" t="n">
        <v>12800</v>
      </c>
      <c r="E32" s="11" t="n">
        <v>8263.12</v>
      </c>
      <c r="F32" s="11" t="n">
        <f aca="false">D32-E32</f>
        <v>4536.88</v>
      </c>
      <c r="G32" s="12" t="n">
        <f aca="false">IF(D32=0,0,F32/D32)</f>
        <v>0.35444375</v>
      </c>
    </row>
    <row r="33" customFormat="false" ht="15" hidden="false" customHeight="true" outlineLevel="0" collapsed="false">
      <c r="B33" s="5" t="s">
        <v>109</v>
      </c>
      <c r="C33" s="5" t="s">
        <v>110</v>
      </c>
      <c r="D33" s="11" t="n">
        <v>26700</v>
      </c>
      <c r="E33" s="11" t="n">
        <v>24723.82</v>
      </c>
      <c r="F33" s="11" t="n">
        <f aca="false">D33-E33</f>
        <v>1976.18</v>
      </c>
      <c r="G33" s="12" t="n">
        <f aca="false">IF(D33=0,0,F33/D33)</f>
        <v>0.0740142322097378</v>
      </c>
    </row>
    <row r="34" customFormat="false" ht="15" hidden="false" customHeight="true" outlineLevel="0" collapsed="false">
      <c r="B34" s="5" t="s">
        <v>82</v>
      </c>
      <c r="C34" s="5" t="s">
        <v>83</v>
      </c>
      <c r="D34" s="11" t="n">
        <v>13700</v>
      </c>
      <c r="E34" s="11" t="n">
        <v>13026.5</v>
      </c>
      <c r="F34" s="11" t="n">
        <f aca="false">D34-E34</f>
        <v>673.5</v>
      </c>
      <c r="G34" s="12" t="n">
        <f aca="false">IF(D34=0,0,F34/D34)</f>
        <v>0.0491605839416058</v>
      </c>
    </row>
    <row r="37" customFormat="false" ht="15" hidden="false" customHeight="true" outlineLevel="0" collapsed="false">
      <c r="B37" s="4" t="s">
        <v>63</v>
      </c>
      <c r="C37" s="4"/>
      <c r="D37" s="4"/>
      <c r="E37" s="4"/>
      <c r="F37" s="4"/>
      <c r="G37" s="4"/>
      <c r="H37" s="4"/>
      <c r="I37" s="4"/>
    </row>
    <row r="38" customFormat="false" ht="15" hidden="false" customHeight="true" outlineLevel="0" collapsed="false">
      <c r="B38" s="3" t="s">
        <v>64</v>
      </c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B39" s="3" t="s">
        <v>65</v>
      </c>
      <c r="C39" s="3"/>
      <c r="D39" s="3"/>
      <c r="E39" s="3"/>
      <c r="F39" s="3"/>
      <c r="G39" s="3"/>
      <c r="H39" s="3"/>
      <c r="I39" s="3"/>
    </row>
    <row r="40" customFormat="false" ht="15" hidden="false" customHeight="true" outlineLevel="0" collapsed="false">
      <c r="B40" s="3" t="s">
        <v>66</v>
      </c>
      <c r="C40" s="3"/>
      <c r="D40" s="3"/>
      <c r="E40" s="3"/>
      <c r="F40" s="3"/>
      <c r="G40" s="3"/>
      <c r="H40" s="3"/>
      <c r="I40" s="3"/>
    </row>
    <row r="41" customFormat="false" ht="15" hidden="false" customHeight="true" outlineLevel="0" collapsed="false">
      <c r="B41" s="3" t="s">
        <v>67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68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69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70</v>
      </c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B45" s="3" t="s">
        <v>71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72</v>
      </c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B47" s="3" t="s">
        <v>73</v>
      </c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B48" s="3" t="s">
        <v>74</v>
      </c>
      <c r="C48" s="3"/>
      <c r="D48" s="3"/>
      <c r="E48" s="3"/>
      <c r="F48" s="3"/>
      <c r="G48" s="3"/>
      <c r="H48" s="3"/>
      <c r="I48" s="3"/>
    </row>
  </sheetData>
  <mergeCells count="16">
    <mergeCell ref="B2:I2"/>
    <mergeCell ref="B4:I4"/>
    <mergeCell ref="B12:I12"/>
    <mergeCell ref="B26:I26"/>
    <mergeCell ref="B37:I37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  <mergeCell ref="B47:I47"/>
    <mergeCell ref="B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142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143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144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76</v>
      </c>
      <c r="C6" s="10" t="s">
        <v>77</v>
      </c>
      <c r="D6" s="10" t="s">
        <v>79</v>
      </c>
      <c r="E6" s="10" t="s">
        <v>30</v>
      </c>
      <c r="F6" s="10" t="s">
        <v>31</v>
      </c>
      <c r="G6" s="10" t="s">
        <v>80</v>
      </c>
      <c r="H6" s="10" t="s">
        <v>145</v>
      </c>
      <c r="I6" s="10" t="s">
        <v>135</v>
      </c>
    </row>
    <row r="7" customFormat="false" ht="15" hidden="false" customHeight="true" outlineLevel="0" collapsed="false">
      <c r="B7" s="5" t="s">
        <v>105</v>
      </c>
      <c r="C7" s="5" t="s">
        <v>106</v>
      </c>
      <c r="D7" s="11" t="n">
        <v>23300</v>
      </c>
      <c r="E7" s="11" t="n">
        <v>24415.78</v>
      </c>
      <c r="F7" s="11" t="n">
        <f aca="false">D7-E7</f>
        <v>-1115.78</v>
      </c>
      <c r="G7" s="12" t="n">
        <f aca="false">IF(D7=0,0,E7/D7)</f>
        <v>1.04788755364807</v>
      </c>
      <c r="H7" s="12" t="n">
        <f aca="false">IF(735694.62=0,0,E7/735694.62)</f>
        <v>0.0331873841893801</v>
      </c>
      <c r="I7" s="11" t="n">
        <f aca="false">IF(288=0,0,E7/288)</f>
        <v>84.7770138888889</v>
      </c>
    </row>
    <row r="8" customFormat="false" ht="15" hidden="false" customHeight="true" outlineLevel="0" collapsed="false">
      <c r="B8" s="5" t="s">
        <v>107</v>
      </c>
      <c r="C8" s="5" t="s">
        <v>108</v>
      </c>
      <c r="D8" s="11" t="n">
        <v>92894</v>
      </c>
      <c r="E8" s="11" t="n">
        <v>54034.99</v>
      </c>
      <c r="F8" s="11" t="n">
        <f aca="false">D8-E8</f>
        <v>38859.01</v>
      </c>
      <c r="G8" s="12" t="n">
        <f aca="false">IF(D8=0,0,E8/D8)</f>
        <v>0.581684392964024</v>
      </c>
      <c r="H8" s="12" t="n">
        <f aca="false">IF(735694.62=0,0,E8/735694.62)</f>
        <v>0.0734475807366921</v>
      </c>
      <c r="I8" s="11" t="n">
        <f aca="false">IF(288=0,0,E8/288)</f>
        <v>187.621493055556</v>
      </c>
    </row>
    <row r="9" customFormat="false" ht="15" hidden="false" customHeight="true" outlineLevel="0" collapsed="false">
      <c r="B9" s="5" t="s">
        <v>109</v>
      </c>
      <c r="C9" s="5" t="s">
        <v>110</v>
      </c>
      <c r="D9" s="11" t="n">
        <v>26700</v>
      </c>
      <c r="E9" s="11" t="n">
        <v>24723.82</v>
      </c>
      <c r="F9" s="11" t="n">
        <f aca="false">D9-E9</f>
        <v>1976.18</v>
      </c>
      <c r="G9" s="12" t="n">
        <f aca="false">IF(D9=0,0,E9/D9)</f>
        <v>0.925985767790262</v>
      </c>
      <c r="H9" s="12" t="n">
        <f aca="false">IF(735694.62=0,0,E9/735694.62)</f>
        <v>0.0336060905270722</v>
      </c>
      <c r="I9" s="11" t="n">
        <f aca="false">IF(288=0,0,E9/288)</f>
        <v>85.8465972222222</v>
      </c>
    </row>
    <row r="10" customFormat="false" ht="15" hidden="false" customHeight="true" outlineLevel="0" collapsed="false">
      <c r="B10" s="5" t="s">
        <v>111</v>
      </c>
      <c r="C10" s="5" t="s">
        <v>112</v>
      </c>
      <c r="D10" s="11" t="n">
        <v>213718</v>
      </c>
      <c r="E10" s="11" t="n">
        <v>87900.72</v>
      </c>
      <c r="F10" s="11" t="n">
        <f aca="false">D10-E10</f>
        <v>125817.28</v>
      </c>
      <c r="G10" s="12" t="n">
        <f aca="false">IF(D10=0,0,E10/D10)</f>
        <v>0.41129301228722</v>
      </c>
      <c r="H10" s="12" t="n">
        <f aca="false">IF(735694.62=0,0,E10/735694.62)</f>
        <v>0.119479900505457</v>
      </c>
      <c r="I10" s="11" t="n">
        <f aca="false">IF(288=0,0,E10/288)</f>
        <v>305.210833333333</v>
      </c>
    </row>
    <row r="11" customFormat="false" ht="15" hidden="false" customHeight="true" outlineLevel="0" collapsed="false">
      <c r="B11" s="5" t="s">
        <v>113</v>
      </c>
      <c r="C11" s="5" t="s">
        <v>114</v>
      </c>
      <c r="D11" s="11" t="n">
        <v>526401</v>
      </c>
      <c r="E11" s="11" t="n">
        <v>411991.97</v>
      </c>
      <c r="F11" s="11" t="n">
        <f aca="false">D11-E11</f>
        <v>114409.03</v>
      </c>
      <c r="G11" s="12" t="n">
        <f aca="false">IF(D11=0,0,E11/D11)</f>
        <v>0.782658030664835</v>
      </c>
      <c r="H11" s="12" t="n">
        <f aca="false">IF(735694.62=0,0,E11/735694.62)</f>
        <v>0.560004054399637</v>
      </c>
      <c r="I11" s="11" t="n">
        <f aca="false">IF(288=0,0,E11/288)</f>
        <v>1430.52767361111</v>
      </c>
    </row>
    <row r="12" customFormat="false" ht="15" hidden="false" customHeight="true" outlineLevel="0" collapsed="false">
      <c r="B12" s="5" t="s">
        <v>115</v>
      </c>
      <c r="C12" s="5" t="s">
        <v>116</v>
      </c>
      <c r="D12" s="11" t="n">
        <v>12800</v>
      </c>
      <c r="E12" s="11" t="n">
        <v>8263.12</v>
      </c>
      <c r="F12" s="11" t="n">
        <f aca="false">D12-E12</f>
        <v>4536.88</v>
      </c>
      <c r="G12" s="12" t="n">
        <f aca="false">IF(D12=0,0,E12/D12)</f>
        <v>0.64555625</v>
      </c>
      <c r="H12" s="12" t="n">
        <f aca="false">IF(735694.62=0,0,E12/735694.62)</f>
        <v>0.0112317254678307</v>
      </c>
      <c r="I12" s="11" t="n">
        <f aca="false">IF(288=0,0,E12/288)</f>
        <v>28.6913888888889</v>
      </c>
    </row>
    <row r="13" customFormat="false" ht="15" hidden="false" customHeight="true" outlineLevel="0" collapsed="false">
      <c r="B13" s="5" t="s">
        <v>117</v>
      </c>
      <c r="C13" s="5" t="s">
        <v>118</v>
      </c>
      <c r="D13" s="11" t="n">
        <v>93431</v>
      </c>
      <c r="E13" s="11" t="n">
        <v>122165.25</v>
      </c>
      <c r="F13" s="11" t="n">
        <f aca="false">D13-E13</f>
        <v>-28734.25</v>
      </c>
      <c r="G13" s="12" t="n">
        <f aca="false">IF(D13=0,0,E13/D13)</f>
        <v>1.30754514026394</v>
      </c>
      <c r="H13" s="12" t="n">
        <f aca="false">IF(735694.62=0,0,E13/735694.62)</f>
        <v>0.166054293016306</v>
      </c>
      <c r="I13" s="11" t="n">
        <f aca="false">IF(288=0,0,E13/288)</f>
        <v>424.184895833333</v>
      </c>
    </row>
    <row r="14" customFormat="false" ht="15" hidden="false" customHeight="true" outlineLevel="0" collapsed="false">
      <c r="B14" s="5" t="s">
        <v>119</v>
      </c>
      <c r="C14" s="5" t="s">
        <v>120</v>
      </c>
      <c r="D14" s="11" t="n">
        <v>7952</v>
      </c>
      <c r="E14" s="11" t="n">
        <v>2198.97</v>
      </c>
      <c r="F14" s="11" t="n">
        <f aca="false">D14-E14</f>
        <v>5753.03</v>
      </c>
      <c r="G14" s="12" t="n">
        <f aca="false">IF(D14=0,0,E14/D14)</f>
        <v>0.276530432595573</v>
      </c>
      <c r="H14" s="12" t="n">
        <f aca="false">IF(735694.62=0,0,E14/735694.62)</f>
        <v>0.00298897115762516</v>
      </c>
      <c r="I14" s="11" t="n">
        <f aca="false">IF(288=0,0,E14/288)</f>
        <v>7.6353125</v>
      </c>
    </row>
    <row r="15" customFormat="false" ht="15" hidden="false" customHeight="true" outlineLevel="0" collapsed="false">
      <c r="B15" s="6" t="s">
        <v>38</v>
      </c>
      <c r="C15" s="6" t="s">
        <v>146</v>
      </c>
      <c r="D15" s="13" t="n">
        <f aca="false">SUM(D7:D14)</f>
        <v>997196</v>
      </c>
      <c r="E15" s="13" t="n">
        <f aca="false">SUM(E7:E14)</f>
        <v>735694.62</v>
      </c>
      <c r="F15" s="13" t="n">
        <f aca="false">D15-E15</f>
        <v>261501.38</v>
      </c>
      <c r="G15" s="14" t="n">
        <f aca="false">IF(D15=0,0,E15/D15)</f>
        <v>0.73776330831652</v>
      </c>
      <c r="H15" s="14" t="n">
        <v>1</v>
      </c>
      <c r="I15" s="13" t="n">
        <f aca="false">IF(288=0,0,E15/288)</f>
        <v>2554.49520833333</v>
      </c>
    </row>
    <row r="18" customFormat="false" ht="15" hidden="false" customHeight="true" outlineLevel="0" collapsed="false">
      <c r="B18" s="4" t="s">
        <v>147</v>
      </c>
      <c r="C18" s="4"/>
      <c r="D18" s="4"/>
      <c r="E18" s="4"/>
      <c r="F18" s="4"/>
      <c r="G18" s="4"/>
      <c r="H18" s="4"/>
      <c r="I18" s="4"/>
    </row>
    <row r="19" customFormat="false" ht="15" hidden="false" customHeight="true" outlineLevel="0" collapsed="false">
      <c r="B19" s="10" t="s">
        <v>148</v>
      </c>
      <c r="C19" s="10" t="s">
        <v>149</v>
      </c>
      <c r="D19" s="10" t="s">
        <v>150</v>
      </c>
      <c r="E19" s="10" t="s">
        <v>151</v>
      </c>
      <c r="F19" s="10"/>
      <c r="G19" s="10"/>
      <c r="H19" s="10"/>
      <c r="I19" s="10" t="s">
        <v>152</v>
      </c>
    </row>
    <row r="20" customFormat="false" ht="15" hidden="false" customHeight="true" outlineLevel="0" collapsed="false">
      <c r="B20" s="5" t="s">
        <v>153</v>
      </c>
      <c r="C20" s="15" t="n">
        <v>121</v>
      </c>
      <c r="D20" s="11" t="n">
        <v>216177.2</v>
      </c>
      <c r="E20" s="12" t="n">
        <f aca="false">IF(792734.87=0,0,D20/792734.87)</f>
        <v>0.272697982870364</v>
      </c>
      <c r="I20" s="11" t="n">
        <f aca="false">IF(C20=0,0,D20/C20)</f>
        <v>1786.58842975207</v>
      </c>
    </row>
    <row r="21" customFormat="false" ht="15" hidden="false" customHeight="true" outlineLevel="0" collapsed="false">
      <c r="B21" s="5" t="s">
        <v>154</v>
      </c>
      <c r="C21" s="15" t="n">
        <v>101</v>
      </c>
      <c r="D21" s="11" t="n">
        <v>204979.52</v>
      </c>
      <c r="E21" s="12" t="n">
        <f aca="false">IF(792734.87=0,0,D21/792734.87)</f>
        <v>0.258572604482505</v>
      </c>
      <c r="I21" s="11" t="n">
        <f aca="false">IF(C21=0,0,D21/C21)</f>
        <v>2029.5001980198</v>
      </c>
    </row>
    <row r="22" customFormat="false" ht="15" hidden="false" customHeight="true" outlineLevel="0" collapsed="false">
      <c r="B22" s="5" t="s">
        <v>155</v>
      </c>
      <c r="C22" s="15" t="n">
        <v>172</v>
      </c>
      <c r="D22" s="11" t="n">
        <v>188562.66</v>
      </c>
      <c r="E22" s="12" t="n">
        <f aca="false">IF(792734.87=0,0,D22/792734.87)</f>
        <v>0.237863461209925</v>
      </c>
      <c r="I22" s="11" t="n">
        <f aca="false">IF(C22=0,0,D22/C22)</f>
        <v>1096.29453488372</v>
      </c>
    </row>
    <row r="23" customFormat="false" ht="15" hidden="false" customHeight="true" outlineLevel="0" collapsed="false">
      <c r="B23" s="5" t="s">
        <v>156</v>
      </c>
      <c r="C23" s="15" t="n">
        <v>4</v>
      </c>
      <c r="D23" s="11" t="n">
        <v>67935.82</v>
      </c>
      <c r="E23" s="12" t="n">
        <f aca="false">IF(792734.87=0,0,D23/792734.87)</f>
        <v>0.0856980341990002</v>
      </c>
      <c r="I23" s="11" t="n">
        <f aca="false">IF(C23=0,0,D23/C23)</f>
        <v>16983.955</v>
      </c>
    </row>
    <row r="24" customFormat="false" ht="15" hidden="false" customHeight="true" outlineLevel="0" collapsed="false">
      <c r="B24" s="5" t="s">
        <v>157</v>
      </c>
      <c r="C24" s="15" t="n">
        <v>11</v>
      </c>
      <c r="D24" s="11" t="n">
        <v>47819.57</v>
      </c>
      <c r="E24" s="12" t="n">
        <f aca="false">IF(792734.87=0,0,D24/792734.87)</f>
        <v>0.0603222739527025</v>
      </c>
      <c r="I24" s="11" t="n">
        <f aca="false">IF(C24=0,0,D24/C24)</f>
        <v>4347.23363636364</v>
      </c>
    </row>
    <row r="25" customFormat="false" ht="15" hidden="false" customHeight="true" outlineLevel="0" collapsed="false">
      <c r="B25" s="5" t="s">
        <v>158</v>
      </c>
      <c r="C25" s="15" t="n">
        <v>40</v>
      </c>
      <c r="D25" s="11" t="n">
        <v>23301.34</v>
      </c>
      <c r="E25" s="12" t="n">
        <f aca="false">IF(792734.87=0,0,D25/792734.87)</f>
        <v>0.0293936105018315</v>
      </c>
      <c r="I25" s="11" t="n">
        <f aca="false">IF(C25=0,0,D25/C25)</f>
        <v>582.5335</v>
      </c>
    </row>
    <row r="26" customFormat="false" ht="15" hidden="false" customHeight="true" outlineLevel="0" collapsed="false">
      <c r="B26" s="5" t="s">
        <v>159</v>
      </c>
      <c r="C26" s="15" t="n">
        <v>5</v>
      </c>
      <c r="D26" s="11" t="n">
        <v>15202</v>
      </c>
      <c r="E26" s="12" t="n">
        <f aca="false">IF(792734.87=0,0,D26/792734.87)</f>
        <v>0.0191766510788153</v>
      </c>
      <c r="I26" s="11" t="n">
        <f aca="false">IF(C26=0,0,D26/C26)</f>
        <v>3040.4</v>
      </c>
    </row>
    <row r="27" customFormat="false" ht="15" hidden="false" customHeight="true" outlineLevel="0" collapsed="false">
      <c r="B27" s="5" t="s">
        <v>160</v>
      </c>
      <c r="C27" s="15" t="n">
        <v>13</v>
      </c>
      <c r="D27" s="11" t="n">
        <v>8585</v>
      </c>
      <c r="E27" s="12" t="n">
        <f aca="false">IF(792734.87=0,0,D27/792734.87)</f>
        <v>0.0108295980470747</v>
      </c>
      <c r="I27" s="11" t="n">
        <f aca="false">IF(C27=0,0,D27/C27)</f>
        <v>660.384615384615</v>
      </c>
    </row>
    <row r="28" customFormat="false" ht="15" hidden="false" customHeight="true" outlineLevel="0" collapsed="false">
      <c r="B28" s="5" t="s">
        <v>161</v>
      </c>
      <c r="C28" s="15" t="n">
        <v>5</v>
      </c>
      <c r="D28" s="11" t="n">
        <v>4605</v>
      </c>
      <c r="E28" s="12" t="n">
        <f aca="false">IF(792734.87=0,0,D28/792734.87)</f>
        <v>0.00580900396118566</v>
      </c>
      <c r="I28" s="11" t="n">
        <f aca="false">IF(C28=0,0,D28/C28)</f>
        <v>921</v>
      </c>
    </row>
    <row r="29" customFormat="false" ht="15" hidden="false" customHeight="true" outlineLevel="0" collapsed="false">
      <c r="B29" s="5" t="s">
        <v>162</v>
      </c>
      <c r="C29" s="15" t="n">
        <v>6</v>
      </c>
      <c r="D29" s="11" t="n">
        <v>3172.33</v>
      </c>
      <c r="E29" s="12" t="n">
        <f aca="false">IF(792734.87=0,0,D29/792734.87)</f>
        <v>0.00400175407951968</v>
      </c>
      <c r="I29" s="11" t="n">
        <f aca="false">IF(C29=0,0,D29/C29)</f>
        <v>528.721666666667</v>
      </c>
    </row>
    <row r="30" customFormat="false" ht="15" hidden="false" customHeight="true" outlineLevel="0" collapsed="false">
      <c r="B30" s="5" t="s">
        <v>163</v>
      </c>
      <c r="C30" s="15" t="n">
        <v>5</v>
      </c>
      <c r="D30" s="11" t="n">
        <v>2334.26</v>
      </c>
      <c r="E30" s="12" t="n">
        <f aca="false">IF(792734.87=0,0,D30/792734.87)</f>
        <v>0.00294456581681591</v>
      </c>
      <c r="I30" s="11" t="n">
        <f aca="false">IF(C30=0,0,D30/C30)</f>
        <v>466.852</v>
      </c>
    </row>
    <row r="31" customFormat="false" ht="15" hidden="false" customHeight="true" outlineLevel="0" collapsed="false">
      <c r="B31" s="5" t="s">
        <v>164</v>
      </c>
      <c r="C31" s="15" t="n">
        <v>8</v>
      </c>
      <c r="D31" s="11" t="n">
        <v>2331.87</v>
      </c>
      <c r="E31" s="12" t="n">
        <f aca="false">IF(792734.87=0,0,D31/792734.87)</f>
        <v>0.00294155093745277</v>
      </c>
      <c r="I31" s="11" t="n">
        <f aca="false">IF(C31=0,0,D31/C31)</f>
        <v>291.48375</v>
      </c>
    </row>
    <row r="32" customFormat="false" ht="15" hidden="false" customHeight="true" outlineLevel="0" collapsed="false">
      <c r="B32" s="5" t="s">
        <v>165</v>
      </c>
      <c r="C32" s="15" t="n">
        <v>16</v>
      </c>
      <c r="D32" s="11" t="n">
        <v>2040.76</v>
      </c>
      <c r="E32" s="12" t="n">
        <f aca="false">IF(792734.87=0,0,D32/792734.87)</f>
        <v>0.0025743285393766</v>
      </c>
      <c r="I32" s="11" t="n">
        <f aca="false">IF(C32=0,0,D32/C32)</f>
        <v>127.5475</v>
      </c>
    </row>
    <row r="33" customFormat="false" ht="15" hidden="false" customHeight="true" outlineLevel="0" collapsed="false">
      <c r="B33" s="5" t="s">
        <v>166</v>
      </c>
      <c r="C33" s="15" t="n">
        <v>17</v>
      </c>
      <c r="D33" s="11" t="n">
        <v>1700</v>
      </c>
      <c r="E33" s="12" t="n">
        <f aca="false">IF(792734.87=0,0,D33/792734.87)</f>
        <v>0.00214447486080687</v>
      </c>
      <c r="I33" s="11" t="n">
        <f aca="false">IF(C33=0,0,D33/C33)</f>
        <v>100</v>
      </c>
    </row>
    <row r="34" customFormat="false" ht="15" hidden="false" customHeight="true" outlineLevel="0" collapsed="false">
      <c r="B34" s="5" t="s">
        <v>167</v>
      </c>
      <c r="C34" s="15" t="n">
        <v>3</v>
      </c>
      <c r="D34" s="11" t="n">
        <v>1302.22</v>
      </c>
      <c r="E34" s="12" t="n">
        <f aca="false">IF(792734.87=0,0,D34/792734.87)</f>
        <v>0.00164269297249407</v>
      </c>
      <c r="I34" s="11" t="n">
        <f aca="false">IF(C34=0,0,D34/C34)</f>
        <v>434.073333333333</v>
      </c>
    </row>
    <row r="35" customFormat="false" ht="15" hidden="false" customHeight="true" outlineLevel="0" collapsed="false">
      <c r="B35" s="5" t="s">
        <v>168</v>
      </c>
      <c r="C35" s="15" t="n">
        <v>1</v>
      </c>
      <c r="D35" s="11" t="n">
        <v>945</v>
      </c>
      <c r="E35" s="12" t="n">
        <f aca="false">IF(792734.87=0,0,D35/792734.87)</f>
        <v>0.00119207573144852</v>
      </c>
      <c r="I35" s="11" t="n">
        <f aca="false">IF(C35=0,0,D35/C35)</f>
        <v>945</v>
      </c>
    </row>
    <row r="36" customFormat="false" ht="15" hidden="false" customHeight="true" outlineLevel="0" collapsed="false">
      <c r="B36" s="5" t="s">
        <v>169</v>
      </c>
      <c r="C36" s="15" t="n">
        <v>4</v>
      </c>
      <c r="D36" s="11" t="n">
        <v>474</v>
      </c>
      <c r="E36" s="12" t="n">
        <f aca="false">IF(792734.87=0,0,D36/792734.87)</f>
        <v>0.000597930049424974</v>
      </c>
      <c r="I36" s="11" t="n">
        <f aca="false">IF(C36=0,0,D36/C36)</f>
        <v>118.5</v>
      </c>
    </row>
    <row r="37" customFormat="false" ht="15" hidden="false" customHeight="true" outlineLevel="0" collapsed="false">
      <c r="B37" s="5" t="s">
        <v>170</v>
      </c>
      <c r="C37" s="15" t="n">
        <v>2</v>
      </c>
      <c r="D37" s="11" t="n">
        <v>458.5</v>
      </c>
      <c r="E37" s="12" t="n">
        <f aca="false">IF(792734.87=0,0,D37/792734.87)</f>
        <v>0.000578377484517617</v>
      </c>
      <c r="I37" s="11" t="n">
        <f aca="false">IF(C37=0,0,D37/C37)</f>
        <v>229.25</v>
      </c>
    </row>
    <row r="38" customFormat="false" ht="15" hidden="false" customHeight="true" outlineLevel="0" collapsed="false">
      <c r="B38" s="5" t="s">
        <v>171</v>
      </c>
      <c r="C38" s="15" t="n">
        <v>5</v>
      </c>
      <c r="D38" s="11" t="n">
        <v>456.5</v>
      </c>
      <c r="E38" s="12" t="n">
        <f aca="false">IF(792734.87=0,0,D38/792734.87)</f>
        <v>0.000575854572916668</v>
      </c>
      <c r="I38" s="11" t="n">
        <f aca="false">IF(C38=0,0,D38/C38)</f>
        <v>91.3</v>
      </c>
    </row>
    <row r="39" customFormat="false" ht="15" hidden="false" customHeight="true" outlineLevel="0" collapsed="false">
      <c r="B39" s="5" t="s">
        <v>172</v>
      </c>
      <c r="C39" s="15" t="n">
        <v>3</v>
      </c>
      <c r="D39" s="11" t="n">
        <v>304</v>
      </c>
      <c r="E39" s="12" t="n">
        <f aca="false">IF(792734.87=0,0,D39/792734.87)</f>
        <v>0.000383482563344287</v>
      </c>
      <c r="I39" s="11" t="n">
        <f aca="false">IF(C39=0,0,D39/C39)</f>
        <v>101.333333333333</v>
      </c>
    </row>
    <row r="40" customFormat="false" ht="15" hidden="false" customHeight="true" outlineLevel="0" collapsed="false">
      <c r="B40" s="5" t="s">
        <v>173</v>
      </c>
      <c r="C40" s="15" t="n">
        <v>3</v>
      </c>
      <c r="D40" s="11" t="n">
        <v>47.32</v>
      </c>
      <c r="E40" s="12" t="n">
        <f aca="false">IF(792734.87=0,0,D40/792734.87)</f>
        <v>5.96920884784594E-005</v>
      </c>
      <c r="I40" s="11" t="n">
        <f aca="false">IF(C40=0,0,D40/C40)</f>
        <v>15.7733333333333</v>
      </c>
    </row>
    <row r="41" customFormat="false" ht="15" hidden="false" customHeight="true" outlineLevel="0" collapsed="false">
      <c r="B41" s="6" t="s">
        <v>38</v>
      </c>
      <c r="C41" s="16" t="n">
        <f aca="false">SUM(C20:C40)</f>
        <v>545</v>
      </c>
      <c r="D41" s="13" t="n">
        <f aca="false">SUM(D20:D40)</f>
        <v>792734.87</v>
      </c>
      <c r="E41" s="14" t="n">
        <v>1</v>
      </c>
    </row>
    <row r="44" customFormat="false" ht="15" hidden="false" customHeight="true" outlineLevel="0" collapsed="false">
      <c r="B44" s="4" t="s">
        <v>63</v>
      </c>
      <c r="C44" s="4"/>
      <c r="D44" s="4"/>
      <c r="E44" s="4"/>
      <c r="F44" s="4"/>
      <c r="G44" s="4"/>
      <c r="H44" s="4"/>
      <c r="I44" s="4"/>
    </row>
    <row r="45" customFormat="false" ht="15" hidden="false" customHeight="true" outlineLevel="0" collapsed="false">
      <c r="B45" s="3" t="s">
        <v>64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65</v>
      </c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B47" s="3" t="s">
        <v>66</v>
      </c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B48" s="3" t="s">
        <v>67</v>
      </c>
      <c r="C48" s="3"/>
      <c r="D48" s="3"/>
      <c r="E48" s="3"/>
      <c r="F48" s="3"/>
      <c r="G48" s="3"/>
      <c r="H48" s="3"/>
      <c r="I48" s="3"/>
    </row>
    <row r="49" customFormat="false" ht="15" hidden="false" customHeight="true" outlineLevel="0" collapsed="false">
      <c r="B49" s="3" t="s">
        <v>68</v>
      </c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B50" s="3" t="s">
        <v>69</v>
      </c>
      <c r="C50" s="3"/>
      <c r="D50" s="3"/>
      <c r="E50" s="3"/>
      <c r="F50" s="3"/>
      <c r="G50" s="3"/>
      <c r="H50" s="3"/>
      <c r="I50" s="3"/>
    </row>
    <row r="51" customFormat="false" ht="15" hidden="false" customHeight="true" outlineLevel="0" collapsed="false">
      <c r="B51" s="3" t="s">
        <v>70</v>
      </c>
      <c r="C51" s="3"/>
      <c r="D51" s="3"/>
      <c r="E51" s="3"/>
      <c r="F51" s="3"/>
      <c r="G51" s="3"/>
      <c r="H51" s="3"/>
      <c r="I51" s="3"/>
    </row>
    <row r="52" customFormat="false" ht="15" hidden="false" customHeight="true" outlineLevel="0" collapsed="false">
      <c r="B52" s="3" t="s">
        <v>71</v>
      </c>
      <c r="C52" s="3"/>
      <c r="D52" s="3"/>
      <c r="E52" s="3"/>
      <c r="F52" s="3"/>
      <c r="G52" s="3"/>
      <c r="H52" s="3"/>
      <c r="I52" s="3"/>
    </row>
    <row r="53" customFormat="false" ht="15" hidden="false" customHeight="true" outlineLevel="0" collapsed="false">
      <c r="B53" s="3" t="s">
        <v>72</v>
      </c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B54" s="3" t="s">
        <v>73</v>
      </c>
      <c r="C54" s="3"/>
      <c r="D54" s="3"/>
      <c r="E54" s="3"/>
      <c r="F54" s="3"/>
      <c r="G54" s="3"/>
      <c r="H54" s="3"/>
      <c r="I54" s="3"/>
    </row>
    <row r="55" customFormat="false" ht="15" hidden="false" customHeight="true" outlineLevel="0" collapsed="false">
      <c r="B55" s="3" t="s">
        <v>74</v>
      </c>
      <c r="C55" s="3"/>
      <c r="D55" s="3"/>
      <c r="E55" s="3"/>
      <c r="F55" s="3"/>
      <c r="G55" s="3"/>
      <c r="H55" s="3"/>
      <c r="I55" s="3"/>
    </row>
    <row r="56" customFormat="false" ht="15" hidden="false" customHeight="true" outlineLevel="0" collapsed="false">
      <c r="B56" s="3" t="s">
        <v>174</v>
      </c>
      <c r="C56" s="3"/>
      <c r="D56" s="3"/>
      <c r="E56" s="3"/>
      <c r="F56" s="3"/>
      <c r="G56" s="3"/>
      <c r="H56" s="3"/>
      <c r="I56" s="3"/>
    </row>
  </sheetData>
  <mergeCells count="17">
    <mergeCell ref="B2:I2"/>
    <mergeCell ref="B3:I3"/>
    <mergeCell ref="B5:I5"/>
    <mergeCell ref="B18:I18"/>
    <mergeCell ref="B44:I44"/>
    <mergeCell ref="B45:I45"/>
    <mergeCell ref="B46:I46"/>
    <mergeCell ref="B47:I47"/>
    <mergeCell ref="B48:I48"/>
    <mergeCell ref="B49:I49"/>
    <mergeCell ref="B50:I50"/>
    <mergeCell ref="B51:I51"/>
    <mergeCell ref="B52:I52"/>
    <mergeCell ref="B53:I53"/>
    <mergeCell ref="B54:I54"/>
    <mergeCell ref="B55:I55"/>
    <mergeCell ref="B56:I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175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176</v>
      </c>
      <c r="C4" s="10" t="s">
        <v>177</v>
      </c>
      <c r="D4" s="10" t="s">
        <v>178</v>
      </c>
      <c r="E4" s="10" t="s">
        <v>179</v>
      </c>
      <c r="F4" s="10" t="s">
        <v>180</v>
      </c>
    </row>
    <row r="5" customFormat="false" ht="15" hidden="false" customHeight="true" outlineLevel="0" collapsed="false">
      <c r="B5" s="5" t="s">
        <v>181</v>
      </c>
      <c r="C5" s="17" t="n">
        <v>2965.5</v>
      </c>
      <c r="D5" s="11" t="n">
        <v>93837.5</v>
      </c>
      <c r="E5" s="18" t="n">
        <f aca="false">IF(C5=0,0,D5/C5)</f>
        <v>31.6430618782667</v>
      </c>
      <c r="F5" s="5" t="s">
        <v>182</v>
      </c>
    </row>
    <row r="6" customFormat="false" ht="15" hidden="false" customHeight="true" outlineLevel="0" collapsed="false">
      <c r="B6" s="5" t="s">
        <v>183</v>
      </c>
      <c r="C6" s="17" t="n">
        <v>2928.5</v>
      </c>
      <c r="D6" s="11" t="n">
        <v>58335.5</v>
      </c>
      <c r="E6" s="18" t="n">
        <f aca="false">IF(C6=0,0,D6/C6)</f>
        <v>19.9199248762165</v>
      </c>
      <c r="F6" s="5" t="s">
        <v>184</v>
      </c>
    </row>
    <row r="7" customFormat="false" ht="15" hidden="false" customHeight="true" outlineLevel="0" collapsed="false">
      <c r="B7" s="5" t="s">
        <v>185</v>
      </c>
      <c r="C7" s="17" t="n">
        <v>2472</v>
      </c>
      <c r="D7" s="11" t="n">
        <v>37490</v>
      </c>
      <c r="E7" s="18" t="n">
        <f aca="false">IF(C7=0,0,D7/C7)</f>
        <v>15.165857605178</v>
      </c>
      <c r="F7" s="5" t="s">
        <v>186</v>
      </c>
    </row>
    <row r="8" customFormat="false" ht="15" hidden="false" customHeight="true" outlineLevel="0" collapsed="false">
      <c r="B8" s="5" t="s">
        <v>187</v>
      </c>
      <c r="C8" s="17" t="n">
        <v>2334.5</v>
      </c>
      <c r="D8" s="11" t="n">
        <v>37020</v>
      </c>
      <c r="E8" s="18" t="n">
        <f aca="false">IF(C8=0,0,D8/C8)</f>
        <v>15.8577853930178</v>
      </c>
      <c r="F8" s="5" t="s">
        <v>186</v>
      </c>
    </row>
    <row r="9" customFormat="false" ht="15" hidden="false" customHeight="true" outlineLevel="0" collapsed="false">
      <c r="B9" s="5" t="s">
        <v>188</v>
      </c>
      <c r="C9" s="17" t="n">
        <v>2246</v>
      </c>
      <c r="D9" s="11" t="n">
        <v>67320</v>
      </c>
      <c r="E9" s="18" t="n">
        <f aca="false">IF(C9=0,0,D9/C9)</f>
        <v>29.973285841496</v>
      </c>
      <c r="F9" s="5" t="s">
        <v>184</v>
      </c>
    </row>
    <row r="10" customFormat="false" ht="15" hidden="false" customHeight="true" outlineLevel="0" collapsed="false">
      <c r="B10" s="5" t="s">
        <v>189</v>
      </c>
      <c r="C10" s="17" t="n">
        <v>1869.5</v>
      </c>
      <c r="D10" s="11" t="n">
        <v>28508</v>
      </c>
      <c r="E10" s="18" t="n">
        <f aca="false">IF(C10=0,0,D10/C10)</f>
        <v>15.2489970580369</v>
      </c>
      <c r="F10" s="5" t="s">
        <v>186</v>
      </c>
    </row>
    <row r="11" customFormat="false" ht="15" hidden="false" customHeight="true" outlineLevel="0" collapsed="false">
      <c r="B11" s="5" t="s">
        <v>190</v>
      </c>
      <c r="C11" s="17" t="n">
        <v>1472.5</v>
      </c>
      <c r="D11" s="11" t="n">
        <v>32385.5</v>
      </c>
      <c r="E11" s="18" t="n">
        <f aca="false">IF(C11=0,0,D11/C11)</f>
        <v>21.9935483870968</v>
      </c>
      <c r="F11" s="5" t="s">
        <v>184</v>
      </c>
    </row>
    <row r="12" customFormat="false" ht="15" hidden="false" customHeight="true" outlineLevel="0" collapsed="false">
      <c r="B12" s="5" t="s">
        <v>191</v>
      </c>
      <c r="C12" s="17" t="n">
        <v>1389</v>
      </c>
      <c r="D12" s="11" t="n">
        <v>22908.5</v>
      </c>
      <c r="E12" s="18" t="n">
        <f aca="false">IF(C12=0,0,D12/C12)</f>
        <v>16.4928005759539</v>
      </c>
      <c r="F12" s="5" t="s">
        <v>186</v>
      </c>
    </row>
    <row r="13" customFormat="false" ht="15" hidden="false" customHeight="true" outlineLevel="0" collapsed="false">
      <c r="B13" s="5" t="s">
        <v>192</v>
      </c>
      <c r="C13" s="17" t="n">
        <v>1342.5</v>
      </c>
      <c r="D13" s="11" t="n">
        <v>18092.5</v>
      </c>
      <c r="E13" s="18" t="n">
        <f aca="false">IF(C13=0,0,D13/C13)</f>
        <v>13.4767225325885</v>
      </c>
      <c r="F13" s="5" t="s">
        <v>186</v>
      </c>
    </row>
    <row r="14" customFormat="false" ht="15" hidden="false" customHeight="true" outlineLevel="0" collapsed="false">
      <c r="B14" s="5" t="s">
        <v>193</v>
      </c>
      <c r="C14" s="17" t="n">
        <v>1335.5</v>
      </c>
      <c r="D14" s="11" t="n">
        <v>20429.5</v>
      </c>
      <c r="E14" s="18" t="n">
        <f aca="false">IF(C14=0,0,D14/C14)</f>
        <v>15.2972669412205</v>
      </c>
      <c r="F14" s="5" t="s">
        <v>186</v>
      </c>
    </row>
    <row r="15" customFormat="false" ht="15" hidden="false" customHeight="true" outlineLevel="0" collapsed="false">
      <c r="B15" s="5" t="s">
        <v>194</v>
      </c>
      <c r="C15" s="17" t="n">
        <v>990.5</v>
      </c>
      <c r="D15" s="11" t="n">
        <v>15385.5</v>
      </c>
      <c r="E15" s="18" t="n">
        <f aca="false">IF(C15=0,0,D15/C15)</f>
        <v>15.5330641090358</v>
      </c>
      <c r="F15" s="5" t="s">
        <v>186</v>
      </c>
    </row>
    <row r="16" customFormat="false" ht="15" hidden="false" customHeight="true" outlineLevel="0" collapsed="false">
      <c r="B16" s="5" t="s">
        <v>195</v>
      </c>
      <c r="C16" s="17" t="n">
        <v>978</v>
      </c>
      <c r="D16" s="11" t="n">
        <v>14097.5</v>
      </c>
      <c r="E16" s="18" t="n">
        <f aca="false">IF(C16=0,0,D16/C16)</f>
        <v>14.4146216768916</v>
      </c>
      <c r="F16" s="5" t="s">
        <v>186</v>
      </c>
    </row>
    <row r="17" customFormat="false" ht="15" hidden="false" customHeight="true" outlineLevel="0" collapsed="false">
      <c r="B17" s="5" t="s">
        <v>196</v>
      </c>
      <c r="C17" s="17" t="n">
        <v>973.5</v>
      </c>
      <c r="D17" s="11" t="n">
        <v>12783.5</v>
      </c>
      <c r="E17" s="18" t="n">
        <f aca="false">IF(C17=0,0,D17/C17)</f>
        <v>13.1314843348742</v>
      </c>
      <c r="F17" s="5" t="s">
        <v>186</v>
      </c>
    </row>
    <row r="18" customFormat="false" ht="15" hidden="false" customHeight="true" outlineLevel="0" collapsed="false">
      <c r="B18" s="5" t="s">
        <v>197</v>
      </c>
      <c r="C18" s="17" t="n">
        <v>857</v>
      </c>
      <c r="D18" s="11" t="n">
        <v>13712</v>
      </c>
      <c r="E18" s="18" t="n">
        <f aca="false">IF(C18=0,0,D18/C18)</f>
        <v>16</v>
      </c>
      <c r="F18" s="5" t="s">
        <v>186</v>
      </c>
    </row>
    <row r="19" customFormat="false" ht="15" hidden="false" customHeight="true" outlineLevel="0" collapsed="false">
      <c r="B19" s="5" t="s">
        <v>198</v>
      </c>
      <c r="C19" s="17" t="n">
        <v>857</v>
      </c>
      <c r="D19" s="11" t="n">
        <v>11998</v>
      </c>
      <c r="E19" s="18" t="n">
        <f aca="false">IF(C19=0,0,D19/C19)</f>
        <v>14</v>
      </c>
      <c r="F19" s="5" t="s">
        <v>186</v>
      </c>
    </row>
    <row r="20" customFormat="false" ht="15" hidden="false" customHeight="true" outlineLevel="0" collapsed="false">
      <c r="B20" s="5" t="s">
        <v>199</v>
      </c>
      <c r="C20" s="17" t="n">
        <v>856.5</v>
      </c>
      <c r="D20" s="11" t="n">
        <v>11286.5</v>
      </c>
      <c r="E20" s="18" t="n">
        <f aca="false">IF(C20=0,0,D20/C20)</f>
        <v>13.1774664331582</v>
      </c>
      <c r="F20" s="5" t="s">
        <v>186</v>
      </c>
    </row>
    <row r="21" customFormat="false" ht="15" hidden="false" customHeight="true" outlineLevel="0" collapsed="false">
      <c r="B21" s="5" t="s">
        <v>200</v>
      </c>
      <c r="C21" s="17" t="n">
        <v>824</v>
      </c>
      <c r="D21" s="11" t="n">
        <v>11312</v>
      </c>
      <c r="E21" s="18" t="n">
        <f aca="false">IF(C21=0,0,D21/C21)</f>
        <v>13.7281553398058</v>
      </c>
      <c r="F21" s="5" t="s">
        <v>186</v>
      </c>
    </row>
    <row r="22" customFormat="false" ht="15" hidden="false" customHeight="true" outlineLevel="0" collapsed="false">
      <c r="B22" s="5" t="s">
        <v>201</v>
      </c>
      <c r="C22" s="17" t="n">
        <v>784</v>
      </c>
      <c r="D22" s="11" t="n">
        <v>23440</v>
      </c>
      <c r="E22" s="18" t="n">
        <f aca="false">IF(C22=0,0,D22/C22)</f>
        <v>29.8979591836735</v>
      </c>
      <c r="F22" s="5" t="s">
        <v>184</v>
      </c>
    </row>
    <row r="23" customFormat="false" ht="15" hidden="false" customHeight="true" outlineLevel="0" collapsed="false">
      <c r="B23" s="5" t="s">
        <v>202</v>
      </c>
      <c r="C23" s="17" t="n">
        <v>730.5</v>
      </c>
      <c r="D23" s="11" t="n">
        <v>10406</v>
      </c>
      <c r="E23" s="18" t="n">
        <f aca="false">IF(C23=0,0,D23/C23)</f>
        <v>14.2450376454483</v>
      </c>
      <c r="F23" s="5" t="s">
        <v>186</v>
      </c>
    </row>
    <row r="24" customFormat="false" ht="15" hidden="false" customHeight="true" outlineLevel="0" collapsed="false">
      <c r="B24" s="5" t="s">
        <v>203</v>
      </c>
      <c r="C24" s="17" t="n">
        <v>712</v>
      </c>
      <c r="D24" s="11" t="n">
        <v>23807.5</v>
      </c>
      <c r="E24" s="18" t="n">
        <f aca="false">IF(C24=0,0,D24/C24)</f>
        <v>33.4375</v>
      </c>
      <c r="F24" s="5" t="s">
        <v>182</v>
      </c>
    </row>
    <row r="25" customFormat="false" ht="15" hidden="false" customHeight="true" outlineLevel="0" collapsed="false">
      <c r="B25" s="5" t="s">
        <v>204</v>
      </c>
      <c r="C25" s="17" t="n">
        <v>673</v>
      </c>
      <c r="D25" s="11" t="n">
        <v>10985</v>
      </c>
      <c r="E25" s="18" t="n">
        <f aca="false">IF(C25=0,0,D25/C25)</f>
        <v>16.3224368499257</v>
      </c>
      <c r="F25" s="5" t="s">
        <v>186</v>
      </c>
    </row>
    <row r="26" customFormat="false" ht="15" hidden="false" customHeight="true" outlineLevel="0" collapsed="false">
      <c r="B26" s="5" t="s">
        <v>205</v>
      </c>
      <c r="C26" s="17" t="n">
        <v>540</v>
      </c>
      <c r="D26" s="11" t="n">
        <v>7020</v>
      </c>
      <c r="E26" s="18" t="n">
        <f aca="false">IF(C26=0,0,D26/C26)</f>
        <v>13</v>
      </c>
      <c r="F26" s="5" t="s">
        <v>186</v>
      </c>
    </row>
    <row r="27" customFormat="false" ht="15" hidden="false" customHeight="true" outlineLevel="0" collapsed="false">
      <c r="B27" s="5" t="s">
        <v>206</v>
      </c>
      <c r="C27" s="17" t="n">
        <v>477</v>
      </c>
      <c r="D27" s="11" t="n">
        <v>21465</v>
      </c>
      <c r="E27" s="18" t="n">
        <f aca="false">IF(C27=0,0,D27/C27)</f>
        <v>45</v>
      </c>
      <c r="F27" s="5" t="s">
        <v>182</v>
      </c>
    </row>
    <row r="28" customFormat="false" ht="15" hidden="false" customHeight="true" outlineLevel="0" collapsed="false">
      <c r="B28" s="5" t="s">
        <v>207</v>
      </c>
      <c r="C28" s="17" t="n">
        <v>448</v>
      </c>
      <c r="D28" s="11" t="n">
        <v>6368</v>
      </c>
      <c r="E28" s="18" t="n">
        <f aca="false">IF(C28=0,0,D28/C28)</f>
        <v>14.2142857142857</v>
      </c>
      <c r="F28" s="5" t="s">
        <v>186</v>
      </c>
    </row>
    <row r="29" customFormat="false" ht="15" hidden="false" customHeight="true" outlineLevel="0" collapsed="false">
      <c r="B29" s="5" t="s">
        <v>208</v>
      </c>
      <c r="C29" s="17" t="n">
        <v>444.5</v>
      </c>
      <c r="D29" s="11" t="n">
        <v>5778.5</v>
      </c>
      <c r="E29" s="18" t="n">
        <f aca="false">IF(C29=0,0,D29/C29)</f>
        <v>13</v>
      </c>
      <c r="F29" s="5" t="s">
        <v>186</v>
      </c>
    </row>
    <row r="30" customFormat="false" ht="15" hidden="false" customHeight="true" outlineLevel="0" collapsed="false">
      <c r="B30" s="5" t="s">
        <v>209</v>
      </c>
      <c r="C30" s="17" t="n">
        <v>412</v>
      </c>
      <c r="D30" s="11" t="n">
        <v>7940.5</v>
      </c>
      <c r="E30" s="18" t="n">
        <f aca="false">IF(C30=0,0,D30/C30)</f>
        <v>19.2730582524272</v>
      </c>
      <c r="F30" s="5" t="s">
        <v>184</v>
      </c>
    </row>
    <row r="31" customFormat="false" ht="15" hidden="false" customHeight="true" outlineLevel="0" collapsed="false">
      <c r="B31" s="5" t="s">
        <v>210</v>
      </c>
      <c r="C31" s="17" t="n">
        <v>411.5</v>
      </c>
      <c r="D31" s="11" t="n">
        <v>8323</v>
      </c>
      <c r="E31" s="18" t="n">
        <f aca="false">IF(C31=0,0,D31/C31)</f>
        <v>20.2260024301337</v>
      </c>
      <c r="F31" s="5" t="s">
        <v>184</v>
      </c>
    </row>
    <row r="32" customFormat="false" ht="15" hidden="false" customHeight="true" outlineLevel="0" collapsed="false">
      <c r="B32" s="5" t="s">
        <v>211</v>
      </c>
      <c r="C32" s="17" t="n">
        <v>397</v>
      </c>
      <c r="D32" s="11" t="n">
        <v>5955</v>
      </c>
      <c r="E32" s="18" t="n">
        <f aca="false">IF(C32=0,0,D32/C32)</f>
        <v>15</v>
      </c>
      <c r="F32" s="5" t="s">
        <v>186</v>
      </c>
    </row>
    <row r="33" customFormat="false" ht="15" hidden="false" customHeight="true" outlineLevel="0" collapsed="false">
      <c r="B33" s="5" t="s">
        <v>212</v>
      </c>
      <c r="C33" s="17" t="n">
        <v>366</v>
      </c>
      <c r="D33" s="11" t="n">
        <v>5856</v>
      </c>
      <c r="E33" s="18" t="n">
        <f aca="false">IF(C33=0,0,D33/C33)</f>
        <v>16</v>
      </c>
      <c r="F33" s="5" t="s">
        <v>186</v>
      </c>
    </row>
    <row r="34" customFormat="false" ht="15" hidden="false" customHeight="true" outlineLevel="0" collapsed="false">
      <c r="B34" s="5" t="s">
        <v>213</v>
      </c>
      <c r="C34" s="17" t="n">
        <v>365.5</v>
      </c>
      <c r="D34" s="11" t="n">
        <v>6024.5</v>
      </c>
      <c r="E34" s="18" t="n">
        <f aca="false">IF(C34=0,0,D34/C34)</f>
        <v>16.4829001367989</v>
      </c>
      <c r="F34" s="5" t="s">
        <v>186</v>
      </c>
    </row>
    <row r="35" customFormat="false" ht="15" hidden="false" customHeight="true" outlineLevel="0" collapsed="false">
      <c r="B35" s="5" t="s">
        <v>214</v>
      </c>
      <c r="C35" s="17" t="n">
        <v>361</v>
      </c>
      <c r="D35" s="11" t="n">
        <v>6498</v>
      </c>
      <c r="E35" s="18" t="n">
        <f aca="false">IF(C35=0,0,D35/C35)</f>
        <v>18</v>
      </c>
      <c r="F35" s="5" t="s">
        <v>184</v>
      </c>
    </row>
    <row r="36" customFormat="false" ht="15" hidden="false" customHeight="true" outlineLevel="0" collapsed="false">
      <c r="B36" s="5" t="s">
        <v>215</v>
      </c>
      <c r="C36" s="17" t="n">
        <v>359.5</v>
      </c>
      <c r="D36" s="11" t="n">
        <v>13363.5</v>
      </c>
      <c r="E36" s="18" t="n">
        <f aca="false">IF(C36=0,0,D36/C36)</f>
        <v>37.1724617524339</v>
      </c>
      <c r="F36" s="5" t="s">
        <v>182</v>
      </c>
    </row>
    <row r="37" customFormat="false" ht="15" hidden="false" customHeight="true" outlineLevel="0" collapsed="false">
      <c r="B37" s="5" t="s">
        <v>216</v>
      </c>
      <c r="C37" s="17" t="n">
        <v>348</v>
      </c>
      <c r="D37" s="11" t="n">
        <v>10788</v>
      </c>
      <c r="E37" s="18" t="n">
        <f aca="false">IF(C37=0,0,D37/C37)</f>
        <v>31</v>
      </c>
      <c r="F37" s="5" t="s">
        <v>182</v>
      </c>
    </row>
    <row r="38" customFormat="false" ht="15" hidden="false" customHeight="true" outlineLevel="0" collapsed="false">
      <c r="B38" s="5" t="s">
        <v>217</v>
      </c>
      <c r="C38" s="17" t="n">
        <v>341.5</v>
      </c>
      <c r="D38" s="11" t="n">
        <v>5464</v>
      </c>
      <c r="E38" s="18" t="n">
        <f aca="false">IF(C38=0,0,D38/C38)</f>
        <v>16</v>
      </c>
      <c r="F38" s="5" t="s">
        <v>186</v>
      </c>
    </row>
    <row r="39" customFormat="false" ht="15" hidden="false" customHeight="true" outlineLevel="0" collapsed="false">
      <c r="B39" s="5" t="s">
        <v>218</v>
      </c>
      <c r="C39" s="17" t="n">
        <v>297</v>
      </c>
      <c r="D39" s="11" t="n">
        <v>5049</v>
      </c>
      <c r="E39" s="18" t="n">
        <f aca="false">IF(C39=0,0,D39/C39)</f>
        <v>17</v>
      </c>
      <c r="F39" s="5" t="s">
        <v>186</v>
      </c>
    </row>
    <row r="40" customFormat="false" ht="15" hidden="false" customHeight="true" outlineLevel="0" collapsed="false">
      <c r="B40" s="5" t="s">
        <v>219</v>
      </c>
      <c r="C40" s="17" t="n">
        <v>286.5</v>
      </c>
      <c r="D40" s="11" t="n">
        <v>3724.5</v>
      </c>
      <c r="E40" s="18" t="n">
        <f aca="false">IF(C40=0,0,D40/C40)</f>
        <v>13</v>
      </c>
      <c r="F40" s="5" t="s">
        <v>186</v>
      </c>
    </row>
    <row r="41" customFormat="false" ht="15" hidden="false" customHeight="true" outlineLevel="0" collapsed="false">
      <c r="B41" s="5" t="s">
        <v>220</v>
      </c>
      <c r="C41" s="17" t="n">
        <v>279.5</v>
      </c>
      <c r="D41" s="11" t="n">
        <v>11102.5</v>
      </c>
      <c r="E41" s="18" t="n">
        <f aca="false">IF(C41=0,0,D41/C41)</f>
        <v>39.7227191413238</v>
      </c>
      <c r="F41" s="5" t="s">
        <v>182</v>
      </c>
    </row>
    <row r="42" customFormat="false" ht="15" hidden="false" customHeight="true" outlineLevel="0" collapsed="false">
      <c r="B42" s="5" t="s">
        <v>221</v>
      </c>
      <c r="C42" s="17" t="n">
        <v>274</v>
      </c>
      <c r="D42" s="11" t="n">
        <v>4384</v>
      </c>
      <c r="E42" s="18" t="n">
        <f aca="false">IF(C42=0,0,D42/C42)</f>
        <v>16</v>
      </c>
      <c r="F42" s="5" t="s">
        <v>186</v>
      </c>
    </row>
    <row r="43" customFormat="false" ht="15" hidden="false" customHeight="true" outlineLevel="0" collapsed="false">
      <c r="B43" s="5" t="s">
        <v>222</v>
      </c>
      <c r="C43" s="17" t="n">
        <v>199.5</v>
      </c>
      <c r="D43" s="11" t="n">
        <v>2793</v>
      </c>
      <c r="E43" s="18" t="n">
        <f aca="false">IF(C43=0,0,D43/C43)</f>
        <v>14</v>
      </c>
      <c r="F43" s="5" t="s">
        <v>186</v>
      </c>
    </row>
    <row r="44" customFormat="false" ht="15" hidden="false" customHeight="true" outlineLevel="0" collapsed="false">
      <c r="B44" s="5" t="s">
        <v>223</v>
      </c>
      <c r="C44" s="17" t="n">
        <v>192.5</v>
      </c>
      <c r="D44" s="11" t="n">
        <v>2502.5</v>
      </c>
      <c r="E44" s="18" t="n">
        <f aca="false">IF(C44=0,0,D44/C44)</f>
        <v>13</v>
      </c>
      <c r="F44" s="5" t="s">
        <v>186</v>
      </c>
    </row>
    <row r="45" customFormat="false" ht="15" hidden="false" customHeight="true" outlineLevel="0" collapsed="false">
      <c r="B45" s="5" t="s">
        <v>224</v>
      </c>
      <c r="C45" s="17" t="n">
        <v>176</v>
      </c>
      <c r="D45" s="11" t="n">
        <v>2464</v>
      </c>
      <c r="E45" s="18" t="n">
        <f aca="false">IF(C45=0,0,D45/C45)</f>
        <v>14</v>
      </c>
      <c r="F45" s="5" t="s">
        <v>186</v>
      </c>
    </row>
    <row r="46" customFormat="false" ht="15" hidden="false" customHeight="true" outlineLevel="0" collapsed="false">
      <c r="B46" s="5" t="s">
        <v>225</v>
      </c>
      <c r="C46" s="17" t="n">
        <v>176</v>
      </c>
      <c r="D46" s="11" t="n">
        <v>4032</v>
      </c>
      <c r="E46" s="18" t="n">
        <f aca="false">IF(C46=0,0,D46/C46)</f>
        <v>22.9090909090909</v>
      </c>
      <c r="F46" s="5" t="s">
        <v>184</v>
      </c>
    </row>
    <row r="47" customFormat="false" ht="15" hidden="false" customHeight="true" outlineLevel="0" collapsed="false">
      <c r="B47" s="5" t="s">
        <v>226</v>
      </c>
      <c r="C47" s="17" t="n">
        <v>173</v>
      </c>
      <c r="D47" s="11" t="n">
        <v>4844</v>
      </c>
      <c r="E47" s="18" t="n">
        <f aca="false">IF(C47=0,0,D47/C47)</f>
        <v>28</v>
      </c>
      <c r="F47" s="5" t="s">
        <v>184</v>
      </c>
    </row>
    <row r="48" customFormat="false" ht="15" hidden="false" customHeight="true" outlineLevel="0" collapsed="false">
      <c r="B48" s="5" t="s">
        <v>227</v>
      </c>
      <c r="C48" s="17" t="n">
        <v>144</v>
      </c>
      <c r="D48" s="11" t="n">
        <v>2016</v>
      </c>
      <c r="E48" s="18" t="n">
        <f aca="false">IF(C48=0,0,D48/C48)</f>
        <v>14</v>
      </c>
      <c r="F48" s="5" t="s">
        <v>186</v>
      </c>
    </row>
    <row r="49" customFormat="false" ht="15" hidden="false" customHeight="true" outlineLevel="0" collapsed="false">
      <c r="B49" s="5" t="s">
        <v>228</v>
      </c>
      <c r="C49" s="17" t="n">
        <v>144</v>
      </c>
      <c r="D49" s="11" t="n">
        <v>4464</v>
      </c>
      <c r="E49" s="18" t="n">
        <f aca="false">IF(C49=0,0,D49/C49)</f>
        <v>31</v>
      </c>
      <c r="F49" s="5" t="s">
        <v>182</v>
      </c>
    </row>
    <row r="50" customFormat="false" ht="15" hidden="false" customHeight="true" outlineLevel="0" collapsed="false">
      <c r="B50" s="5" t="s">
        <v>229</v>
      </c>
      <c r="C50" s="17" t="n">
        <v>140</v>
      </c>
      <c r="D50" s="11" t="n">
        <v>1820</v>
      </c>
      <c r="E50" s="18" t="n">
        <f aca="false">IF(C50=0,0,D50/C50)</f>
        <v>13</v>
      </c>
      <c r="F50" s="5" t="s">
        <v>186</v>
      </c>
    </row>
    <row r="51" customFormat="false" ht="15" hidden="false" customHeight="true" outlineLevel="0" collapsed="false">
      <c r="B51" s="5" t="s">
        <v>230</v>
      </c>
      <c r="C51" s="17" t="n">
        <v>110</v>
      </c>
      <c r="D51" s="11" t="n">
        <v>1430</v>
      </c>
      <c r="E51" s="18" t="n">
        <f aca="false">IF(C51=0,0,D51/C51)</f>
        <v>13</v>
      </c>
      <c r="F51" s="5" t="s">
        <v>186</v>
      </c>
    </row>
    <row r="52" customFormat="false" ht="15" hidden="false" customHeight="true" outlineLevel="0" collapsed="false">
      <c r="B52" s="5" t="s">
        <v>231</v>
      </c>
      <c r="C52" s="17" t="n">
        <v>108</v>
      </c>
      <c r="D52" s="11" t="n">
        <v>1836</v>
      </c>
      <c r="E52" s="18" t="n">
        <f aca="false">IF(C52=0,0,D52/C52)</f>
        <v>17</v>
      </c>
      <c r="F52" s="5" t="s">
        <v>186</v>
      </c>
    </row>
    <row r="53" customFormat="false" ht="15" hidden="false" customHeight="true" outlineLevel="0" collapsed="false">
      <c r="B53" s="5" t="s">
        <v>232</v>
      </c>
      <c r="C53" s="17" t="n">
        <v>95</v>
      </c>
      <c r="D53" s="11" t="n">
        <v>1406</v>
      </c>
      <c r="E53" s="18" t="n">
        <f aca="false">IF(C53=0,0,D53/C53)</f>
        <v>14.8</v>
      </c>
      <c r="F53" s="5" t="s">
        <v>186</v>
      </c>
    </row>
    <row r="54" customFormat="false" ht="15" hidden="false" customHeight="true" outlineLevel="0" collapsed="false">
      <c r="B54" s="5" t="s">
        <v>233</v>
      </c>
      <c r="C54" s="17" t="n">
        <v>88</v>
      </c>
      <c r="D54" s="11" t="n">
        <v>1232</v>
      </c>
      <c r="E54" s="18" t="n">
        <f aca="false">IF(C54=0,0,D54/C54)</f>
        <v>14</v>
      </c>
      <c r="F54" s="5" t="s">
        <v>186</v>
      </c>
    </row>
    <row r="55" customFormat="false" ht="15" hidden="false" customHeight="true" outlineLevel="0" collapsed="false">
      <c r="B55" s="5" t="s">
        <v>234</v>
      </c>
      <c r="C55" s="17" t="n">
        <v>80</v>
      </c>
      <c r="D55" s="11" t="n">
        <v>1040</v>
      </c>
      <c r="E55" s="18" t="n">
        <f aca="false">IF(C55=0,0,D55/C55)</f>
        <v>13</v>
      </c>
      <c r="F55" s="5" t="s">
        <v>186</v>
      </c>
    </row>
    <row r="56" customFormat="false" ht="15" hidden="false" customHeight="true" outlineLevel="0" collapsed="false">
      <c r="B56" s="5" t="s">
        <v>235</v>
      </c>
      <c r="C56" s="17" t="n">
        <v>56</v>
      </c>
      <c r="D56" s="11" t="n">
        <v>784</v>
      </c>
      <c r="E56" s="18" t="n">
        <f aca="false">IF(C56=0,0,D56/C56)</f>
        <v>14</v>
      </c>
      <c r="F56" s="5" t="s">
        <v>186</v>
      </c>
    </row>
    <row r="57" customFormat="false" ht="15" hidden="false" customHeight="true" outlineLevel="0" collapsed="false">
      <c r="B57" s="5" t="s">
        <v>236</v>
      </c>
      <c r="C57" s="17" t="n">
        <v>46</v>
      </c>
      <c r="D57" s="11" t="n">
        <v>736</v>
      </c>
      <c r="E57" s="18" t="n">
        <f aca="false">IF(C57=0,0,D57/C57)</f>
        <v>16</v>
      </c>
      <c r="F57" s="5" t="s">
        <v>186</v>
      </c>
    </row>
    <row r="58" customFormat="false" ht="15" hidden="false" customHeight="true" outlineLevel="0" collapsed="false">
      <c r="B58" s="5" t="s">
        <v>237</v>
      </c>
      <c r="C58" s="17" t="n">
        <v>40</v>
      </c>
      <c r="D58" s="11" t="n">
        <v>520</v>
      </c>
      <c r="E58" s="18" t="n">
        <f aca="false">IF(C58=0,0,D58/C58)</f>
        <v>13</v>
      </c>
      <c r="F58" s="5" t="s">
        <v>186</v>
      </c>
    </row>
    <row r="59" customFormat="false" ht="15" hidden="false" customHeight="true" outlineLevel="0" collapsed="false">
      <c r="B59" s="5" t="s">
        <v>238</v>
      </c>
      <c r="C59" s="17" t="n">
        <v>24</v>
      </c>
      <c r="D59" s="11" t="n">
        <v>640</v>
      </c>
      <c r="E59" s="18" t="n">
        <f aca="false">IF(C59=0,0,D59/C59)</f>
        <v>26.6666666666667</v>
      </c>
      <c r="F59" s="5" t="s">
        <v>184</v>
      </c>
    </row>
    <row r="60" customFormat="false" ht="15" hidden="false" customHeight="true" outlineLevel="0" collapsed="false">
      <c r="B60" s="5" t="s">
        <v>239</v>
      </c>
      <c r="C60" s="17" t="n">
        <v>8</v>
      </c>
      <c r="D60" s="11" t="n">
        <v>112</v>
      </c>
      <c r="E60" s="18" t="n">
        <f aca="false">IF(C60=0,0,D60/C60)</f>
        <v>14</v>
      </c>
      <c r="F60" s="5" t="s">
        <v>186</v>
      </c>
    </row>
    <row r="61" customFormat="false" ht="15" hidden="false" customHeight="true" outlineLevel="0" collapsed="false">
      <c r="B61" s="5" t="s">
        <v>240</v>
      </c>
      <c r="C61" s="17" t="n">
        <v>7.5</v>
      </c>
      <c r="D61" s="11" t="n">
        <v>230</v>
      </c>
      <c r="E61" s="18" t="n">
        <f aca="false">IF(C61=0,0,D61/C61)</f>
        <v>30.6666666666667</v>
      </c>
      <c r="F61" s="5" t="s">
        <v>182</v>
      </c>
    </row>
    <row r="62" customFormat="false" ht="15" hidden="false" customHeight="true" outlineLevel="0" collapsed="false">
      <c r="B62" s="6" t="s">
        <v>241</v>
      </c>
      <c r="C62" s="19" t="n">
        <f aca="false">SUM(C5:C61)</f>
        <v>38007.5</v>
      </c>
      <c r="D62" s="13" t="n">
        <f aca="false">SUM(D5:D61)</f>
        <v>745546</v>
      </c>
      <c r="E62" s="20" t="n">
        <f aca="false">IF(C62=0,0,D62/C62)</f>
        <v>19.6157600473591</v>
      </c>
    </row>
    <row r="65" customFormat="false" ht="15" hidden="false" customHeight="true" outlineLevel="0" collapsed="false">
      <c r="B65" s="4" t="s">
        <v>63</v>
      </c>
      <c r="C65" s="4"/>
      <c r="D65" s="4"/>
      <c r="E65" s="4"/>
      <c r="F65" s="4"/>
    </row>
    <row r="66" customFormat="false" ht="15" hidden="false" customHeight="true" outlineLevel="0" collapsed="false">
      <c r="B66" s="3" t="s">
        <v>64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65</v>
      </c>
      <c r="C67" s="3"/>
      <c r="D67" s="3"/>
      <c r="E67" s="3"/>
      <c r="F67" s="3"/>
    </row>
    <row r="68" customFormat="false" ht="15" hidden="false" customHeight="true" outlineLevel="0" collapsed="false">
      <c r="B68" s="3" t="s">
        <v>66</v>
      </c>
      <c r="C68" s="3"/>
      <c r="D68" s="3"/>
      <c r="E68" s="3"/>
      <c r="F68" s="3"/>
    </row>
    <row r="69" customFormat="false" ht="15" hidden="false" customHeight="true" outlineLevel="0" collapsed="false">
      <c r="B69" s="3" t="s">
        <v>67</v>
      </c>
      <c r="C69" s="3"/>
      <c r="D69" s="3"/>
      <c r="E69" s="3"/>
      <c r="F69" s="3"/>
    </row>
    <row r="70" customFormat="false" ht="15" hidden="false" customHeight="true" outlineLevel="0" collapsed="false">
      <c r="B70" s="3" t="s">
        <v>68</v>
      </c>
      <c r="C70" s="3"/>
      <c r="D70" s="3"/>
      <c r="E70" s="3"/>
      <c r="F70" s="3"/>
    </row>
    <row r="71" customFormat="false" ht="15" hidden="false" customHeight="true" outlineLevel="0" collapsed="false">
      <c r="B71" s="3" t="s">
        <v>69</v>
      </c>
      <c r="C71" s="3"/>
      <c r="D71" s="3"/>
      <c r="E71" s="3"/>
      <c r="F71" s="3"/>
    </row>
    <row r="72" customFormat="false" ht="15" hidden="false" customHeight="true" outlineLevel="0" collapsed="false">
      <c r="B72" s="3" t="s">
        <v>70</v>
      </c>
      <c r="C72" s="3"/>
      <c r="D72" s="3"/>
      <c r="E72" s="3"/>
      <c r="F72" s="3"/>
    </row>
    <row r="73" customFormat="false" ht="15" hidden="false" customHeight="true" outlineLevel="0" collapsed="false">
      <c r="B73" s="3" t="s">
        <v>71</v>
      </c>
      <c r="C73" s="3"/>
      <c r="D73" s="3"/>
      <c r="E73" s="3"/>
      <c r="F73" s="3"/>
    </row>
    <row r="74" customFormat="false" ht="15" hidden="false" customHeight="true" outlineLevel="0" collapsed="false">
      <c r="B74" s="3" t="s">
        <v>72</v>
      </c>
      <c r="C74" s="3"/>
      <c r="D74" s="3"/>
      <c r="E74" s="3"/>
      <c r="F74" s="3"/>
    </row>
    <row r="75" customFormat="false" ht="15" hidden="false" customHeight="true" outlineLevel="0" collapsed="false">
      <c r="B75" s="3" t="s">
        <v>73</v>
      </c>
      <c r="C75" s="3"/>
      <c r="D75" s="3"/>
      <c r="E75" s="3"/>
      <c r="F75" s="3"/>
    </row>
    <row r="76" customFormat="false" ht="15" hidden="false" customHeight="true" outlineLevel="0" collapsed="false">
      <c r="B76" s="3" t="s">
        <v>74</v>
      </c>
      <c r="C76" s="3"/>
      <c r="D76" s="3"/>
      <c r="E76" s="3"/>
      <c r="F76" s="3"/>
    </row>
    <row r="77" customFormat="false" ht="15" hidden="false" customHeight="true" outlineLevel="0" collapsed="false">
      <c r="B77" s="3" t="s">
        <v>242</v>
      </c>
      <c r="C77" s="3"/>
      <c r="D77" s="3"/>
      <c r="E77" s="3"/>
      <c r="F77" s="3"/>
    </row>
  </sheetData>
  <mergeCells count="14">
    <mergeCell ref="B2:F2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243</v>
      </c>
      <c r="C2" s="2"/>
      <c r="D2" s="2"/>
      <c r="E2" s="2"/>
      <c r="F2" s="2"/>
    </row>
    <row r="4" customFormat="false" ht="15" hidden="false" customHeight="true" outlineLevel="0" collapsed="false">
      <c r="B4" s="4" t="s">
        <v>244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180</v>
      </c>
      <c r="C5" s="10" t="s">
        <v>245</v>
      </c>
      <c r="D5" s="10" t="s">
        <v>177</v>
      </c>
      <c r="E5" s="10" t="s">
        <v>178</v>
      </c>
      <c r="F5" s="10" t="s">
        <v>246</v>
      </c>
    </row>
    <row r="6" customFormat="false" ht="15" hidden="false" customHeight="true" outlineLevel="0" collapsed="false">
      <c r="B6" s="5" t="s">
        <v>182</v>
      </c>
      <c r="C6" s="15" t="n">
        <v>8</v>
      </c>
      <c r="D6" s="17" t="n">
        <v>5293</v>
      </c>
      <c r="E6" s="11" t="n">
        <v>179058</v>
      </c>
      <c r="F6" s="12" t="n">
        <f aca="false">IF(38007.5=0,0,D6/38007.5)</f>
        <v>0.139261987765573</v>
      </c>
    </row>
    <row r="7" customFormat="false" ht="15" hidden="false" customHeight="true" outlineLevel="0" collapsed="false">
      <c r="B7" s="5" t="s">
        <v>184</v>
      </c>
      <c r="C7" s="15" t="n">
        <v>10</v>
      </c>
      <c r="D7" s="17" t="n">
        <v>8988.5</v>
      </c>
      <c r="E7" s="11" t="n">
        <v>213758.5</v>
      </c>
      <c r="F7" s="12" t="n">
        <f aca="false">IF(38007.5=0,0,D7/38007.5)</f>
        <v>0.236492797474183</v>
      </c>
    </row>
    <row r="8" customFormat="false" ht="15" hidden="false" customHeight="true" outlineLevel="0" collapsed="false">
      <c r="B8" s="5" t="s">
        <v>186</v>
      </c>
      <c r="C8" s="15" t="n">
        <v>39</v>
      </c>
      <c r="D8" s="17" t="n">
        <v>23726</v>
      </c>
      <c r="E8" s="11" t="n">
        <v>352729.5</v>
      </c>
      <c r="F8" s="12" t="n">
        <f aca="false">IF(38007.5=0,0,D8/38007.5)</f>
        <v>0.624245214760245</v>
      </c>
    </row>
    <row r="11" customFormat="false" ht="15" hidden="false" customHeight="true" outlineLevel="0" collapsed="false">
      <c r="B11" s="4" t="s">
        <v>247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248</v>
      </c>
      <c r="C12" s="21" t="n">
        <v>19.6157600473591</v>
      </c>
      <c r="F12" s="22" t="s">
        <v>249</v>
      </c>
    </row>
    <row r="13" customFormat="false" ht="15" hidden="false" customHeight="true" outlineLevel="0" collapsed="false">
      <c r="B13" s="5" t="s">
        <v>250</v>
      </c>
      <c r="C13" s="21" t="n">
        <v>30.6660895875814</v>
      </c>
      <c r="F13" s="22" t="s">
        <v>251</v>
      </c>
    </row>
    <row r="14" customFormat="false" ht="15" hidden="false" customHeight="true" outlineLevel="0" collapsed="false">
      <c r="B14" s="5" t="s">
        <v>252</v>
      </c>
      <c r="C14" s="21" t="n">
        <v>1.56333935129422</v>
      </c>
      <c r="F14" s="22" t="s">
        <v>253</v>
      </c>
    </row>
    <row r="15" customFormat="false" ht="15" hidden="false" customHeight="true" outlineLevel="0" collapsed="false">
      <c r="B15" s="5" t="s">
        <v>254</v>
      </c>
      <c r="C15" s="21" t="n">
        <v>13</v>
      </c>
      <c r="F15" s="22" t="s">
        <v>255</v>
      </c>
    </row>
    <row r="16" customFormat="false" ht="15" hidden="false" customHeight="true" outlineLevel="0" collapsed="false">
      <c r="B16" s="5" t="s">
        <v>256</v>
      </c>
      <c r="C16" s="21" t="n">
        <v>45</v>
      </c>
      <c r="F16" s="22" t="s">
        <v>257</v>
      </c>
    </row>
    <row r="17" customFormat="false" ht="15" hidden="false" customHeight="true" outlineLevel="0" collapsed="false">
      <c r="B17" s="5" t="s">
        <v>258</v>
      </c>
      <c r="C17" s="21" t="n">
        <v>666.798245614035</v>
      </c>
      <c r="F17" s="22" t="s">
        <v>259</v>
      </c>
    </row>
    <row r="20" customFormat="false" ht="15" hidden="false" customHeight="true" outlineLevel="0" collapsed="false">
      <c r="B20" s="4" t="s">
        <v>63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64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65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66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67</v>
      </c>
      <c r="C24" s="3"/>
      <c r="D24" s="3"/>
      <c r="E24" s="3"/>
      <c r="F24" s="3"/>
    </row>
    <row r="25" customFormat="false" ht="15" hidden="false" customHeight="true" outlineLevel="0" collapsed="false">
      <c r="B25" s="3" t="s">
        <v>68</v>
      </c>
      <c r="C25" s="3"/>
      <c r="D25" s="3"/>
      <c r="E25" s="3"/>
      <c r="F25" s="3"/>
    </row>
    <row r="26" customFormat="false" ht="15" hidden="false" customHeight="true" outlineLevel="0" collapsed="false">
      <c r="B26" s="3" t="s">
        <v>69</v>
      </c>
      <c r="C26" s="3"/>
      <c r="D26" s="3"/>
      <c r="E26" s="3"/>
      <c r="F26" s="3"/>
    </row>
    <row r="27" customFormat="false" ht="15" hidden="false" customHeight="true" outlineLevel="0" collapsed="false">
      <c r="B27" s="3" t="s">
        <v>70</v>
      </c>
      <c r="C27" s="3"/>
      <c r="D27" s="3"/>
      <c r="E27" s="3"/>
      <c r="F27" s="3"/>
    </row>
    <row r="28" customFormat="false" ht="15" hidden="false" customHeight="true" outlineLevel="0" collapsed="false">
      <c r="B28" s="3" t="s">
        <v>71</v>
      </c>
      <c r="C28" s="3"/>
      <c r="D28" s="3"/>
      <c r="E28" s="3"/>
      <c r="F28" s="3"/>
    </row>
    <row r="29" customFormat="false" ht="15" hidden="false" customHeight="true" outlineLevel="0" collapsed="false">
      <c r="B29" s="3" t="s">
        <v>72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73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74</v>
      </c>
      <c r="C31" s="3"/>
      <c r="D31" s="3"/>
      <c r="E31" s="3"/>
      <c r="F31" s="3"/>
    </row>
  </sheetData>
  <mergeCells count="15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260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261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262</v>
      </c>
      <c r="C5" s="10" t="s">
        <v>263</v>
      </c>
      <c r="D5" s="10" t="s">
        <v>177</v>
      </c>
      <c r="E5" s="10" t="s">
        <v>264</v>
      </c>
      <c r="F5" s="10" t="s">
        <v>265</v>
      </c>
    </row>
    <row r="6" customFormat="false" ht="15" hidden="false" customHeight="true" outlineLevel="0" collapsed="false">
      <c r="B6" s="5" t="s">
        <v>83</v>
      </c>
      <c r="C6" s="5" t="s">
        <v>82</v>
      </c>
      <c r="D6" s="17" t="n">
        <v>301</v>
      </c>
      <c r="E6" s="12" t="n">
        <f aca="false">IF(38749=0,0,D6/38749)</f>
        <v>0.00776794239851351</v>
      </c>
      <c r="F6" s="23" t="n">
        <f aca="false">IF(288=0,0,D6/288)</f>
        <v>1.04513888888889</v>
      </c>
    </row>
    <row r="7" customFormat="false" ht="15" hidden="false" customHeight="true" outlineLevel="0" collapsed="false">
      <c r="B7" s="5" t="s">
        <v>266</v>
      </c>
      <c r="C7" s="5" t="s">
        <v>84</v>
      </c>
      <c r="D7" s="17" t="n">
        <v>434</v>
      </c>
      <c r="E7" s="12" t="n">
        <f aca="false">IF(38749=0,0,D7/38749)</f>
        <v>0.0112002890397172</v>
      </c>
      <c r="F7" s="23" t="n">
        <f aca="false">IF(288=0,0,D7/288)</f>
        <v>1.50694444444444</v>
      </c>
    </row>
    <row r="8" customFormat="false" ht="15" hidden="false" customHeight="true" outlineLevel="0" collapsed="false">
      <c r="B8" s="5" t="s">
        <v>267</v>
      </c>
      <c r="C8" s="5" t="s">
        <v>86</v>
      </c>
      <c r="D8" s="17" t="n">
        <v>775</v>
      </c>
      <c r="E8" s="12" t="n">
        <f aca="false">IF(38749=0,0,D8/38749)</f>
        <v>0.0200005161423521</v>
      </c>
      <c r="F8" s="23" t="n">
        <f aca="false">IF(288=0,0,D8/288)</f>
        <v>2.69097222222222</v>
      </c>
    </row>
    <row r="9" customFormat="false" ht="15" hidden="false" customHeight="true" outlineLevel="0" collapsed="false">
      <c r="B9" s="5" t="s">
        <v>268</v>
      </c>
      <c r="C9" s="5" t="s">
        <v>88</v>
      </c>
      <c r="D9" s="17" t="n">
        <v>6414</v>
      </c>
      <c r="E9" s="12" t="n">
        <f aca="false">IF(38749=0,0,D9/38749)</f>
        <v>0.165526852305866</v>
      </c>
      <c r="F9" s="23" t="n">
        <f aca="false">IF(288=0,0,D9/288)</f>
        <v>22.2708333333333</v>
      </c>
    </row>
    <row r="10" customFormat="false" ht="15" hidden="false" customHeight="true" outlineLevel="0" collapsed="false">
      <c r="B10" s="5" t="s">
        <v>269</v>
      </c>
      <c r="C10" s="5" t="s">
        <v>90</v>
      </c>
      <c r="D10" s="17" t="n">
        <v>776.5</v>
      </c>
      <c r="E10" s="12" t="n">
        <f aca="false">IF(38749=0,0,D10/38749)</f>
        <v>0.0200392268187566</v>
      </c>
      <c r="F10" s="23" t="n">
        <f aca="false">IF(288=0,0,D10/288)</f>
        <v>2.69618055555556</v>
      </c>
    </row>
    <row r="11" customFormat="false" ht="15" hidden="false" customHeight="true" outlineLevel="0" collapsed="false">
      <c r="B11" s="5" t="s">
        <v>270</v>
      </c>
      <c r="C11" s="5" t="s">
        <v>92</v>
      </c>
      <c r="D11" s="17" t="n">
        <v>144</v>
      </c>
      <c r="E11" s="12" t="n">
        <f aca="false">IF(38749=0,0,D11/38749)</f>
        <v>0.00371622493483703</v>
      </c>
      <c r="F11" s="23" t="n">
        <f aca="false">IF(288=0,0,D11/288)</f>
        <v>0.5</v>
      </c>
    </row>
    <row r="12" customFormat="false" ht="15" hidden="false" customHeight="true" outlineLevel="0" collapsed="false">
      <c r="B12" s="5" t="s">
        <v>271</v>
      </c>
      <c r="C12" s="5" t="s">
        <v>94</v>
      </c>
      <c r="D12" s="17" t="n">
        <v>18980.5</v>
      </c>
      <c r="E12" s="12" t="n">
        <f aca="false">IF(38749=0,0,D12/38749)</f>
        <v>0.489831995664404</v>
      </c>
      <c r="F12" s="23" t="n">
        <f aca="false">IF(288=0,0,D12/288)</f>
        <v>65.9045138888889</v>
      </c>
    </row>
    <row r="13" customFormat="false" ht="15" hidden="false" customHeight="true" outlineLevel="0" collapsed="false">
      <c r="B13" s="5" t="s">
        <v>272</v>
      </c>
      <c r="C13" s="5" t="s">
        <v>96</v>
      </c>
      <c r="D13" s="17" t="n">
        <v>3322</v>
      </c>
      <c r="E13" s="12" t="n">
        <f aca="false">IF(38749=0,0,D13/38749)</f>
        <v>0.085731244677282</v>
      </c>
      <c r="F13" s="23" t="n">
        <f aca="false">IF(288=0,0,D13/288)</f>
        <v>11.5347222222222</v>
      </c>
    </row>
    <row r="14" customFormat="false" ht="15" hidden="false" customHeight="true" outlineLevel="0" collapsed="false">
      <c r="B14" s="5" t="s">
        <v>273</v>
      </c>
      <c r="C14" s="5" t="s">
        <v>98</v>
      </c>
      <c r="D14" s="17" t="n">
        <v>1515.5</v>
      </c>
      <c r="E14" s="12" t="n">
        <f aca="false">IF(38749=0,0,D14/38749)</f>
        <v>0.0391106867273994</v>
      </c>
      <c r="F14" s="23" t="n">
        <f aca="false">IF(288=0,0,D14/288)</f>
        <v>5.26215277777778</v>
      </c>
    </row>
    <row r="15" customFormat="false" ht="15" hidden="false" customHeight="true" outlineLevel="0" collapsed="false">
      <c r="B15" s="5" t="s">
        <v>274</v>
      </c>
      <c r="C15" s="5" t="s">
        <v>100</v>
      </c>
      <c r="D15" s="17" t="n">
        <v>4519</v>
      </c>
      <c r="E15" s="12" t="n">
        <f aca="false">IF(38749=0,0,D15/38749)</f>
        <v>0.116622364448115</v>
      </c>
      <c r="F15" s="23" t="n">
        <f aca="false">IF(288=0,0,D15/288)</f>
        <v>15.6909722222222</v>
      </c>
    </row>
    <row r="16" customFormat="false" ht="15" hidden="false" customHeight="true" outlineLevel="0" collapsed="false">
      <c r="B16" s="5" t="s">
        <v>275</v>
      </c>
      <c r="C16" s="5" t="s">
        <v>102</v>
      </c>
      <c r="D16" s="17" t="n">
        <v>1567.5</v>
      </c>
      <c r="E16" s="12" t="n">
        <f aca="false">IF(38749=0,0,D16/38749)</f>
        <v>0.0404526568427572</v>
      </c>
      <c r="F16" s="23" t="n">
        <f aca="false">IF(288=0,0,D16/288)</f>
        <v>5.44270833333333</v>
      </c>
    </row>
    <row r="17" customFormat="false" ht="15" hidden="false" customHeight="true" outlineLevel="0" collapsed="false">
      <c r="B17" s="6" t="s">
        <v>38</v>
      </c>
      <c r="D17" s="19" t="n">
        <f aca="false">SUM(D6:D16)</f>
        <v>38749</v>
      </c>
      <c r="E17" s="14" t="n">
        <v>1</v>
      </c>
      <c r="F17" s="21" t="n">
        <f aca="false">IF(288=0,0,D17/288)</f>
        <v>134.545138888889</v>
      </c>
    </row>
    <row r="20" customFormat="false" ht="15" hidden="false" customHeight="true" outlineLevel="0" collapsed="false">
      <c r="B20" s="4" t="s">
        <v>276</v>
      </c>
      <c r="C20" s="4"/>
      <c r="D20" s="4"/>
      <c r="E20" s="4"/>
      <c r="F20" s="4"/>
      <c r="G20" s="4"/>
    </row>
    <row r="21" customFormat="false" ht="15" hidden="false" customHeight="true" outlineLevel="0" collapsed="false">
      <c r="B21" s="10" t="s">
        <v>40</v>
      </c>
      <c r="C21" s="10" t="s">
        <v>41</v>
      </c>
      <c r="D21" s="10" t="s">
        <v>277</v>
      </c>
      <c r="E21" s="10"/>
      <c r="F21" s="10" t="s">
        <v>278</v>
      </c>
    </row>
    <row r="22" customFormat="false" ht="15" hidden="false" customHeight="true" outlineLevel="0" collapsed="false">
      <c r="B22" s="5" t="s">
        <v>265</v>
      </c>
      <c r="C22" s="24" t="n">
        <v>134.545138888889</v>
      </c>
      <c r="D22" s="5" t="s">
        <v>279</v>
      </c>
      <c r="F22" s="22" t="s">
        <v>280</v>
      </c>
    </row>
    <row r="23" customFormat="false" ht="15" hidden="false" customHeight="true" outlineLevel="0" collapsed="false">
      <c r="B23" s="5" t="s">
        <v>281</v>
      </c>
      <c r="C23" s="24" t="n">
        <v>24.7755754475703</v>
      </c>
      <c r="D23" s="5" t="s">
        <v>279</v>
      </c>
      <c r="F23" s="22" t="s">
        <v>282</v>
      </c>
    </row>
    <row r="24" customFormat="false" ht="15" hidden="false" customHeight="true" outlineLevel="0" collapsed="false">
      <c r="B24" s="5" t="s">
        <v>283</v>
      </c>
      <c r="C24" s="24" t="n">
        <v>73.7655423365764</v>
      </c>
      <c r="D24" s="5" t="s">
        <v>284</v>
      </c>
      <c r="F24" s="22" t="s">
        <v>285</v>
      </c>
    </row>
    <row r="25" customFormat="false" ht="15" hidden="false" customHeight="true" outlineLevel="0" collapsed="false">
      <c r="B25" s="5" t="s">
        <v>286</v>
      </c>
      <c r="C25" s="24" t="n">
        <v>23.8415904926579</v>
      </c>
      <c r="D25" s="5" t="s">
        <v>284</v>
      </c>
      <c r="F25" s="22" t="s">
        <v>287</v>
      </c>
    </row>
    <row r="26" customFormat="false" ht="15" hidden="false" customHeight="true" outlineLevel="0" collapsed="false">
      <c r="B26" s="5" t="s">
        <v>288</v>
      </c>
      <c r="C26" s="24" t="n">
        <v>13.0909090909091</v>
      </c>
      <c r="D26" s="5" t="s">
        <v>289</v>
      </c>
      <c r="F26" s="22" t="s">
        <v>290</v>
      </c>
    </row>
    <row r="27" customFormat="false" ht="15" hidden="false" customHeight="true" outlineLevel="0" collapsed="false">
      <c r="B27" s="5" t="s">
        <v>291</v>
      </c>
      <c r="C27" s="24" t="n">
        <v>71.0909090909091</v>
      </c>
      <c r="D27" s="5" t="s">
        <v>292</v>
      </c>
      <c r="F27" s="22" t="s">
        <v>293</v>
      </c>
    </row>
    <row r="28" customFormat="false" ht="15" hidden="false" customHeight="true" outlineLevel="0" collapsed="false">
      <c r="B28" s="5" t="s">
        <v>294</v>
      </c>
      <c r="C28" s="24" t="n">
        <v>1761.31818181818</v>
      </c>
      <c r="D28" s="5" t="s">
        <v>279</v>
      </c>
      <c r="F28" s="22" t="s">
        <v>295</v>
      </c>
    </row>
    <row r="29" customFormat="false" ht="15" hidden="false" customHeight="true" outlineLevel="0" collapsed="false">
      <c r="B29" s="5" t="s">
        <v>296</v>
      </c>
      <c r="C29" s="24" t="n">
        <v>129924.590909091</v>
      </c>
      <c r="D29" s="5" t="s">
        <v>284</v>
      </c>
      <c r="F29" s="22" t="s">
        <v>297</v>
      </c>
    </row>
    <row r="32" customFormat="false" ht="15" hidden="false" customHeight="true" outlineLevel="0" collapsed="false">
      <c r="B32" s="4" t="s">
        <v>63</v>
      </c>
      <c r="C32" s="4"/>
      <c r="D32" s="4"/>
      <c r="E32" s="4"/>
      <c r="F32" s="4"/>
      <c r="G32" s="4"/>
    </row>
    <row r="33" customFormat="false" ht="15" hidden="false" customHeight="true" outlineLevel="0" collapsed="false">
      <c r="B33" s="3" t="s">
        <v>64</v>
      </c>
      <c r="C33" s="3"/>
      <c r="D33" s="3"/>
      <c r="E33" s="3"/>
      <c r="F33" s="3"/>
      <c r="G33" s="3"/>
    </row>
    <row r="34" customFormat="false" ht="15" hidden="false" customHeight="true" outlineLevel="0" collapsed="false">
      <c r="B34" s="3" t="s">
        <v>65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B35" s="3" t="s">
        <v>66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67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68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69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70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71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72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73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74</v>
      </c>
      <c r="C43" s="3"/>
      <c r="D43" s="3"/>
      <c r="E43" s="3"/>
      <c r="F43" s="3"/>
      <c r="G43" s="3"/>
    </row>
  </sheetData>
  <mergeCells count="15">
    <mergeCell ref="B2:G2"/>
    <mergeCell ref="B4:G4"/>
    <mergeCell ref="B20:G20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298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299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300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301</v>
      </c>
      <c r="C6" s="10" t="s">
        <v>302</v>
      </c>
      <c r="D6" s="10" t="s">
        <v>303</v>
      </c>
      <c r="E6" s="10" t="s">
        <v>304</v>
      </c>
      <c r="F6" s="10" t="s">
        <v>305</v>
      </c>
    </row>
    <row r="7" customFormat="false" ht="15" hidden="false" customHeight="true" outlineLevel="0" collapsed="false">
      <c r="B7" s="5" t="s">
        <v>306</v>
      </c>
      <c r="C7" s="5" t="s">
        <v>307</v>
      </c>
      <c r="D7" s="15" t="n">
        <v>58</v>
      </c>
      <c r="E7" s="12" t="n">
        <f aca="false">IF(279=0,0,D7/279)</f>
        <v>0.207885304659498</v>
      </c>
    </row>
    <row r="8" customFormat="false" ht="15" hidden="false" customHeight="true" outlineLevel="0" collapsed="false">
      <c r="B8" s="5" t="s">
        <v>308</v>
      </c>
      <c r="C8" s="5" t="s">
        <v>309</v>
      </c>
      <c r="D8" s="15" t="n">
        <v>43</v>
      </c>
      <c r="E8" s="12" t="n">
        <f aca="false">IF(279=0,0,D8/279)</f>
        <v>0.154121863799283</v>
      </c>
    </row>
    <row r="9" customFormat="false" ht="15" hidden="false" customHeight="true" outlineLevel="0" collapsed="false">
      <c r="B9" s="5" t="s">
        <v>310</v>
      </c>
      <c r="C9" s="5" t="s">
        <v>311</v>
      </c>
      <c r="D9" s="15" t="n">
        <v>28</v>
      </c>
      <c r="E9" s="12" t="n">
        <f aca="false">IF(279=0,0,D9/279)</f>
        <v>0.100358422939068</v>
      </c>
    </row>
    <row r="10" customFormat="false" ht="15" hidden="false" customHeight="true" outlineLevel="0" collapsed="false">
      <c r="B10" s="5" t="s">
        <v>312</v>
      </c>
      <c r="C10" s="5" t="s">
        <v>313</v>
      </c>
      <c r="D10" s="15" t="n">
        <v>1</v>
      </c>
      <c r="E10" s="12" t="n">
        <f aca="false">IF(279=0,0,D10/279)</f>
        <v>0.003584229390681</v>
      </c>
    </row>
    <row r="11" customFormat="false" ht="15" hidden="false" customHeight="true" outlineLevel="0" collapsed="false">
      <c r="B11" s="5" t="s">
        <v>314</v>
      </c>
      <c r="C11" s="5" t="s">
        <v>315</v>
      </c>
      <c r="D11" s="15" t="n">
        <v>6</v>
      </c>
      <c r="E11" s="12" t="n">
        <f aca="false">IF(279=0,0,D11/279)</f>
        <v>0.021505376344086</v>
      </c>
    </row>
    <row r="12" customFormat="false" ht="15" hidden="false" customHeight="true" outlineLevel="0" collapsed="false">
      <c r="B12" s="5" t="s">
        <v>316</v>
      </c>
      <c r="C12" s="5" t="s">
        <v>317</v>
      </c>
      <c r="D12" s="15" t="n">
        <v>22</v>
      </c>
      <c r="E12" s="12" t="n">
        <f aca="false">IF(279=0,0,D12/279)</f>
        <v>0.0788530465949821</v>
      </c>
    </row>
    <row r="13" customFormat="false" ht="15" hidden="false" customHeight="true" outlineLevel="0" collapsed="false">
      <c r="B13" s="5" t="s">
        <v>318</v>
      </c>
      <c r="C13" s="5" t="s">
        <v>319</v>
      </c>
      <c r="D13" s="15" t="n">
        <v>121</v>
      </c>
      <c r="E13" s="12" t="n">
        <f aca="false">IF(279=0,0,D13/279)</f>
        <v>0.433691756272401</v>
      </c>
    </row>
    <row r="14" customFormat="false" ht="15" hidden="false" customHeight="true" outlineLevel="0" collapsed="false">
      <c r="B14" s="6" t="s">
        <v>38</v>
      </c>
      <c r="D14" s="16" t="n">
        <f aca="false">SUM(D7:D13)</f>
        <v>279</v>
      </c>
      <c r="E14" s="14" t="n">
        <v>1</v>
      </c>
      <c r="F14" s="13" t="n">
        <v>735694.62</v>
      </c>
    </row>
    <row r="17" customFormat="false" ht="15" hidden="false" customHeight="true" outlineLevel="0" collapsed="false">
      <c r="B17" s="4" t="s">
        <v>320</v>
      </c>
      <c r="C17" s="4"/>
      <c r="D17" s="4"/>
      <c r="E17" s="4"/>
      <c r="F17" s="4"/>
      <c r="G17" s="4"/>
    </row>
    <row r="18" customFormat="false" ht="15" hidden="false" customHeight="true" outlineLevel="0" collapsed="false">
      <c r="B18" s="10" t="s">
        <v>148</v>
      </c>
      <c r="C18" s="10" t="s">
        <v>303</v>
      </c>
      <c r="D18" s="10" t="s">
        <v>304</v>
      </c>
    </row>
    <row r="19" customFormat="false" ht="15" hidden="false" customHeight="true" outlineLevel="0" collapsed="false">
      <c r="B19" s="5" t="s">
        <v>321</v>
      </c>
      <c r="C19" s="15" t="n">
        <v>96</v>
      </c>
      <c r="D19" s="12" t="n">
        <f aca="false">IF(279=0,0,C19/279)</f>
        <v>0.344086021505376</v>
      </c>
    </row>
    <row r="20" customFormat="false" ht="15" hidden="false" customHeight="true" outlineLevel="0" collapsed="false">
      <c r="B20" s="5" t="s">
        <v>322</v>
      </c>
      <c r="C20" s="15" t="n">
        <v>71</v>
      </c>
      <c r="D20" s="12" t="n">
        <f aca="false">IF(279=0,0,C20/279)</f>
        <v>0.254480286738351</v>
      </c>
    </row>
    <row r="21" customFormat="false" ht="15" hidden="false" customHeight="true" outlineLevel="0" collapsed="false">
      <c r="B21" s="5" t="s">
        <v>323</v>
      </c>
      <c r="C21" s="15" t="n">
        <v>60</v>
      </c>
      <c r="D21" s="12" t="n">
        <f aca="false">IF(279=0,0,C21/279)</f>
        <v>0.21505376344086</v>
      </c>
    </row>
    <row r="22" customFormat="false" ht="15" hidden="false" customHeight="true" outlineLevel="0" collapsed="false">
      <c r="B22" s="5" t="s">
        <v>318</v>
      </c>
      <c r="C22" s="15" t="n">
        <v>38</v>
      </c>
      <c r="D22" s="12" t="n">
        <f aca="false">IF(279=0,0,C22/279)</f>
        <v>0.136200716845878</v>
      </c>
    </row>
    <row r="23" customFormat="false" ht="15" hidden="false" customHeight="true" outlineLevel="0" collapsed="false">
      <c r="B23" s="5" t="s">
        <v>324</v>
      </c>
      <c r="C23" s="15" t="n">
        <v>6</v>
      </c>
      <c r="D23" s="12" t="n">
        <f aca="false">IF(279=0,0,C23/279)</f>
        <v>0.021505376344086</v>
      </c>
    </row>
    <row r="24" customFormat="false" ht="15" hidden="false" customHeight="true" outlineLevel="0" collapsed="false">
      <c r="B24" s="5" t="s">
        <v>325</v>
      </c>
      <c r="C24" s="15" t="n">
        <v>4</v>
      </c>
      <c r="D24" s="12" t="n">
        <f aca="false">IF(279=0,0,C24/279)</f>
        <v>0.014336917562724</v>
      </c>
    </row>
    <row r="25" customFormat="false" ht="15" hidden="false" customHeight="true" outlineLevel="0" collapsed="false">
      <c r="B25" s="5" t="s">
        <v>326</v>
      </c>
      <c r="C25" s="15" t="n">
        <v>2</v>
      </c>
      <c r="D25" s="12" t="n">
        <f aca="false">IF(279=0,0,C25/279)</f>
        <v>0.00716845878136201</v>
      </c>
    </row>
    <row r="26" customFormat="false" ht="15" hidden="false" customHeight="true" outlineLevel="0" collapsed="false">
      <c r="B26" s="5" t="s">
        <v>327</v>
      </c>
      <c r="C26" s="15" t="n">
        <v>1</v>
      </c>
      <c r="D26" s="12" t="n">
        <f aca="false">IF(279=0,0,C26/279)</f>
        <v>0.003584229390681</v>
      </c>
    </row>
    <row r="27" customFormat="false" ht="15" hidden="false" customHeight="true" outlineLevel="0" collapsed="false">
      <c r="B27" s="5" t="s">
        <v>328</v>
      </c>
      <c r="C27" s="15" t="n">
        <v>1</v>
      </c>
      <c r="D27" s="12" t="n">
        <f aca="false">IF(279=0,0,C27/279)</f>
        <v>0.003584229390681</v>
      </c>
    </row>
    <row r="30" customFormat="false" ht="15" hidden="false" customHeight="true" outlineLevel="0" collapsed="false">
      <c r="B30" s="4" t="s">
        <v>329</v>
      </c>
      <c r="C30" s="4"/>
      <c r="D30" s="4"/>
      <c r="E30" s="4"/>
      <c r="F30" s="4"/>
      <c r="G30" s="4"/>
    </row>
    <row r="31" customFormat="false" ht="15" hidden="false" customHeight="true" outlineLevel="0" collapsed="false">
      <c r="B31" s="5" t="s">
        <v>330</v>
      </c>
      <c r="E31" s="11" t="n">
        <v>735694.62</v>
      </c>
    </row>
    <row r="32" customFormat="false" ht="15" hidden="false" customHeight="true" outlineLevel="0" collapsed="false">
      <c r="B32" s="5" t="s">
        <v>331</v>
      </c>
      <c r="E32" s="15" t="n">
        <v>279</v>
      </c>
    </row>
    <row r="33" customFormat="false" ht="15" hidden="false" customHeight="true" outlineLevel="0" collapsed="false">
      <c r="B33" s="22" t="s">
        <v>332</v>
      </c>
    </row>
    <row r="36" customFormat="false" ht="15" hidden="false" customHeight="true" outlineLevel="0" collapsed="false">
      <c r="B36" s="4" t="s">
        <v>63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64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65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66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67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68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69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70</v>
      </c>
      <c r="C43" s="3"/>
      <c r="D43" s="3"/>
      <c r="E43" s="3"/>
      <c r="F43" s="3"/>
      <c r="G43" s="3"/>
    </row>
    <row r="44" customFormat="false" ht="15" hidden="false" customHeight="true" outlineLevel="0" collapsed="false">
      <c r="B44" s="3" t="s">
        <v>71</v>
      </c>
      <c r="C44" s="3"/>
      <c r="D44" s="3"/>
      <c r="E44" s="3"/>
      <c r="F44" s="3"/>
      <c r="G44" s="3"/>
    </row>
    <row r="45" customFormat="false" ht="15" hidden="false" customHeight="true" outlineLevel="0" collapsed="false">
      <c r="B45" s="3" t="s">
        <v>72</v>
      </c>
      <c r="C45" s="3"/>
      <c r="D45" s="3"/>
      <c r="E45" s="3"/>
      <c r="F45" s="3"/>
      <c r="G45" s="3"/>
    </row>
    <row r="46" customFormat="false" ht="15" hidden="false" customHeight="true" outlineLevel="0" collapsed="false">
      <c r="B46" s="3" t="s">
        <v>73</v>
      </c>
      <c r="C46" s="3"/>
      <c r="D46" s="3"/>
      <c r="E46" s="3"/>
      <c r="F46" s="3"/>
      <c r="G46" s="3"/>
    </row>
    <row r="47" customFormat="false" ht="15" hidden="false" customHeight="true" outlineLevel="0" collapsed="false">
      <c r="B47" s="3" t="s">
        <v>74</v>
      </c>
      <c r="C47" s="3"/>
      <c r="D47" s="3"/>
      <c r="E47" s="3"/>
      <c r="F47" s="3"/>
      <c r="G47" s="3"/>
    </row>
    <row r="48" customFormat="false" ht="15" hidden="false" customHeight="true" outlineLevel="0" collapsed="false">
      <c r="B48" s="3" t="s">
        <v>333</v>
      </c>
      <c r="C48" s="3"/>
      <c r="D48" s="3"/>
      <c r="E48" s="3"/>
      <c r="F48" s="3"/>
      <c r="G48" s="3"/>
    </row>
    <row r="49" customFormat="false" ht="15" hidden="false" customHeight="true" outlineLevel="0" collapsed="false">
      <c r="B49" s="3" t="s">
        <v>334</v>
      </c>
      <c r="C49" s="3"/>
      <c r="D49" s="3"/>
      <c r="E49" s="3"/>
      <c r="F49" s="3"/>
      <c r="G49" s="3"/>
    </row>
  </sheetData>
  <mergeCells count="19">
    <mergeCell ref="B2:G2"/>
    <mergeCell ref="B3:G3"/>
    <mergeCell ref="B5:G5"/>
    <mergeCell ref="B17:G17"/>
    <mergeCell ref="B30:G30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335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336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337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338</v>
      </c>
      <c r="G6" s="11" t="n">
        <v>3119000</v>
      </c>
    </row>
    <row r="7" customFormat="false" ht="15" hidden="false" customHeight="true" outlineLevel="0" collapsed="false">
      <c r="B7" s="5" t="s">
        <v>339</v>
      </c>
      <c r="G7" s="11" t="n">
        <v>-260659</v>
      </c>
    </row>
    <row r="8" customFormat="false" ht="15" hidden="false" customHeight="true" outlineLevel="0" collapsed="false">
      <c r="B8" s="5" t="s">
        <v>340</v>
      </c>
      <c r="G8" s="11" t="n">
        <v>2858341</v>
      </c>
    </row>
    <row r="9" customFormat="false" ht="15" hidden="false" customHeight="true" outlineLevel="0" collapsed="false">
      <c r="B9" s="5" t="s">
        <v>341</v>
      </c>
      <c r="G9" s="11" t="n">
        <v>142517</v>
      </c>
    </row>
    <row r="10" customFormat="false" ht="15" hidden="false" customHeight="true" outlineLevel="0" collapsed="false">
      <c r="B10" s="5" t="s">
        <v>342</v>
      </c>
      <c r="G10" s="11" t="n">
        <v>2715824</v>
      </c>
    </row>
    <row r="12" customFormat="false" ht="15" hidden="false" customHeight="true" outlineLevel="0" collapsed="false">
      <c r="B12" s="4" t="s">
        <v>343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344</v>
      </c>
      <c r="C13" s="10" t="s">
        <v>345</v>
      </c>
      <c r="D13" s="10" t="s">
        <v>346</v>
      </c>
      <c r="E13" s="10" t="s">
        <v>347</v>
      </c>
      <c r="F13" s="10" t="s">
        <v>348</v>
      </c>
      <c r="G13" s="10" t="s">
        <v>349</v>
      </c>
      <c r="H13" s="10" t="s">
        <v>350</v>
      </c>
    </row>
    <row r="14" customFormat="false" ht="15" hidden="false" customHeight="true" outlineLevel="0" collapsed="false">
      <c r="B14" s="5" t="n">
        <v>4</v>
      </c>
      <c r="C14" s="5" t="s">
        <v>351</v>
      </c>
      <c r="D14" s="11" t="n">
        <v>33600</v>
      </c>
      <c r="E14" s="11" t="n">
        <v>0</v>
      </c>
      <c r="F14" s="11" t="n">
        <f aca="false">D14-E14</f>
        <v>33600</v>
      </c>
      <c r="G14" s="11" t="n">
        <v>146751</v>
      </c>
      <c r="H14" s="12" t="n">
        <f aca="false">IF(2858341=0,0,G14/2858341)</f>
        <v>0.0513413200174507</v>
      </c>
    </row>
    <row r="15" customFormat="false" ht="15" hidden="false" customHeight="true" outlineLevel="0" collapsed="false">
      <c r="B15" s="5" t="n">
        <v>9</v>
      </c>
      <c r="C15" s="5" t="s">
        <v>352</v>
      </c>
      <c r="D15" s="11" t="n">
        <v>159218</v>
      </c>
      <c r="E15" s="11" t="n">
        <v>0</v>
      </c>
      <c r="F15" s="11" t="n">
        <f aca="false">D15-E15</f>
        <v>159218</v>
      </c>
      <c r="G15" s="11" t="n">
        <v>827139</v>
      </c>
      <c r="H15" s="12" t="n">
        <f aca="false">IF(2858341=0,0,G15/2858341)</f>
        <v>0.2893772996294</v>
      </c>
    </row>
    <row r="16" customFormat="false" ht="15" hidden="false" customHeight="true" outlineLevel="0" collapsed="false">
      <c r="B16" s="5" t="n">
        <v>10</v>
      </c>
      <c r="C16" s="5" t="s">
        <v>353</v>
      </c>
      <c r="D16" s="11" t="n">
        <v>202569</v>
      </c>
      <c r="E16" s="11" t="n">
        <v>0</v>
      </c>
      <c r="F16" s="11" t="n">
        <f aca="false">D16-E16</f>
        <v>202569</v>
      </c>
      <c r="G16" s="11" t="n">
        <v>1029708</v>
      </c>
      <c r="H16" s="12" t="n">
        <f aca="false">IF(2858341=0,0,G16/2858341)</f>
        <v>0.360246730533551</v>
      </c>
    </row>
    <row r="17" customFormat="false" ht="15" hidden="false" customHeight="true" outlineLevel="0" collapsed="false">
      <c r="B17" s="5" t="n">
        <v>12</v>
      </c>
      <c r="C17" s="5" t="s">
        <v>354</v>
      </c>
      <c r="D17" s="11" t="n">
        <v>193214</v>
      </c>
      <c r="E17" s="11" t="n">
        <v>0</v>
      </c>
      <c r="F17" s="11" t="n">
        <f aca="false">D17-E17</f>
        <v>193214</v>
      </c>
      <c r="G17" s="11" t="n">
        <v>1604888</v>
      </c>
      <c r="H17" s="12" t="n">
        <f aca="false">IF(2858341=0,0,G17/2858341)</f>
        <v>0.561475345313943</v>
      </c>
    </row>
    <row r="18" customFormat="false" ht="15" hidden="false" customHeight="true" outlineLevel="0" collapsed="false">
      <c r="B18" s="5" t="n">
        <v>13</v>
      </c>
      <c r="C18" s="5" t="s">
        <v>355</v>
      </c>
      <c r="D18" s="11" t="n">
        <v>119208</v>
      </c>
      <c r="E18" s="11" t="n">
        <v>0</v>
      </c>
      <c r="F18" s="11" t="n">
        <f aca="false">D18-E18</f>
        <v>119208</v>
      </c>
      <c r="G18" s="11" t="n">
        <v>1731896</v>
      </c>
      <c r="H18" s="12" t="n">
        <f aca="false">IF(2858341=0,0,G18/2858341)</f>
        <v>0.605909511846207</v>
      </c>
    </row>
    <row r="19" customFormat="false" ht="15" hidden="false" customHeight="true" outlineLevel="0" collapsed="false">
      <c r="B19" s="5" t="n">
        <v>15</v>
      </c>
      <c r="C19" s="5" t="s">
        <v>356</v>
      </c>
      <c r="D19" s="11" t="n">
        <v>291977</v>
      </c>
      <c r="E19" s="11" t="n">
        <v>0</v>
      </c>
      <c r="F19" s="11" t="n">
        <f aca="false">D19-E19</f>
        <v>291977</v>
      </c>
      <c r="G19" s="11" t="n">
        <v>2234401</v>
      </c>
      <c r="H19" s="12" t="n">
        <f aca="false">IF(2858341=0,0,G19/2858341)</f>
        <v>0.781712538846835</v>
      </c>
    </row>
    <row r="20" customFormat="false" ht="15" hidden="false" customHeight="true" outlineLevel="0" collapsed="false">
      <c r="B20" s="5" t="n">
        <v>18</v>
      </c>
      <c r="C20" s="5" t="s">
        <v>357</v>
      </c>
      <c r="D20" s="11" t="n">
        <v>129074</v>
      </c>
      <c r="E20" s="11" t="n">
        <v>0</v>
      </c>
      <c r="F20" s="11" t="n">
        <f aca="false">D20-E20</f>
        <v>129074</v>
      </c>
      <c r="G20" s="11" t="n">
        <v>2662685</v>
      </c>
      <c r="H20" s="12" t="n">
        <f aca="false">IF(2858341=0,0,G20/2858341)</f>
        <v>0.931549104882867</v>
      </c>
    </row>
    <row r="21" customFormat="false" ht="15" hidden="false" customHeight="true" outlineLevel="0" collapsed="false">
      <c r="B21" s="5" t="n">
        <v>19</v>
      </c>
      <c r="C21" s="5" t="s">
        <v>358</v>
      </c>
      <c r="D21" s="11" t="n">
        <v>81921</v>
      </c>
      <c r="E21" s="11" t="n">
        <v>0</v>
      </c>
      <c r="F21" s="11" t="n">
        <f aca="false">D21-E21</f>
        <v>81921</v>
      </c>
      <c r="G21" s="11" t="n">
        <v>2744606</v>
      </c>
      <c r="H21" s="12" t="n">
        <f aca="false">IF(2858341=0,0,G21/2858341)</f>
        <v>0.960209436172941</v>
      </c>
    </row>
    <row r="22" customFormat="false" ht="15" hidden="false" customHeight="true" outlineLevel="0" collapsed="false">
      <c r="B22" s="5" t="n">
        <v>20</v>
      </c>
      <c r="C22" s="5" t="s">
        <v>359</v>
      </c>
      <c r="D22" s="11" t="n">
        <v>75825</v>
      </c>
      <c r="E22" s="11" t="n">
        <v>0</v>
      </c>
      <c r="F22" s="11" t="n">
        <f aca="false">D22-E22</f>
        <v>75825</v>
      </c>
      <c r="G22" s="11" t="n">
        <v>2820431</v>
      </c>
      <c r="H22" s="12" t="n">
        <f aca="false">IF(2858341=0,0,G22/2858341)</f>
        <v>0.986737061813129</v>
      </c>
    </row>
    <row r="23" customFormat="false" ht="15" hidden="false" customHeight="true" outlineLevel="0" collapsed="false">
      <c r="B23" s="5" t="n">
        <v>23</v>
      </c>
      <c r="C23" s="5" t="s">
        <v>360</v>
      </c>
      <c r="D23" s="11" t="n">
        <v>14578</v>
      </c>
      <c r="E23" s="11" t="n">
        <v>142517.05</v>
      </c>
      <c r="F23" s="11" t="n">
        <f aca="false">D23-E23</f>
        <v>-127939.05</v>
      </c>
      <c r="G23" s="11" t="n">
        <v>2858341</v>
      </c>
      <c r="H23" s="12" t="n">
        <f aca="false">IF(2858341=0,0,G23/2858341)</f>
        <v>1</v>
      </c>
    </row>
    <row r="25" customFormat="false" ht="15" hidden="false" customHeight="true" outlineLevel="0" collapsed="false">
      <c r="B25" s="4" t="s">
        <v>361</v>
      </c>
      <c r="C25" s="4"/>
      <c r="D25" s="4"/>
      <c r="E25" s="4"/>
      <c r="F25" s="4"/>
      <c r="G25" s="4"/>
      <c r="H25" s="4"/>
    </row>
    <row r="26" customFormat="false" ht="15" hidden="false" customHeight="true" outlineLevel="0" collapsed="false">
      <c r="B26" s="10" t="s">
        <v>40</v>
      </c>
      <c r="C26" s="10" t="s">
        <v>362</v>
      </c>
      <c r="D26" s="10" t="s">
        <v>363</v>
      </c>
      <c r="E26" s="10" t="s">
        <v>364</v>
      </c>
      <c r="F26" s="10" t="s">
        <v>365</v>
      </c>
    </row>
    <row r="27" customFormat="false" ht="15" hidden="false" customHeight="true" outlineLevel="0" collapsed="false">
      <c r="B27" s="5" t="s">
        <v>340</v>
      </c>
      <c r="C27" s="11" t="n">
        <v>2858341</v>
      </c>
      <c r="D27" s="11" t="n">
        <v>2858341</v>
      </c>
      <c r="E27" s="11" t="n">
        <f aca="false">C27-D27</f>
        <v>0</v>
      </c>
      <c r="F27" s="6" t="str">
        <f aca="false">IF(ABS(E27)&lt;=1,"TIES",IF(ABS(E27)&lt;=ABS(D27)*0.05,"WITHIN","OFF"))</f>
        <v>TIES</v>
      </c>
    </row>
    <row r="28" customFormat="false" ht="15" hidden="false" customHeight="true" outlineLevel="0" collapsed="false">
      <c r="B28" s="5" t="s">
        <v>366</v>
      </c>
      <c r="C28" s="11" t="n">
        <v>142517</v>
      </c>
      <c r="D28" s="11" t="n">
        <v>142517</v>
      </c>
      <c r="E28" s="11" t="n">
        <f aca="false">C28-D28</f>
        <v>0</v>
      </c>
      <c r="F28" s="6" t="str">
        <f aca="false">IF(ABS(E28)&lt;=1,"TIES",IF(ABS(E28)&lt;=ABS(D28)*0.05,"WITHIN","OFF"))</f>
        <v>TIES</v>
      </c>
    </row>
    <row r="29" customFormat="false" ht="15" hidden="false" customHeight="true" outlineLevel="0" collapsed="false">
      <c r="B29" s="5" t="s">
        <v>131</v>
      </c>
      <c r="C29" s="11" t="n">
        <v>1934503.21</v>
      </c>
      <c r="D29" s="11" t="n">
        <v>1934503.21</v>
      </c>
      <c r="E29" s="11" t="n">
        <f aca="false">C29-D29</f>
        <v>0</v>
      </c>
      <c r="F29" s="6" t="str">
        <f aca="false">IF(ABS(E29)&lt;=1,"TIES",IF(ABS(E29)&lt;=ABS(D29)*0.05,"WITHIN","OFF"))</f>
        <v>TIES</v>
      </c>
    </row>
    <row r="33" customFormat="false" ht="15" hidden="false" customHeight="true" outlineLevel="0" collapsed="false">
      <c r="B33" s="4" t="s">
        <v>63</v>
      </c>
      <c r="C33" s="4"/>
      <c r="D33" s="4"/>
      <c r="E33" s="4"/>
      <c r="F33" s="4"/>
      <c r="G33" s="4"/>
      <c r="H33" s="4"/>
    </row>
    <row r="34" customFormat="false" ht="15" hidden="false" customHeight="true" outlineLevel="0" collapsed="false">
      <c r="B34" s="3" t="s">
        <v>64</v>
      </c>
      <c r="C34" s="3"/>
      <c r="D34" s="3"/>
      <c r="E34" s="3"/>
      <c r="F34" s="3"/>
      <c r="G34" s="3"/>
      <c r="H34" s="3"/>
    </row>
    <row r="35" customFormat="false" ht="15" hidden="false" customHeight="true" outlineLevel="0" collapsed="false">
      <c r="B35" s="3" t="s">
        <v>65</v>
      </c>
      <c r="C35" s="3"/>
      <c r="D35" s="3"/>
      <c r="E35" s="3"/>
      <c r="F35" s="3"/>
      <c r="G35" s="3"/>
      <c r="H35" s="3"/>
    </row>
    <row r="36" customFormat="false" ht="15" hidden="false" customHeight="true" outlineLevel="0" collapsed="false">
      <c r="B36" s="3" t="s">
        <v>66</v>
      </c>
      <c r="C36" s="3"/>
      <c r="D36" s="3"/>
      <c r="E36" s="3"/>
      <c r="F36" s="3"/>
      <c r="G36" s="3"/>
      <c r="H36" s="3"/>
    </row>
    <row r="37" customFormat="false" ht="15" hidden="false" customHeight="true" outlineLevel="0" collapsed="false">
      <c r="B37" s="3" t="s">
        <v>67</v>
      </c>
      <c r="C37" s="3"/>
      <c r="D37" s="3"/>
      <c r="E37" s="3"/>
      <c r="F37" s="3"/>
      <c r="G37" s="3"/>
      <c r="H37" s="3"/>
    </row>
    <row r="38" customFormat="false" ht="15" hidden="false" customHeight="true" outlineLevel="0" collapsed="false">
      <c r="B38" s="3" t="s">
        <v>68</v>
      </c>
      <c r="C38" s="3"/>
      <c r="D38" s="3"/>
      <c r="E38" s="3"/>
      <c r="F38" s="3"/>
      <c r="G38" s="3"/>
      <c r="H38" s="3"/>
    </row>
    <row r="39" customFormat="false" ht="15" hidden="false" customHeight="true" outlineLevel="0" collapsed="false">
      <c r="B39" s="3" t="s">
        <v>69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70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71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72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73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74</v>
      </c>
      <c r="C44" s="3"/>
      <c r="D44" s="3"/>
      <c r="E44" s="3"/>
      <c r="F44" s="3"/>
      <c r="G44" s="3"/>
      <c r="H44" s="3"/>
    </row>
  </sheetData>
  <mergeCells count="17">
    <mergeCell ref="B2:H2"/>
    <mergeCell ref="B3:H3"/>
    <mergeCell ref="B5:H5"/>
    <mergeCell ref="B12:H12"/>
    <mergeCell ref="B25:H25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367</v>
      </c>
      <c r="C2" s="2"/>
    </row>
    <row r="3" customFormat="false" ht="15" hidden="false" customHeight="true" outlineLevel="0" collapsed="false">
      <c r="B3" s="3" t="s">
        <v>368</v>
      </c>
      <c r="C3" s="3"/>
    </row>
    <row r="5" customFormat="false" ht="31.5" hidden="false" customHeight="true" outlineLevel="0" collapsed="false">
      <c r="B5" s="6" t="s">
        <v>369</v>
      </c>
      <c r="C5" s="25" t="s">
        <v>370</v>
      </c>
    </row>
    <row r="6" customFormat="false" ht="31.5" hidden="false" customHeight="true" outlineLevel="0" collapsed="false">
      <c r="B6" s="6" t="s">
        <v>371</v>
      </c>
      <c r="C6" s="25" t="s">
        <v>372</v>
      </c>
    </row>
    <row r="7" customFormat="false" ht="31.5" hidden="false" customHeight="true" outlineLevel="0" collapsed="false">
      <c r="B7" s="6" t="s">
        <v>373</v>
      </c>
      <c r="C7" s="25" t="s">
        <v>374</v>
      </c>
    </row>
    <row r="8" customFormat="false" ht="31.5" hidden="false" customHeight="true" outlineLevel="0" collapsed="false">
      <c r="B8" s="6" t="s">
        <v>375</v>
      </c>
      <c r="C8" s="25" t="s">
        <v>376</v>
      </c>
    </row>
    <row r="9" customFormat="false" ht="31.5" hidden="false" customHeight="true" outlineLevel="0" collapsed="false">
      <c r="B9" s="6" t="s">
        <v>377</v>
      </c>
      <c r="C9" s="25" t="s">
        <v>378</v>
      </c>
    </row>
    <row r="10" customFormat="false" ht="31.5" hidden="false" customHeight="true" outlineLevel="0" collapsed="false">
      <c r="B10" s="6" t="s">
        <v>379</v>
      </c>
      <c r="C10" s="25" t="s">
        <v>380</v>
      </c>
    </row>
    <row r="11" customFormat="false" ht="31.5" hidden="false" customHeight="true" outlineLevel="0" collapsed="false">
      <c r="B11" s="6" t="s">
        <v>381</v>
      </c>
      <c r="C11" s="25" t="s">
        <v>382</v>
      </c>
    </row>
    <row r="12" customFormat="false" ht="31.5" hidden="false" customHeight="true" outlineLevel="0" collapsed="false">
      <c r="B12" s="6" t="s">
        <v>383</v>
      </c>
      <c r="C12" s="25" t="s">
        <v>384</v>
      </c>
    </row>
    <row r="13" customFormat="false" ht="31.5" hidden="false" customHeight="true" outlineLevel="0" collapsed="false">
      <c r="B13" s="6" t="s">
        <v>385</v>
      </c>
      <c r="C13" s="25" t="s">
        <v>386</v>
      </c>
    </row>
    <row r="14" customFormat="false" ht="31.5" hidden="false" customHeight="true" outlineLevel="0" collapsed="false">
      <c r="B14" s="6" t="s">
        <v>387</v>
      </c>
      <c r="C14" s="25" t="s">
        <v>388</v>
      </c>
    </row>
    <row r="16" customFormat="false" ht="15" hidden="false" customHeight="true" outlineLevel="0" collapsed="false">
      <c r="B16" s="4" t="s">
        <v>389</v>
      </c>
      <c r="C16" s="4"/>
    </row>
    <row r="17" customFormat="false" ht="49.5" hidden="false" customHeight="true" outlineLevel="0" collapsed="false">
      <c r="B17" s="26" t="s">
        <v>390</v>
      </c>
      <c r="C17" s="26"/>
    </row>
    <row r="20" customFormat="false" ht="15" hidden="false" customHeight="true" outlineLevel="0" collapsed="false">
      <c r="B20" s="4" t="s">
        <v>63</v>
      </c>
      <c r="C20" s="4"/>
    </row>
    <row r="21" customFormat="false" ht="15" hidden="false" customHeight="true" outlineLevel="0" collapsed="false">
      <c r="B21" s="3" t="s">
        <v>64</v>
      </c>
      <c r="C21" s="3"/>
    </row>
    <row r="22" customFormat="false" ht="15" hidden="false" customHeight="true" outlineLevel="0" collapsed="false">
      <c r="B22" s="3" t="s">
        <v>65</v>
      </c>
      <c r="C22" s="3"/>
    </row>
    <row r="23" customFormat="false" ht="15" hidden="false" customHeight="true" outlineLevel="0" collapsed="false">
      <c r="B23" s="3" t="s">
        <v>66</v>
      </c>
      <c r="C23" s="3"/>
    </row>
    <row r="24" customFormat="false" ht="15" hidden="false" customHeight="true" outlineLevel="0" collapsed="false">
      <c r="B24" s="3" t="s">
        <v>67</v>
      </c>
      <c r="C24" s="3"/>
    </row>
    <row r="25" customFormat="false" ht="15" hidden="false" customHeight="true" outlineLevel="0" collapsed="false">
      <c r="B25" s="3" t="s">
        <v>68</v>
      </c>
      <c r="C25" s="3"/>
    </row>
    <row r="26" customFormat="false" ht="15" hidden="false" customHeight="true" outlineLevel="0" collapsed="false">
      <c r="B26" s="3" t="s">
        <v>69</v>
      </c>
      <c r="C26" s="3"/>
    </row>
    <row r="27" customFormat="false" ht="15" hidden="false" customHeight="true" outlineLevel="0" collapsed="false">
      <c r="B27" s="3" t="s">
        <v>70</v>
      </c>
      <c r="C27" s="3"/>
    </row>
    <row r="28" customFormat="false" ht="15" hidden="false" customHeight="true" outlineLevel="0" collapsed="false">
      <c r="B28" s="3" t="s">
        <v>71</v>
      </c>
      <c r="C28" s="3"/>
    </row>
    <row r="29" customFormat="false" ht="15" hidden="false" customHeight="true" outlineLevel="0" collapsed="false">
      <c r="B29" s="3" t="s">
        <v>72</v>
      </c>
      <c r="C29" s="3"/>
    </row>
    <row r="30" customFormat="false" ht="15" hidden="false" customHeight="true" outlineLevel="0" collapsed="false">
      <c r="B30" s="3" t="s">
        <v>73</v>
      </c>
      <c r="C30" s="3"/>
    </row>
    <row r="31" customFormat="false" ht="15" hidden="false" customHeight="true" outlineLevel="0" collapsed="false">
      <c r="B31" s="3" t="s">
        <v>74</v>
      </c>
      <c r="C31" s="3"/>
    </row>
  </sheetData>
  <mergeCells count="16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</cols>
  <sheetData>
    <row r="2" customFormat="false" ht="19.5" hidden="false" customHeight="true" outlineLevel="0" collapsed="false">
      <c r="B2" s="2" t="s">
        <v>391</v>
      </c>
      <c r="C2" s="2"/>
      <c r="D2" s="2"/>
      <c r="E2" s="2"/>
      <c r="F2" s="2"/>
    </row>
    <row r="3" customFormat="false" ht="15" hidden="false" customHeight="true" outlineLevel="0" collapsed="false">
      <c r="B3" s="3" t="s">
        <v>392</v>
      </c>
      <c r="C3" s="3"/>
      <c r="D3" s="3"/>
      <c r="E3" s="3"/>
      <c r="F3" s="3"/>
    </row>
    <row r="5" customFormat="false" ht="15" hidden="false" customHeight="true" outlineLevel="0" collapsed="false">
      <c r="B5" s="10" t="s">
        <v>393</v>
      </c>
      <c r="C5" s="10" t="s">
        <v>394</v>
      </c>
      <c r="D5" s="10" t="s">
        <v>41</v>
      </c>
      <c r="E5" s="10" t="s">
        <v>28</v>
      </c>
      <c r="F5" s="10" t="s">
        <v>278</v>
      </c>
    </row>
    <row r="6" customFormat="false" ht="15" hidden="false" customHeight="true" outlineLevel="0" collapsed="false">
      <c r="B6" s="5" t="s">
        <v>395</v>
      </c>
      <c r="C6" s="27" t="s">
        <v>396</v>
      </c>
      <c r="D6" s="6" t="s">
        <v>4</v>
      </c>
      <c r="E6" s="5" t="s">
        <v>397</v>
      </c>
      <c r="F6" s="22" t="s">
        <v>398</v>
      </c>
    </row>
    <row r="7" customFormat="false" ht="15" hidden="false" customHeight="true" outlineLevel="0" collapsed="false">
      <c r="B7" s="5" t="s">
        <v>399</v>
      </c>
      <c r="C7" s="27" t="s">
        <v>400</v>
      </c>
      <c r="D7" s="6" t="s">
        <v>6</v>
      </c>
      <c r="E7" s="5" t="s">
        <v>397</v>
      </c>
    </row>
    <row r="8" customFormat="false" ht="15" hidden="false" customHeight="true" outlineLevel="0" collapsed="false">
      <c r="B8" s="5" t="s">
        <v>7</v>
      </c>
      <c r="C8" s="27" t="s">
        <v>401</v>
      </c>
      <c r="D8" s="6" t="s">
        <v>8</v>
      </c>
      <c r="E8" s="5" t="s">
        <v>397</v>
      </c>
    </row>
    <row r="9" customFormat="false" ht="15" hidden="false" customHeight="true" outlineLevel="0" collapsed="false">
      <c r="B9" s="5" t="s">
        <v>9</v>
      </c>
      <c r="C9" s="27" t="s">
        <v>402</v>
      </c>
      <c r="D9" s="6" t="s">
        <v>10</v>
      </c>
      <c r="E9" s="5" t="s">
        <v>397</v>
      </c>
    </row>
    <row r="10" customFormat="false" ht="15" hidden="false" customHeight="true" outlineLevel="0" collapsed="false">
      <c r="B10" s="5" t="s">
        <v>403</v>
      </c>
      <c r="C10" s="27" t="s">
        <v>404</v>
      </c>
      <c r="D10" s="6" t="s">
        <v>405</v>
      </c>
      <c r="E10" s="5" t="s">
        <v>397</v>
      </c>
    </row>
    <row r="11" customFormat="false" ht="15" hidden="false" customHeight="true" outlineLevel="0" collapsed="false">
      <c r="B11" s="5" t="s">
        <v>406</v>
      </c>
      <c r="C11" s="27" t="s">
        <v>407</v>
      </c>
      <c r="D11" s="6" t="n">
        <v>22</v>
      </c>
      <c r="E11" s="5" t="s">
        <v>397</v>
      </c>
      <c r="F11" s="22" t="s">
        <v>12</v>
      </c>
    </row>
    <row r="12" customFormat="false" ht="15" hidden="false" customHeight="true" outlineLevel="0" collapsed="false">
      <c r="B12" s="5" t="s">
        <v>408</v>
      </c>
      <c r="C12" s="27" t="s">
        <v>409</v>
      </c>
      <c r="D12" s="13" t="n">
        <v>288</v>
      </c>
      <c r="E12" s="5" t="s">
        <v>397</v>
      </c>
    </row>
    <row r="13" customFormat="false" ht="15" hidden="false" customHeight="true" outlineLevel="0" collapsed="false">
      <c r="B13" s="5" t="s">
        <v>55</v>
      </c>
      <c r="C13" s="27" t="s">
        <v>410</v>
      </c>
      <c r="D13" s="13" t="n">
        <v>1564</v>
      </c>
      <c r="E13" s="5" t="s">
        <v>397</v>
      </c>
    </row>
    <row r="14" customFormat="false" ht="15" hidden="false" customHeight="true" outlineLevel="0" collapsed="false">
      <c r="B14" s="5" t="s">
        <v>411</v>
      </c>
      <c r="C14" s="27" t="s">
        <v>412</v>
      </c>
      <c r="D14" s="21" t="n">
        <v>5.43055555555556</v>
      </c>
      <c r="E14" s="5" t="s">
        <v>397</v>
      </c>
    </row>
    <row r="15" customFormat="false" ht="15" hidden="false" customHeight="true" outlineLevel="0" collapsed="false">
      <c r="B15" s="5" t="s">
        <v>413</v>
      </c>
      <c r="C15" s="27" t="s">
        <v>414</v>
      </c>
      <c r="D15" s="13" t="n">
        <v>3119000</v>
      </c>
      <c r="E15" s="5" t="s">
        <v>415</v>
      </c>
    </row>
    <row r="16" customFormat="false" ht="15" hidden="false" customHeight="true" outlineLevel="0" collapsed="false">
      <c r="B16" s="5" t="s">
        <v>416</v>
      </c>
      <c r="C16" s="27" t="s">
        <v>417</v>
      </c>
      <c r="D16" s="13" t="n">
        <v>2858341</v>
      </c>
      <c r="E16" s="5" t="s">
        <v>415</v>
      </c>
      <c r="F16" s="22" t="s">
        <v>418</v>
      </c>
    </row>
    <row r="17" customFormat="false" ht="15" hidden="false" customHeight="true" outlineLevel="0" collapsed="false">
      <c r="B17" s="5" t="s">
        <v>419</v>
      </c>
      <c r="C17" s="27" t="s">
        <v>420</v>
      </c>
      <c r="D17" s="13" t="n">
        <v>-260659</v>
      </c>
      <c r="E17" s="5" t="s">
        <v>415</v>
      </c>
    </row>
    <row r="18" customFormat="false" ht="15" hidden="false" customHeight="true" outlineLevel="0" collapsed="false">
      <c r="B18" s="5" t="s">
        <v>421</v>
      </c>
      <c r="C18" s="27" t="s">
        <v>422</v>
      </c>
      <c r="D18" s="13" t="n">
        <v>2858341</v>
      </c>
      <c r="E18" s="5" t="s">
        <v>415</v>
      </c>
    </row>
    <row r="19" customFormat="false" ht="15" hidden="false" customHeight="true" outlineLevel="0" collapsed="false">
      <c r="B19" s="5" t="s">
        <v>423</v>
      </c>
      <c r="C19" s="27" t="s">
        <v>424</v>
      </c>
      <c r="D19" s="13" t="n">
        <v>923837.79</v>
      </c>
      <c r="E19" s="5" t="s">
        <v>415</v>
      </c>
    </row>
    <row r="20" customFormat="false" ht="15" hidden="false" customHeight="true" outlineLevel="0" collapsed="false">
      <c r="B20" s="5" t="s">
        <v>425</v>
      </c>
      <c r="C20" s="27" t="s">
        <v>426</v>
      </c>
      <c r="D20" s="21" t="n">
        <v>0.323207689355469</v>
      </c>
      <c r="E20" s="5" t="s">
        <v>415</v>
      </c>
    </row>
    <row r="21" customFormat="false" ht="15" hidden="false" customHeight="true" outlineLevel="0" collapsed="false">
      <c r="B21" s="5" t="s">
        <v>131</v>
      </c>
      <c r="C21" s="27" t="s">
        <v>427</v>
      </c>
      <c r="D21" s="13" t="n">
        <v>1934503.21</v>
      </c>
      <c r="E21" s="5" t="s">
        <v>415</v>
      </c>
    </row>
    <row r="22" customFormat="false" ht="15" hidden="false" customHeight="true" outlineLevel="0" collapsed="false">
      <c r="B22" s="5" t="s">
        <v>428</v>
      </c>
      <c r="C22" s="27" t="s">
        <v>429</v>
      </c>
      <c r="D22" s="13" t="n">
        <v>766929.01</v>
      </c>
      <c r="E22" s="5" t="s">
        <v>34</v>
      </c>
      <c r="F22" s="22" t="s">
        <v>430</v>
      </c>
    </row>
    <row r="23" customFormat="false" ht="15" hidden="false" customHeight="true" outlineLevel="0" collapsed="false">
      <c r="B23" s="5" t="s">
        <v>431</v>
      </c>
      <c r="C23" s="27" t="s">
        <v>432</v>
      </c>
      <c r="D23" s="13" t="n">
        <v>735694.62</v>
      </c>
      <c r="E23" s="5" t="s">
        <v>35</v>
      </c>
      <c r="F23" s="22" t="s">
        <v>433</v>
      </c>
    </row>
    <row r="24" customFormat="false" ht="15" hidden="false" customHeight="true" outlineLevel="0" collapsed="false">
      <c r="B24" s="5" t="s">
        <v>434</v>
      </c>
      <c r="C24" s="27" t="s">
        <v>435</v>
      </c>
      <c r="D24" s="13" t="n">
        <v>33267.19</v>
      </c>
      <c r="E24" s="5" t="s">
        <v>415</v>
      </c>
      <c r="F24" s="22" t="s">
        <v>436</v>
      </c>
    </row>
    <row r="25" customFormat="false" ht="15" hidden="false" customHeight="true" outlineLevel="0" collapsed="false">
      <c r="B25" s="5" t="s">
        <v>437</v>
      </c>
      <c r="C25" s="27" t="s">
        <v>438</v>
      </c>
      <c r="D25" s="13" t="n">
        <v>398612.39</v>
      </c>
      <c r="E25" s="5" t="s">
        <v>415</v>
      </c>
      <c r="F25" s="22" t="s">
        <v>439</v>
      </c>
    </row>
    <row r="26" customFormat="false" ht="15" hidden="false" customHeight="true" outlineLevel="0" collapsed="false">
      <c r="B26" s="5" t="s">
        <v>366</v>
      </c>
      <c r="C26" s="27" t="s">
        <v>440</v>
      </c>
      <c r="D26" s="13" t="n">
        <v>142517</v>
      </c>
      <c r="E26" s="5" t="s">
        <v>415</v>
      </c>
      <c r="F26" s="22" t="s">
        <v>441</v>
      </c>
    </row>
    <row r="27" customFormat="false" ht="15" hidden="false" customHeight="true" outlineLevel="0" collapsed="false">
      <c r="B27" s="5" t="s">
        <v>442</v>
      </c>
      <c r="C27" s="27" t="s">
        <v>443</v>
      </c>
      <c r="D27" s="13" t="n">
        <v>9924.79513888889</v>
      </c>
      <c r="E27" s="5" t="s">
        <v>415</v>
      </c>
    </row>
    <row r="28" customFormat="false" ht="15" hidden="false" customHeight="true" outlineLevel="0" collapsed="false">
      <c r="B28" s="5" t="s">
        <v>444</v>
      </c>
      <c r="C28" s="27" t="s">
        <v>445</v>
      </c>
      <c r="D28" s="13" t="n">
        <v>3207.77010416667</v>
      </c>
      <c r="E28" s="5" t="s">
        <v>415</v>
      </c>
    </row>
    <row r="29" customFormat="false" ht="15" hidden="false" customHeight="true" outlineLevel="0" collapsed="false">
      <c r="B29" s="5" t="s">
        <v>446</v>
      </c>
      <c r="C29" s="27" t="s">
        <v>447</v>
      </c>
      <c r="D29" s="13" t="n">
        <v>6717.02503472222</v>
      </c>
      <c r="E29" s="5" t="s">
        <v>415</v>
      </c>
    </row>
    <row r="30" customFormat="false" ht="15" hidden="false" customHeight="true" outlineLevel="0" collapsed="false">
      <c r="B30" s="5" t="s">
        <v>448</v>
      </c>
      <c r="C30" s="27" t="s">
        <v>449</v>
      </c>
      <c r="D30" s="13" t="n">
        <v>2662.94795138889</v>
      </c>
      <c r="E30" s="5" t="s">
        <v>34</v>
      </c>
    </row>
    <row r="31" customFormat="false" ht="15" hidden="false" customHeight="true" outlineLevel="0" collapsed="false">
      <c r="B31" s="5" t="s">
        <v>450</v>
      </c>
      <c r="C31" s="27" t="s">
        <v>451</v>
      </c>
      <c r="D31" s="13" t="n">
        <v>2554.49520833333</v>
      </c>
      <c r="E31" s="5" t="s">
        <v>35</v>
      </c>
    </row>
    <row r="32" customFormat="false" ht="15" hidden="false" customHeight="true" outlineLevel="0" collapsed="false">
      <c r="B32" s="5" t="s">
        <v>452</v>
      </c>
      <c r="C32" s="27" t="s">
        <v>453</v>
      </c>
      <c r="D32" s="13" t="n">
        <v>1827.58375959079</v>
      </c>
      <c r="E32" s="5" t="s">
        <v>415</v>
      </c>
    </row>
    <row r="33" customFormat="false" ht="15" hidden="false" customHeight="true" outlineLevel="0" collapsed="false">
      <c r="B33" s="5" t="s">
        <v>454</v>
      </c>
      <c r="C33" s="27" t="s">
        <v>455</v>
      </c>
      <c r="D33" s="13" t="n">
        <v>590.689124040921</v>
      </c>
      <c r="E33" s="5" t="s">
        <v>415</v>
      </c>
    </row>
    <row r="34" customFormat="false" ht="15" hidden="false" customHeight="true" outlineLevel="0" collapsed="false">
      <c r="B34" s="5" t="s">
        <v>456</v>
      </c>
      <c r="C34" s="27" t="s">
        <v>457</v>
      </c>
      <c r="D34" s="13" t="n">
        <v>1236.89463554987</v>
      </c>
      <c r="E34" s="5" t="s">
        <v>415</v>
      </c>
    </row>
    <row r="35" customFormat="false" ht="15" hidden="false" customHeight="true" outlineLevel="0" collapsed="false">
      <c r="B35" s="5" t="s">
        <v>458</v>
      </c>
      <c r="C35" s="27" t="s">
        <v>459</v>
      </c>
      <c r="D35" s="13" t="n">
        <v>490.36381713555</v>
      </c>
      <c r="E35" s="5" t="s">
        <v>34</v>
      </c>
    </row>
    <row r="36" customFormat="false" ht="15" hidden="false" customHeight="true" outlineLevel="0" collapsed="false">
      <c r="B36" s="5" t="s">
        <v>460</v>
      </c>
      <c r="C36" s="27" t="s">
        <v>461</v>
      </c>
      <c r="D36" s="13" t="n">
        <v>470.392979539642</v>
      </c>
      <c r="E36" s="5" t="s">
        <v>35</v>
      </c>
    </row>
    <row r="37" customFormat="false" ht="15" hidden="false" customHeight="true" outlineLevel="0" collapsed="false">
      <c r="B37" s="5" t="s">
        <v>462</v>
      </c>
      <c r="C37" s="27" t="s">
        <v>463</v>
      </c>
      <c r="D37" s="13" t="n">
        <v>38749</v>
      </c>
      <c r="E37" s="5" t="s">
        <v>34</v>
      </c>
      <c r="F37" s="22" t="s">
        <v>464</v>
      </c>
    </row>
    <row r="38" customFormat="false" ht="15" hidden="false" customHeight="true" outlineLevel="0" collapsed="false">
      <c r="B38" s="5" t="s">
        <v>465</v>
      </c>
      <c r="C38" s="27" t="s">
        <v>466</v>
      </c>
      <c r="D38" s="6" t="n">
        <v>57</v>
      </c>
      <c r="E38" s="5" t="s">
        <v>34</v>
      </c>
      <c r="F38" s="22" t="s">
        <v>467</v>
      </c>
    </row>
    <row r="39" customFormat="false" ht="15" hidden="false" customHeight="true" outlineLevel="0" collapsed="false">
      <c r="B39" s="5" t="s">
        <v>248</v>
      </c>
      <c r="C39" s="27" t="s">
        <v>468</v>
      </c>
      <c r="D39" s="14" t="n">
        <v>19.2403933004723</v>
      </c>
      <c r="E39" s="5" t="s">
        <v>34</v>
      </c>
      <c r="F39" s="22" t="s">
        <v>469</v>
      </c>
    </row>
    <row r="40" customFormat="false" ht="15" hidden="false" customHeight="true" outlineLevel="0" collapsed="false">
      <c r="B40" s="5" t="s">
        <v>250</v>
      </c>
      <c r="C40" s="27" t="s">
        <v>470</v>
      </c>
      <c r="D40" s="14" t="n">
        <v>30.079263981006</v>
      </c>
      <c r="E40" s="5" t="s">
        <v>34</v>
      </c>
      <c r="F40" s="22" t="s">
        <v>471</v>
      </c>
    </row>
    <row r="41" customFormat="false" ht="15" hidden="false" customHeight="true" outlineLevel="0" collapsed="false">
      <c r="B41" s="5" t="s">
        <v>252</v>
      </c>
      <c r="C41" s="27" t="s">
        <v>472</v>
      </c>
      <c r="D41" s="21" t="n">
        <v>1.56333935129422</v>
      </c>
      <c r="E41" s="5" t="s">
        <v>34</v>
      </c>
    </row>
    <row r="42" customFormat="false" ht="15" hidden="false" customHeight="true" outlineLevel="0" collapsed="false">
      <c r="B42" s="5" t="s">
        <v>473</v>
      </c>
      <c r="C42" s="27" t="s">
        <v>474</v>
      </c>
      <c r="D42" s="13" t="n">
        <v>134.545138888889</v>
      </c>
      <c r="E42" s="5" t="s">
        <v>34</v>
      </c>
      <c r="F42" s="22" t="s">
        <v>475</v>
      </c>
    </row>
    <row r="43" customFormat="false" ht="15" hidden="false" customHeight="true" outlineLevel="0" collapsed="false">
      <c r="B43" s="5" t="s">
        <v>476</v>
      </c>
      <c r="C43" s="27" t="s">
        <v>477</v>
      </c>
      <c r="D43" s="14" t="n">
        <v>24.7755754475703</v>
      </c>
      <c r="E43" s="5" t="s">
        <v>34</v>
      </c>
      <c r="F43" s="22" t="s">
        <v>475</v>
      </c>
    </row>
    <row r="44" customFormat="false" ht="15" hidden="false" customHeight="true" outlineLevel="0" collapsed="false">
      <c r="B44" s="5" t="s">
        <v>478</v>
      </c>
      <c r="C44" s="27" t="s">
        <v>479</v>
      </c>
      <c r="D44" s="14" t="n">
        <v>73.7655423365764</v>
      </c>
      <c r="E44" s="5" t="s">
        <v>480</v>
      </c>
    </row>
    <row r="45" customFormat="false" ht="15" hidden="false" customHeight="true" outlineLevel="0" collapsed="false">
      <c r="B45" s="5" t="s">
        <v>481</v>
      </c>
      <c r="C45" s="27" t="s">
        <v>482</v>
      </c>
      <c r="D45" s="14" t="n">
        <v>23.8415904926579</v>
      </c>
      <c r="E45" s="5" t="s">
        <v>480</v>
      </c>
    </row>
    <row r="46" customFormat="false" ht="15" hidden="false" customHeight="true" outlineLevel="0" collapsed="false">
      <c r="B46" s="5" t="s">
        <v>483</v>
      </c>
      <c r="C46" s="27" t="s">
        <v>484</v>
      </c>
      <c r="D46" s="21" t="n">
        <v>0.268312636595844</v>
      </c>
      <c r="E46" s="5" t="s">
        <v>485</v>
      </c>
    </row>
    <row r="47" customFormat="false" ht="15" hidden="false" customHeight="true" outlineLevel="0" collapsed="false">
      <c r="B47" s="5" t="s">
        <v>486</v>
      </c>
      <c r="C47" s="27" t="s">
        <v>487</v>
      </c>
      <c r="D47" s="21" t="n">
        <v>0.257385182523709</v>
      </c>
      <c r="E47" s="5" t="s">
        <v>485</v>
      </c>
    </row>
    <row r="48" customFormat="false" ht="15" hidden="false" customHeight="true" outlineLevel="0" collapsed="false">
      <c r="B48" s="5" t="s">
        <v>488</v>
      </c>
      <c r="C48" s="27" t="s">
        <v>489</v>
      </c>
      <c r="D48" s="13" t="n">
        <v>129924.590909091</v>
      </c>
      <c r="E48" s="5" t="s">
        <v>480</v>
      </c>
    </row>
    <row r="49" customFormat="false" ht="15" hidden="false" customHeight="true" outlineLevel="0" collapsed="false">
      <c r="B49" s="5" t="s">
        <v>490</v>
      </c>
      <c r="C49" s="27" t="s">
        <v>491</v>
      </c>
      <c r="D49" s="13" t="n">
        <v>1761.31818181818</v>
      </c>
      <c r="E49" s="5" t="s">
        <v>480</v>
      </c>
    </row>
    <row r="50" customFormat="false" ht="15" hidden="false" customHeight="true" outlineLevel="0" collapsed="false">
      <c r="B50" s="5" t="s">
        <v>492</v>
      </c>
      <c r="C50" s="27" t="s">
        <v>493</v>
      </c>
      <c r="D50" s="14" t="n">
        <v>13.0909090909091</v>
      </c>
      <c r="E50" s="5" t="s">
        <v>480</v>
      </c>
    </row>
    <row r="51" customFormat="false" ht="15" hidden="false" customHeight="true" outlineLevel="0" collapsed="false">
      <c r="B51" s="5" t="s">
        <v>494</v>
      </c>
      <c r="C51" s="27" t="s">
        <v>495</v>
      </c>
      <c r="D51" s="6" t="n">
        <v>21</v>
      </c>
      <c r="E51" s="5" t="s">
        <v>35</v>
      </c>
      <c r="F51" s="22" t="s">
        <v>496</v>
      </c>
    </row>
    <row r="52" customFormat="false" ht="15" hidden="false" customHeight="true" outlineLevel="0" collapsed="false">
      <c r="B52" s="5" t="s">
        <v>497</v>
      </c>
      <c r="C52" s="27" t="s">
        <v>498</v>
      </c>
      <c r="D52" s="13" t="n">
        <v>216177.2</v>
      </c>
      <c r="E52" s="5" t="s">
        <v>35</v>
      </c>
      <c r="F52" s="22" t="s">
        <v>153</v>
      </c>
    </row>
    <row r="53" customFormat="false" ht="15" hidden="false" customHeight="true" outlineLevel="0" collapsed="false">
      <c r="B53" s="5" t="s">
        <v>499</v>
      </c>
      <c r="C53" s="27" t="s">
        <v>500</v>
      </c>
      <c r="D53" s="21" t="n">
        <v>0.272697982870364</v>
      </c>
      <c r="E53" s="5" t="s">
        <v>35</v>
      </c>
    </row>
    <row r="54" customFormat="false" ht="15" hidden="false" customHeight="true" outlineLevel="0" collapsed="false">
      <c r="B54" s="5" t="s">
        <v>501</v>
      </c>
      <c r="C54" s="27" t="s">
        <v>502</v>
      </c>
      <c r="D54" s="13" t="n">
        <v>279</v>
      </c>
      <c r="E54" s="5" t="s">
        <v>35</v>
      </c>
      <c r="F54" s="22" t="s">
        <v>503</v>
      </c>
    </row>
    <row r="55" customFormat="false" ht="15" hidden="false" customHeight="true" outlineLevel="0" collapsed="false">
      <c r="B55" s="5" t="s">
        <v>504</v>
      </c>
      <c r="C55" s="27" t="s">
        <v>505</v>
      </c>
      <c r="D55" s="21" t="n">
        <v>-0.0835713369669766</v>
      </c>
      <c r="E55" s="5" t="s">
        <v>415</v>
      </c>
    </row>
    <row r="56" customFormat="false" ht="15" hidden="false" customHeight="true" outlineLevel="0" collapsed="false">
      <c r="B56" s="5" t="s">
        <v>506</v>
      </c>
      <c r="C56" s="27" t="s">
        <v>507</v>
      </c>
      <c r="D56" s="14" t="n">
        <v>73.7655423365764</v>
      </c>
      <c r="E56" s="5" t="s">
        <v>480</v>
      </c>
    </row>
    <row r="60" customFormat="false" ht="15" hidden="false" customHeight="true" outlineLevel="0" collapsed="false">
      <c r="B60" s="4" t="s">
        <v>63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64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65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66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67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68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69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70</v>
      </c>
      <c r="C67" s="3"/>
      <c r="D67" s="3"/>
      <c r="E67" s="3"/>
      <c r="F67" s="3"/>
    </row>
    <row r="68" customFormat="false" ht="15" hidden="false" customHeight="true" outlineLevel="0" collapsed="false">
      <c r="B68" s="3" t="s">
        <v>71</v>
      </c>
      <c r="C68" s="3"/>
      <c r="D68" s="3"/>
      <c r="E68" s="3"/>
      <c r="F68" s="3"/>
    </row>
    <row r="69" customFormat="false" ht="15" hidden="false" customHeight="true" outlineLevel="0" collapsed="false">
      <c r="B69" s="3" t="s">
        <v>72</v>
      </c>
      <c r="C69" s="3"/>
      <c r="D69" s="3"/>
      <c r="E69" s="3"/>
      <c r="F69" s="3"/>
    </row>
    <row r="70" customFormat="false" ht="15" hidden="false" customHeight="true" outlineLevel="0" collapsed="false">
      <c r="B70" s="3" t="s">
        <v>73</v>
      </c>
      <c r="C70" s="3"/>
      <c r="D70" s="3"/>
      <c r="E70" s="3"/>
      <c r="F70" s="3"/>
    </row>
    <row r="71" customFormat="false" ht="15" hidden="false" customHeight="true" outlineLevel="0" collapsed="false">
      <c r="B71" s="3" t="s">
        <v>74</v>
      </c>
      <c r="C71" s="3"/>
      <c r="D71" s="3"/>
      <c r="E71" s="3"/>
      <c r="F71" s="3"/>
    </row>
    <row r="72" customFormat="false" ht="15" hidden="false" customHeight="true" outlineLevel="0" collapsed="false">
      <c r="B72" s="3" t="s">
        <v>508</v>
      </c>
      <c r="C72" s="3"/>
      <c r="D72" s="3"/>
      <c r="E72" s="3"/>
      <c r="F72" s="3"/>
    </row>
  </sheetData>
  <mergeCells count="15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509</v>
      </c>
      <c r="C2" s="2"/>
      <c r="D2" s="2"/>
      <c r="E2" s="2"/>
      <c r="F2" s="2"/>
    </row>
    <row r="4" customFormat="false" ht="15" hidden="false" customHeight="true" outlineLevel="0" collapsed="false">
      <c r="B4" s="10" t="s">
        <v>510</v>
      </c>
      <c r="C4" s="10" t="s">
        <v>511</v>
      </c>
      <c r="D4" s="10" t="s">
        <v>512</v>
      </c>
      <c r="E4" s="10" t="s">
        <v>364</v>
      </c>
      <c r="F4" s="10" t="s">
        <v>365</v>
      </c>
    </row>
    <row r="5" customFormat="false" ht="15" hidden="false" customHeight="true" outlineLevel="0" collapsed="false">
      <c r="B5" s="4" t="s">
        <v>513</v>
      </c>
      <c r="C5" s="4"/>
      <c r="D5" s="4"/>
      <c r="E5" s="4"/>
      <c r="F5" s="4"/>
    </row>
    <row r="6" customFormat="false" ht="15" hidden="false" customHeight="true" outlineLevel="0" collapsed="false">
      <c r="B6" s="5" t="s">
        <v>514</v>
      </c>
      <c r="C6" s="11" t="n">
        <v>766929.01</v>
      </c>
      <c r="D6" s="11" t="n">
        <v>766929.01</v>
      </c>
      <c r="E6" s="11" t="n">
        <f aca="false">C6-D6</f>
        <v>0</v>
      </c>
      <c r="F6" s="6" t="str">
        <f aca="false">IF(ABS(E6)&lt;=1,"TIES",IF(ABS(E6)&lt;=ABS(D6)*0.05,"WITHIN","OFF"))</f>
        <v>TIES</v>
      </c>
    </row>
    <row r="7" customFormat="false" ht="15" hidden="false" customHeight="true" outlineLevel="0" collapsed="false">
      <c r="B7" s="5" t="s">
        <v>515</v>
      </c>
      <c r="C7" s="11" t="n">
        <v>735694.62</v>
      </c>
      <c r="D7" s="11" t="n">
        <v>735694.62</v>
      </c>
      <c r="E7" s="11" t="n">
        <f aca="false">C7-D7</f>
        <v>0</v>
      </c>
      <c r="F7" s="6" t="str">
        <f aca="false">IF(ABS(E7)&lt;=1,"TIES",IF(ABS(E7)&lt;=ABS(D7)*0.05,"WITHIN","OFF"))</f>
        <v>TIES</v>
      </c>
    </row>
    <row r="8" customFormat="false" ht="15" hidden="false" customHeight="true" outlineLevel="0" collapsed="false">
      <c r="B8" s="5" t="s">
        <v>516</v>
      </c>
      <c r="C8" s="11" t="n">
        <v>33267.19</v>
      </c>
      <c r="D8" s="11" t="n">
        <v>33267.19</v>
      </c>
      <c r="E8" s="11" t="n">
        <f aca="false">C8-D8</f>
        <v>0</v>
      </c>
      <c r="F8" s="6" t="str">
        <f aca="false">IF(ABS(E8)&lt;=1,"TIES",IF(ABS(E8)&lt;=ABS(D8)*0.05,"WITHIN","OFF"))</f>
        <v>TIES</v>
      </c>
    </row>
    <row r="9" customFormat="false" ht="15" hidden="false" customHeight="true" outlineLevel="0" collapsed="false">
      <c r="B9" s="5" t="s">
        <v>517</v>
      </c>
      <c r="C9" s="11" t="n">
        <v>398612.39</v>
      </c>
      <c r="D9" s="11" t="n">
        <v>398612.39</v>
      </c>
      <c r="E9" s="11" t="n">
        <f aca="false">C9-D9</f>
        <v>0</v>
      </c>
      <c r="F9" s="6" t="str">
        <f aca="false">IF(ABS(E9)&lt;=1,"TIES",IF(ABS(E9)&lt;=ABS(D9)*0.05,"WITHIN","OFF"))</f>
        <v>TIES</v>
      </c>
    </row>
    <row r="10" customFormat="false" ht="15" hidden="false" customHeight="true" outlineLevel="0" collapsed="false">
      <c r="B10" s="5" t="s">
        <v>518</v>
      </c>
      <c r="C10" s="11" t="n">
        <v>1934503.21</v>
      </c>
      <c r="D10" s="11" t="n">
        <v>1934503.21</v>
      </c>
      <c r="E10" s="11" t="n">
        <f aca="false">C10-D10</f>
        <v>0</v>
      </c>
      <c r="F10" s="6" t="str">
        <f aca="false">IF(ABS(E10)&lt;=1,"TIES",IF(ABS(E10)&lt;=ABS(D10)*0.05,"WITHIN","OFF"))</f>
        <v>TIES</v>
      </c>
    </row>
    <row r="11" customFormat="false" ht="15" hidden="false" customHeight="true" outlineLevel="0" collapsed="false">
      <c r="B11" s="5" t="s">
        <v>519</v>
      </c>
      <c r="C11" s="11" t="n">
        <v>2852262.93</v>
      </c>
      <c r="D11" s="11" t="n">
        <v>2858341</v>
      </c>
      <c r="E11" s="11" t="n">
        <f aca="false">C11-D11</f>
        <v>-6078.06999999983</v>
      </c>
      <c r="F11" s="6" t="str">
        <f aca="false">IF(ABS(E11)&lt;=1,"TIES",IF(ABS(E11)&lt;=ABS(D11)*0.05,"WITHIN","OFF"))</f>
        <v>WITHIN</v>
      </c>
    </row>
    <row r="12" customFormat="false" ht="15" hidden="false" customHeight="true" outlineLevel="0" collapsed="false">
      <c r="B12" s="5" t="s">
        <v>520</v>
      </c>
      <c r="C12" s="11" t="n">
        <v>917759.72</v>
      </c>
      <c r="D12" s="11" t="n">
        <v>923837.79</v>
      </c>
      <c r="E12" s="11" t="n">
        <f aca="false">C12-D12</f>
        <v>-6078.07000000007</v>
      </c>
      <c r="F12" s="6" t="str">
        <f aca="false">IF(ABS(E12)&lt;=1,"TIES",IF(ABS(E12)&lt;=ABS(D12)*0.05,"WITHIN","OFF"))</f>
        <v>WITHIN</v>
      </c>
    </row>
    <row r="14" customFormat="false" ht="15" hidden="false" customHeight="true" outlineLevel="0" collapsed="false">
      <c r="B14" s="4" t="s">
        <v>521</v>
      </c>
      <c r="C14" s="4"/>
      <c r="D14" s="4"/>
      <c r="E14" s="4"/>
      <c r="F14" s="4"/>
    </row>
    <row r="15" customFormat="false" ht="15" hidden="false" customHeight="true" outlineLevel="0" collapsed="false">
      <c r="B15" s="5" t="s">
        <v>522</v>
      </c>
      <c r="C15" s="28" t="n">
        <v>38749</v>
      </c>
      <c r="D15" s="28" t="n">
        <v>38749</v>
      </c>
      <c r="E15" s="28" t="n">
        <f aca="false">C15-D15</f>
        <v>0</v>
      </c>
      <c r="F15" s="6" t="str">
        <f aca="false">IF(ABS(E15)&lt;=5,"TIES",IF(ABS(E15)&lt;=ABS(D15)*0.05,"WITHIN","OFF"))</f>
        <v>TIES</v>
      </c>
    </row>
    <row r="16" customFormat="false" ht="15" hidden="false" customHeight="true" outlineLevel="0" collapsed="false">
      <c r="B16" s="5" t="s">
        <v>523</v>
      </c>
      <c r="C16" s="28" t="n">
        <v>38007.5</v>
      </c>
      <c r="D16" s="28" t="n">
        <v>38749</v>
      </c>
      <c r="E16" s="28" t="n">
        <f aca="false">C16-D16</f>
        <v>-741.5</v>
      </c>
      <c r="F16" s="6" t="str">
        <f aca="false">IF(ABS(E16)&lt;=5,"TIES",IF(ABS(E16)&lt;=ABS(D16)*0.05,"WITHIN","OFF"))</f>
        <v>WITHIN</v>
      </c>
    </row>
    <row r="18" customFormat="false" ht="15" hidden="false" customHeight="true" outlineLevel="0" collapsed="false">
      <c r="B18" s="4" t="s">
        <v>524</v>
      </c>
      <c r="C18" s="4"/>
      <c r="D18" s="4"/>
      <c r="E18" s="4"/>
      <c r="F18" s="4"/>
    </row>
    <row r="19" customFormat="false" ht="15" hidden="false" customHeight="true" outlineLevel="0" collapsed="false">
      <c r="B19" s="5" t="s">
        <v>340</v>
      </c>
      <c r="C19" s="11" t="n">
        <v>2858341</v>
      </c>
      <c r="D19" s="11" t="n">
        <v>2858341</v>
      </c>
      <c r="E19" s="11" t="n">
        <f aca="false">C19-D19</f>
        <v>0</v>
      </c>
      <c r="F19" s="6" t="str">
        <f aca="false">IF(ABS(E19)&lt;=1,"TIES",IF(ABS(E19)&lt;=ABS(D19)*0.05,"WITHIN","OFF"))</f>
        <v>TIES</v>
      </c>
    </row>
    <row r="20" customFormat="false" ht="15" hidden="false" customHeight="true" outlineLevel="0" collapsed="false">
      <c r="B20" s="5" t="s">
        <v>366</v>
      </c>
      <c r="C20" s="11" t="n">
        <v>142517</v>
      </c>
      <c r="D20" s="11" t="n">
        <v>142517</v>
      </c>
      <c r="E20" s="11" t="n">
        <f aca="false">C20-D20</f>
        <v>0</v>
      </c>
      <c r="F20" s="6" t="str">
        <f aca="false">IF(ABS(E20)&lt;=1,"TIES",IF(ABS(E20)&lt;=ABS(D20)*0.05,"WITHIN","OFF"))</f>
        <v>TIES</v>
      </c>
    </row>
    <row r="21" customFormat="false" ht="15" hidden="false" customHeight="true" outlineLevel="0" collapsed="false">
      <c r="B21" s="5" t="s">
        <v>131</v>
      </c>
      <c r="C21" s="11" t="n">
        <v>1934503.21</v>
      </c>
      <c r="D21" s="11" t="n">
        <v>1934503.21</v>
      </c>
      <c r="E21" s="11" t="n">
        <f aca="false">C21-D21</f>
        <v>0</v>
      </c>
      <c r="F21" s="6" t="str">
        <f aca="false">IF(ABS(E21)&lt;=1,"TIES",IF(ABS(E21)&lt;=ABS(D21)*0.05,"WITHIN","OFF"))</f>
        <v>TIES</v>
      </c>
    </row>
    <row r="23" customFormat="false" ht="15" hidden="false" customHeight="true" outlineLevel="0" collapsed="false">
      <c r="B23" s="4" t="s">
        <v>525</v>
      </c>
      <c r="C23" s="4"/>
      <c r="D23" s="4"/>
      <c r="E23" s="4"/>
      <c r="F23" s="4"/>
    </row>
    <row r="24" customFormat="false" ht="15" hidden="false" customHeight="true" outlineLevel="0" collapsed="false">
      <c r="B24" s="5" t="s">
        <v>526</v>
      </c>
      <c r="C24" s="11" t="n">
        <v>792734.87</v>
      </c>
      <c r="D24" s="11" t="n">
        <v>792735</v>
      </c>
      <c r="E24" s="11" t="n">
        <f aca="false">C24-D24</f>
        <v>-0.130000000004657</v>
      </c>
      <c r="F24" s="6" t="str">
        <f aca="false">IF(ABS(E24)&lt;=5,"TIES",IF(ABS(E24)&lt;=ABS(D24)*0.05,"WITHIN","OFF"))</f>
        <v>TIES</v>
      </c>
    </row>
    <row r="28" customFormat="false" ht="15" hidden="false" customHeight="true" outlineLevel="0" collapsed="false">
      <c r="B28" s="4" t="s">
        <v>63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64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65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66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67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68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69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70</v>
      </c>
      <c r="C35" s="3"/>
      <c r="D35" s="3"/>
      <c r="E35" s="3"/>
      <c r="F35" s="3"/>
    </row>
    <row r="36" customFormat="false" ht="15" hidden="false" customHeight="true" outlineLevel="0" collapsed="false">
      <c r="B36" s="3" t="s">
        <v>71</v>
      </c>
      <c r="C36" s="3"/>
      <c r="D36" s="3"/>
      <c r="E36" s="3"/>
      <c r="F36" s="3"/>
    </row>
    <row r="37" customFormat="false" ht="15" hidden="false" customHeight="true" outlineLevel="0" collapsed="false">
      <c r="B37" s="3" t="s">
        <v>72</v>
      </c>
      <c r="C37" s="3"/>
      <c r="D37" s="3"/>
      <c r="E37" s="3"/>
      <c r="F37" s="3"/>
    </row>
    <row r="38" customFormat="false" ht="15" hidden="false" customHeight="true" outlineLevel="0" collapsed="false">
      <c r="B38" s="3" t="s">
        <v>73</v>
      </c>
      <c r="C38" s="3"/>
      <c r="D38" s="3"/>
      <c r="E38" s="3"/>
      <c r="F38" s="3"/>
    </row>
    <row r="39" customFormat="false" ht="15" hidden="false" customHeight="true" outlineLevel="0" collapsed="false">
      <c r="B39" s="3" t="s">
        <v>74</v>
      </c>
      <c r="C39" s="3"/>
      <c r="D39" s="3"/>
      <c r="E39" s="3"/>
      <c r="F39" s="3"/>
    </row>
    <row r="40" customFormat="false" ht="15" hidden="false" customHeight="true" outlineLevel="0" collapsed="false">
      <c r="B40" s="3" t="s">
        <v>527</v>
      </c>
      <c r="C40" s="3"/>
      <c r="D40" s="3"/>
      <c r="E40" s="3"/>
      <c r="F40" s="3"/>
    </row>
  </sheetData>
  <mergeCells count="18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29" t="s">
        <v>528</v>
      </c>
      <c r="B1" s="29"/>
      <c r="C1" s="29"/>
      <c r="D1" s="29"/>
      <c r="E1" s="29"/>
      <c r="F1" s="29"/>
      <c r="G1" s="29"/>
    </row>
    <row r="3" customFormat="false" ht="15" hidden="false" customHeight="false" outlineLevel="0" collapsed="false">
      <c r="A3" s="30" t="s">
        <v>529</v>
      </c>
      <c r="B3" s="31" t="n">
        <v>21</v>
      </c>
      <c r="D3" s="30" t="s">
        <v>530</v>
      </c>
      <c r="E3" s="31" t="s">
        <v>153</v>
      </c>
    </row>
    <row r="4" customFormat="false" ht="15" hidden="false" customHeight="false" outlineLevel="0" collapsed="false">
      <c r="A4" s="30" t="s">
        <v>531</v>
      </c>
      <c r="B4" s="31" t="n">
        <v>545</v>
      </c>
      <c r="D4" s="30" t="s">
        <v>532</v>
      </c>
      <c r="E4" s="32" t="n">
        <f aca="false">609719.38/792734.87</f>
        <v>0.769134048562794</v>
      </c>
    </row>
    <row r="5" customFormat="false" ht="15" hidden="false" customHeight="false" outlineLevel="0" collapsed="false">
      <c r="A5" s="30" t="s">
        <v>533</v>
      </c>
      <c r="B5" s="33" t="n">
        <v>792734.87</v>
      </c>
      <c r="D5" s="30" t="s">
        <v>534</v>
      </c>
      <c r="E5" s="34" t="s">
        <v>535</v>
      </c>
    </row>
    <row r="6" customFormat="false" ht="15" hidden="false" customHeight="false" outlineLevel="0" collapsed="false">
      <c r="A6" s="30" t="s">
        <v>536</v>
      </c>
      <c r="B6" s="35" t="n">
        <f aca="false">B5/B4</f>
        <v>1454.55939449541</v>
      </c>
    </row>
    <row r="8" customFormat="false" ht="19.5" hidden="false" customHeight="true" outlineLevel="0" collapsed="false">
      <c r="A8" s="36" t="s">
        <v>537</v>
      </c>
      <c r="B8" s="36" t="s">
        <v>148</v>
      </c>
      <c r="C8" s="36" t="s">
        <v>538</v>
      </c>
      <c r="D8" s="36" t="s">
        <v>531</v>
      </c>
      <c r="E8" s="36" t="s">
        <v>150</v>
      </c>
      <c r="F8" s="36" t="s">
        <v>151</v>
      </c>
      <c r="G8" s="36" t="s">
        <v>539</v>
      </c>
    </row>
    <row r="9" customFormat="false" ht="15" hidden="false" customHeight="false" outlineLevel="0" collapsed="false">
      <c r="A9" s="37" t="n">
        <v>1</v>
      </c>
      <c r="B9" s="38" t="s">
        <v>153</v>
      </c>
      <c r="C9" s="37"/>
      <c r="D9" s="37" t="n">
        <v>121</v>
      </c>
      <c r="E9" s="39" t="n">
        <v>216177.2</v>
      </c>
      <c r="F9" s="40" t="n">
        <f aca="false">E9/E$30</f>
        <v>0.272697982870364</v>
      </c>
      <c r="G9" s="41" t="n">
        <f aca="false">E9/D9</f>
        <v>1786.58842975207</v>
      </c>
    </row>
    <row r="10" customFormat="false" ht="15" hidden="false" customHeight="false" outlineLevel="0" collapsed="false">
      <c r="A10" s="37" t="n">
        <v>2</v>
      </c>
      <c r="B10" s="38" t="s">
        <v>154</v>
      </c>
      <c r="C10" s="37"/>
      <c r="D10" s="37" t="n">
        <v>101</v>
      </c>
      <c r="E10" s="39" t="n">
        <v>204979.52</v>
      </c>
      <c r="F10" s="40" t="n">
        <f aca="false">E10/E$30</f>
        <v>0.258572604482505</v>
      </c>
      <c r="G10" s="41" t="n">
        <f aca="false">E10/D10</f>
        <v>2029.5001980198</v>
      </c>
    </row>
    <row r="11" customFormat="false" ht="15" hidden="false" customHeight="false" outlineLevel="0" collapsed="false">
      <c r="A11" s="37" t="n">
        <v>3</v>
      </c>
      <c r="B11" s="38" t="s">
        <v>155</v>
      </c>
      <c r="C11" s="37"/>
      <c r="D11" s="37" t="n">
        <v>172</v>
      </c>
      <c r="E11" s="39" t="n">
        <v>188562.66</v>
      </c>
      <c r="F11" s="40" t="n">
        <f aca="false">E11/E$30</f>
        <v>0.237863461209925</v>
      </c>
      <c r="G11" s="41" t="n">
        <f aca="false">E11/D11</f>
        <v>1096.29453488372</v>
      </c>
    </row>
    <row r="12" customFormat="false" ht="15" hidden="false" customHeight="false" outlineLevel="0" collapsed="false">
      <c r="A12" s="42" t="n">
        <v>4</v>
      </c>
      <c r="B12" s="43" t="s">
        <v>156</v>
      </c>
      <c r="C12" s="42"/>
      <c r="D12" s="42" t="n">
        <v>4</v>
      </c>
      <c r="E12" s="44" t="n">
        <v>67935.82</v>
      </c>
      <c r="F12" s="45" t="n">
        <f aca="false">E12/E$30</f>
        <v>0.0856980341990002</v>
      </c>
      <c r="G12" s="46" t="n">
        <f aca="false">E12/D12</f>
        <v>16983.955</v>
      </c>
    </row>
    <row r="13" customFormat="false" ht="15" hidden="false" customHeight="false" outlineLevel="0" collapsed="false">
      <c r="A13" s="47" t="n">
        <v>5</v>
      </c>
      <c r="B13" s="48" t="s">
        <v>157</v>
      </c>
      <c r="C13" s="47"/>
      <c r="D13" s="47" t="n">
        <v>11</v>
      </c>
      <c r="E13" s="49" t="n">
        <v>47819.57</v>
      </c>
      <c r="F13" s="50" t="n">
        <f aca="false">E13/E$30</f>
        <v>0.0603222739527025</v>
      </c>
      <c r="G13" s="51" t="n">
        <f aca="false">E13/D13</f>
        <v>4347.23363636364</v>
      </c>
    </row>
    <row r="14" customFormat="false" ht="15" hidden="false" customHeight="false" outlineLevel="0" collapsed="false">
      <c r="A14" s="42" t="n">
        <v>6</v>
      </c>
      <c r="B14" s="43" t="s">
        <v>158</v>
      </c>
      <c r="C14" s="42"/>
      <c r="D14" s="42" t="n">
        <v>40</v>
      </c>
      <c r="E14" s="44" t="n">
        <v>23301.34</v>
      </c>
      <c r="F14" s="45" t="n">
        <f aca="false">E14/E$30</f>
        <v>0.0293936105018315</v>
      </c>
      <c r="G14" s="46" t="n">
        <f aca="false">E14/D14</f>
        <v>582.5335</v>
      </c>
    </row>
    <row r="15" customFormat="false" ht="15" hidden="false" customHeight="false" outlineLevel="0" collapsed="false">
      <c r="A15" s="47" t="n">
        <v>7</v>
      </c>
      <c r="B15" s="48" t="s">
        <v>159</v>
      </c>
      <c r="C15" s="47"/>
      <c r="D15" s="47" t="n">
        <v>5</v>
      </c>
      <c r="E15" s="49" t="n">
        <v>15202</v>
      </c>
      <c r="F15" s="50" t="n">
        <f aca="false">E15/E$30</f>
        <v>0.0191766510788153</v>
      </c>
      <c r="G15" s="51" t="n">
        <f aca="false">E15/D15</f>
        <v>3040.4</v>
      </c>
    </row>
    <row r="16" customFormat="false" ht="15" hidden="false" customHeight="false" outlineLevel="0" collapsed="false">
      <c r="A16" s="42" t="n">
        <v>8</v>
      </c>
      <c r="B16" s="43" t="s">
        <v>160</v>
      </c>
      <c r="C16" s="42"/>
      <c r="D16" s="42" t="n">
        <v>13</v>
      </c>
      <c r="E16" s="44" t="n">
        <v>8585</v>
      </c>
      <c r="F16" s="45" t="n">
        <f aca="false">E16/E$30</f>
        <v>0.0108295980470747</v>
      </c>
      <c r="G16" s="46" t="n">
        <f aca="false">E16/D16</f>
        <v>660.384615384615</v>
      </c>
    </row>
    <row r="17" customFormat="false" ht="15" hidden="false" customHeight="false" outlineLevel="0" collapsed="false">
      <c r="A17" s="47" t="n">
        <v>9</v>
      </c>
      <c r="B17" s="48" t="s">
        <v>161</v>
      </c>
      <c r="C17" s="47"/>
      <c r="D17" s="47" t="n">
        <v>5</v>
      </c>
      <c r="E17" s="49" t="n">
        <v>4605</v>
      </c>
      <c r="F17" s="50" t="n">
        <f aca="false">E17/E$30</f>
        <v>0.00580900396118566</v>
      </c>
      <c r="G17" s="51" t="n">
        <f aca="false">E17/D17</f>
        <v>921</v>
      </c>
    </row>
    <row r="18" customFormat="false" ht="15" hidden="false" customHeight="false" outlineLevel="0" collapsed="false">
      <c r="A18" s="42" t="n">
        <v>10</v>
      </c>
      <c r="B18" s="43" t="s">
        <v>162</v>
      </c>
      <c r="C18" s="42"/>
      <c r="D18" s="42" t="n">
        <v>6</v>
      </c>
      <c r="E18" s="44" t="n">
        <v>3172.33</v>
      </c>
      <c r="F18" s="45" t="n">
        <f aca="false">E18/E$30</f>
        <v>0.00400175407951968</v>
      </c>
      <c r="G18" s="46" t="n">
        <f aca="false">E18/D18</f>
        <v>528.721666666667</v>
      </c>
    </row>
    <row r="19" customFormat="false" ht="15" hidden="false" customHeight="false" outlineLevel="0" collapsed="false">
      <c r="A19" s="47" t="n">
        <v>11</v>
      </c>
      <c r="B19" s="48" t="s">
        <v>163</v>
      </c>
      <c r="C19" s="47"/>
      <c r="D19" s="47" t="n">
        <v>5</v>
      </c>
      <c r="E19" s="49" t="n">
        <v>2334.26</v>
      </c>
      <c r="F19" s="50" t="n">
        <f aca="false">E19/E$30</f>
        <v>0.00294456581681591</v>
      </c>
      <c r="G19" s="51" t="n">
        <f aca="false">E19/D19</f>
        <v>466.852</v>
      </c>
    </row>
    <row r="20" customFormat="false" ht="15" hidden="false" customHeight="false" outlineLevel="0" collapsed="false">
      <c r="A20" s="42" t="n">
        <v>12</v>
      </c>
      <c r="B20" s="43" t="s">
        <v>164</v>
      </c>
      <c r="C20" s="42"/>
      <c r="D20" s="42" t="n">
        <v>8</v>
      </c>
      <c r="E20" s="44" t="n">
        <v>2331.87</v>
      </c>
      <c r="F20" s="45" t="n">
        <f aca="false">E20/E$30</f>
        <v>0.00294155093745277</v>
      </c>
      <c r="G20" s="46" t="n">
        <f aca="false">E20/D20</f>
        <v>291.48375</v>
      </c>
    </row>
    <row r="21" customFormat="false" ht="15" hidden="false" customHeight="false" outlineLevel="0" collapsed="false">
      <c r="A21" s="47" t="n">
        <v>13</v>
      </c>
      <c r="B21" s="48" t="s">
        <v>165</v>
      </c>
      <c r="C21" s="47"/>
      <c r="D21" s="47" t="n">
        <v>16</v>
      </c>
      <c r="E21" s="49" t="n">
        <v>2040.76</v>
      </c>
      <c r="F21" s="50" t="n">
        <f aca="false">E21/E$30</f>
        <v>0.0025743285393766</v>
      </c>
      <c r="G21" s="51" t="n">
        <f aca="false">E21/D21</f>
        <v>127.5475</v>
      </c>
    </row>
    <row r="22" customFormat="false" ht="15" hidden="false" customHeight="false" outlineLevel="0" collapsed="false">
      <c r="A22" s="42" t="n">
        <v>14</v>
      </c>
      <c r="B22" s="43" t="s">
        <v>166</v>
      </c>
      <c r="C22" s="42"/>
      <c r="D22" s="42" t="n">
        <v>17</v>
      </c>
      <c r="E22" s="44" t="n">
        <v>1700</v>
      </c>
      <c r="F22" s="45" t="n">
        <f aca="false">E22/E$30</f>
        <v>0.00214447486080687</v>
      </c>
      <c r="G22" s="46" t="n">
        <f aca="false">E22/D22</f>
        <v>100</v>
      </c>
    </row>
    <row r="23" customFormat="false" ht="15" hidden="false" customHeight="false" outlineLevel="0" collapsed="false">
      <c r="A23" s="47" t="n">
        <v>15</v>
      </c>
      <c r="B23" s="48" t="s">
        <v>167</v>
      </c>
      <c r="C23" s="47"/>
      <c r="D23" s="47" t="n">
        <v>3</v>
      </c>
      <c r="E23" s="49" t="n">
        <v>1302.22</v>
      </c>
      <c r="F23" s="50" t="n">
        <f aca="false">E23/E$30</f>
        <v>0.00164269297249407</v>
      </c>
      <c r="G23" s="51" t="n">
        <f aca="false">E23/D23</f>
        <v>434.073333333333</v>
      </c>
    </row>
    <row r="24" customFormat="false" ht="15" hidden="false" customHeight="false" outlineLevel="0" collapsed="false">
      <c r="A24" s="42" t="n">
        <v>16</v>
      </c>
      <c r="B24" s="43" t="s">
        <v>168</v>
      </c>
      <c r="C24" s="42"/>
      <c r="D24" s="42" t="n">
        <v>1</v>
      </c>
      <c r="E24" s="44" t="n">
        <v>945</v>
      </c>
      <c r="F24" s="45" t="n">
        <f aca="false">E24/E$30</f>
        <v>0.00119207573144852</v>
      </c>
      <c r="G24" s="46" t="n">
        <f aca="false">E24/D24</f>
        <v>945</v>
      </c>
    </row>
    <row r="25" customFormat="false" ht="15" hidden="false" customHeight="false" outlineLevel="0" collapsed="false">
      <c r="A25" s="47" t="n">
        <v>17</v>
      </c>
      <c r="B25" s="48" t="s">
        <v>169</v>
      </c>
      <c r="C25" s="47"/>
      <c r="D25" s="47" t="n">
        <v>4</v>
      </c>
      <c r="E25" s="49" t="n">
        <v>474</v>
      </c>
      <c r="F25" s="50" t="n">
        <f aca="false">E25/E$30</f>
        <v>0.000597930049424974</v>
      </c>
      <c r="G25" s="51" t="n">
        <f aca="false">E25/D25</f>
        <v>118.5</v>
      </c>
    </row>
    <row r="26" customFormat="false" ht="15" hidden="false" customHeight="false" outlineLevel="0" collapsed="false">
      <c r="A26" s="42" t="n">
        <v>18</v>
      </c>
      <c r="B26" s="43" t="s">
        <v>170</v>
      </c>
      <c r="C26" s="42"/>
      <c r="D26" s="42" t="n">
        <v>2</v>
      </c>
      <c r="E26" s="44" t="n">
        <v>458.5</v>
      </c>
      <c r="F26" s="45" t="n">
        <f aca="false">E26/E$30</f>
        <v>0.000578377484517617</v>
      </c>
      <c r="G26" s="46" t="n">
        <f aca="false">E26/D26</f>
        <v>229.25</v>
      </c>
    </row>
    <row r="27" customFormat="false" ht="15" hidden="false" customHeight="false" outlineLevel="0" collapsed="false">
      <c r="A27" s="47" t="n">
        <v>19</v>
      </c>
      <c r="B27" s="48" t="s">
        <v>171</v>
      </c>
      <c r="C27" s="47"/>
      <c r="D27" s="47" t="n">
        <v>5</v>
      </c>
      <c r="E27" s="49" t="n">
        <v>456.5</v>
      </c>
      <c r="F27" s="50" t="n">
        <f aca="false">E27/E$30</f>
        <v>0.000575854572916668</v>
      </c>
      <c r="G27" s="51" t="n">
        <f aca="false">E27/D27</f>
        <v>91.3</v>
      </c>
    </row>
    <row r="28" customFormat="false" ht="15" hidden="false" customHeight="false" outlineLevel="0" collapsed="false">
      <c r="A28" s="42" t="n">
        <v>20</v>
      </c>
      <c r="B28" s="43" t="s">
        <v>172</v>
      </c>
      <c r="C28" s="42"/>
      <c r="D28" s="42" t="n">
        <v>3</v>
      </c>
      <c r="E28" s="44" t="n">
        <v>304</v>
      </c>
      <c r="F28" s="45" t="n">
        <f aca="false">E28/E$30</f>
        <v>0.000383482563344287</v>
      </c>
      <c r="G28" s="46" t="n">
        <f aca="false">E28/D28</f>
        <v>101.333333333333</v>
      </c>
    </row>
    <row r="29" customFormat="false" ht="15" hidden="false" customHeight="false" outlineLevel="0" collapsed="false">
      <c r="A29" s="47" t="n">
        <v>21</v>
      </c>
      <c r="B29" s="48" t="s">
        <v>173</v>
      </c>
      <c r="C29" s="47"/>
      <c r="D29" s="47" t="n">
        <v>3</v>
      </c>
      <c r="E29" s="49" t="n">
        <v>47.32</v>
      </c>
      <c r="F29" s="50" t="n">
        <f aca="false">E29/E$30</f>
        <v>5.96920884784594E-005</v>
      </c>
      <c r="G29" s="51" t="n">
        <f aca="false">E29/D29</f>
        <v>15.7733333333333</v>
      </c>
    </row>
    <row r="30" customFormat="false" ht="15" hidden="false" customHeight="false" outlineLevel="0" collapsed="false">
      <c r="A30" s="52"/>
      <c r="B30" s="53" t="s">
        <v>38</v>
      </c>
      <c r="C30" s="52"/>
      <c r="D30" s="54" t="n">
        <f aca="false">SUM(D9:D29)</f>
        <v>545</v>
      </c>
      <c r="E30" s="55" t="n">
        <f aca="false">SUM(E9:E29)</f>
        <v>792734.87</v>
      </c>
      <c r="F30" s="56" t="n">
        <f aca="false">SUM(F9:F29)</f>
        <v>1</v>
      </c>
      <c r="G30" s="55" t="n">
        <f aca="false">E30/D30</f>
        <v>1454.55939449541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2026-04-09T16:47:27Z</dcterms:created>
  <dc:creator>openpyxl</dc:creator>
  <dc:description/>
  <dc:language>en-US</dc:language>
  <cp:lastModifiedBy/>
  <dcterms:modified xsi:type="dcterms:W3CDTF">2026-04-09T16:48:31Z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