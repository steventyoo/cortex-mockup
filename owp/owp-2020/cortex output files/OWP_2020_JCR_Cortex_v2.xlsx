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Job Info" sheetId="2" state="visible" r:id="rId4"/>
    <sheet name="Budget vs Actual" sheetId="3" state="visible" r:id="rId5"/>
    <sheet name="Cost Breakdown" sheetId="4" state="visible" r:id="rId6"/>
    <sheet name="Material" sheetId="5" state="visible" r:id="rId7"/>
    <sheet name="Crew &amp; Labor" sheetId="6" state="visible" r:id="rId8"/>
    <sheet name="Crew Analytics" sheetId="7" state="visible" r:id="rId9"/>
    <sheet name="Productivity" sheetId="8" state="visible" r:id="rId10"/>
    <sheet name="PO Commitments" sheetId="9" state="visible" r:id="rId11"/>
    <sheet name="Billing &amp; SOV" sheetId="10" state="visible" r:id="rId12"/>
    <sheet name="Insights" sheetId="11" state="visible" r:id="rId13"/>
    <sheet name="Benchmark KPIs" sheetId="12" state="visible" r:id="rId14"/>
    <sheet name="Change Log" sheetId="13" state="visible" r:id="rId15"/>
    <sheet name="Root Cause Analysis" sheetId="14" state="visible" r:id="rId16"/>
    <sheet name="Predictive Signals" sheetId="15" state="visible" r:id="rId17"/>
    <sheet name="Metric Registry" sheetId="16" state="visible" r:id="rId18"/>
    <sheet name="Reconciliation" sheetId="17" state="visible" r:id="rId19"/>
    <sheet name="Vendors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<sst xmlns="http://schemas.openxmlformats.org/spreadsheetml/2006/main" count="1343" uniqueCount="860">
  <si>
    <t xml:space="preserve">[CORTEX_V2.1] Job #2020 —  · Overview</t>
  </si>
  <si>
    <t xml:space="preserve">Schema CORTEX_V2.1 · canonical v2 builder · single source of truth</t>
  </si>
  <si>
    <t xml:space="preserve">OVERVIEW</t>
  </si>
  <si>
    <t xml:space="preserve">SOURCE</t>
  </si>
  <si>
    <t xml:space="preserve">IDENTITY</t>
  </si>
  <si>
    <t xml:space="preserve">Project Job Number</t>
  </si>
  <si>
    <t xml:space="preserve">2020</t>
  </si>
  <si>
    <t xml:space="preserve">Project Name:</t>
  </si>
  <si>
    <t xml:space="preserve">SRM Bellevue @ Main Apartments</t>
  </si>
  <si>
    <t xml:space="preserve">CONTRACT &amp; PARTIES</t>
  </si>
  <si>
    <t xml:space="preserve">General Contractor</t>
  </si>
  <si>
    <t xml:space="preserve">SRM Development / Exxel Pacific (Owner: Bellevue Way Ventures)</t>
  </si>
  <si>
    <t xml:space="preserve">JOB SITE</t>
  </si>
  <si>
    <t xml:space="preserve">Jobsite Location</t>
  </si>
  <si>
    <t xml:space="preserve">Bellevue, WA (15 Bellevue Way SE)</t>
  </si>
  <si>
    <t xml:space="preserve">Plumbing Units</t>
  </si>
  <si>
    <t xml:space="preserve">288</t>
  </si>
  <si>
    <t xml:space="preserve">Type A (ADA)</t>
  </si>
  <si>
    <t xml:space="preserve">Floors</t>
  </si>
  <si>
    <t xml:space="preserve">P2/P1 garage + L1 retail + Mezz + L2–L5 residential</t>
  </si>
  <si>
    <t xml:space="preserve">SCHEDULE</t>
  </si>
  <si>
    <t xml:space="preserve">Project Duration</t>
  </si>
  <si>
    <t xml:space="preserve">May 2014 – Feb 2016 (~22 months)</t>
  </si>
  <si>
    <t xml:space="preserve">SCOPE &amp; DESIGN</t>
  </si>
  <si>
    <t xml:space="preserve">Water Closets</t>
  </si>
  <si>
    <t xml:space="preserve">288+20 ADA</t>
  </si>
  <si>
    <t xml:space="preserve">Bathtub Trim</t>
  </si>
  <si>
    <t xml:space="preserve">Lav Faucets</t>
  </si>
  <si>
    <t xml:space="preserve">288 + 4 amenity</t>
  </si>
  <si>
    <t xml:space="preserve">Fixtures / Unit</t>
  </si>
  <si>
    <t xml:space="preserve">REVENUE (AR)</t>
  </si>
  <si>
    <t xml:space="preserve">NET PROFIT</t>
  </si>
  <si>
    <t xml:space="preserve">DIRECT COST</t>
  </si>
  <si>
    <t xml:space="preserve">LABOR HOURS</t>
  </si>
  <si>
    <t xml:space="preserve">$2,852,263</t>
  </si>
  <si>
    <t xml:space="preserve">$860,178</t>
  </si>
  <si>
    <t xml:space="preserve">$1,992,085</t>
  </si>
  <si>
    <t xml:space="preserve">39,280</t>
  </si>
  <si>
    <t xml:space="preserve">Final contract $2,858,341</t>
  </si>
  <si>
    <t xml:space="preserve">30.2% margin</t>
  </si>
  <si>
    <t xml:space="preserve">69.8% of revenue</t>
  </si>
  <si>
    <t xml:space="preserve">58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</si>
  <si>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</si>
  <si>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</si>
  <si>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</si>
  <si>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</si>
  <si>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</si>
  <si>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</si>
  <si>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</si>
  <si>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</si>
  <si>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</si>
  <si>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</si>
  <si>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</si>
  <si>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</si>
  <si>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</si>
  <si>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Lavatories</t>
  </si>
  <si>
    <t xml:space="preserve">Duration</t>
  </si>
  <si>
    <t xml:space="preserve">PROJECT TEAM · KEY PLAYERS</t>
  </si>
  <si>
    <t xml:space="preserve">Sourced from index.html PROJECT_TEAMS['2020'] (gold-standard team grid). GDrive contract PDFs were locked at extraction time — team data mirrors the dashboard's verified roster.</t>
  </si>
  <si>
    <t xml:space="preserve">ROLE</t>
  </si>
  <si>
    <t xml:space="preserve">NAME / VALUE</t>
  </si>
  <si>
    <t xml:space="preserve">SRM Development / Exxel Pacific (CM-at-risk)</t>
  </si>
  <si>
    <t xml:space="preserve">GC Project Manager</t>
  </si>
  <si>
    <t xml:space="preserve">Todd Rankin (early) → Erik Benzel (closeout)</t>
  </si>
  <si>
    <t xml:space="preserve">GC Superintendent</t>
  </si>
  <si>
    <t xml:space="preserve">Bill Robinson / Jared Osborn</t>
  </si>
  <si>
    <t xml:space="preserve">GC Project Engineer</t>
  </si>
  <si>
    <t xml:space="preserve">Renay Luzama</t>
  </si>
  <si>
    <t xml:space="preserve">OWP Roughin Foreman</t>
  </si>
  <si>
    <t xml:space="preserve">Nate (Veley)</t>
  </si>
  <si>
    <t xml:space="preserve">OWP Trim Foreman</t>
  </si>
  <si>
    <t xml:space="preserve">Al</t>
  </si>
  <si>
    <t xml:space="preserve">OWP Signatory</t>
  </si>
  <si>
    <t xml:space="preserve">Richard Donelson</t>
  </si>
  <si>
    <t xml:space="preserve">Owner of Record</t>
  </si>
  <si>
    <t xml:space="preserve">Bellevue Way Ventures, LLC</t>
  </si>
  <si>
    <t xml:space="preserve">Developer</t>
  </si>
  <si>
    <t xml:space="preserve">Pillar Properties / SRM</t>
  </si>
  <si>
    <t xml:space="preserve">Architect</t>
  </si>
  <si>
    <t xml:space="preserve">Benson &amp; Bohl Architects</t>
  </si>
  <si>
    <t xml:space="preserve">Structural Engineer</t>
  </si>
  <si>
    <t xml:space="preserve">DCI Engineers</t>
  </si>
  <si>
    <t xml:space="preserve">MEP / Plumbing Engineer</t>
  </si>
  <si>
    <t xml:space="preserve">Pressler Engineers</t>
  </si>
  <si>
    <t xml:space="preserve">Acoustical</t>
  </si>
  <si>
    <t xml:space="preserve">SSA Acoustics</t>
  </si>
  <si>
    <t xml:space="preserve">Civil Engineer</t>
  </si>
  <si>
    <t xml:space="preserve">TBD (not in dashboard)</t>
  </si>
  <si>
    <t xml:space="preserve">Landscape</t>
  </si>
  <si>
    <t xml:space="preserve">TBD</t>
  </si>
  <si>
    <t xml:space="preserve">Permit Number</t>
  </si>
  <si>
    <t xml:space="preserve">City of Bellevue #13-133992-BO</t>
  </si>
  <si>
    <t xml:space="preserve">Insurance</t>
  </si>
  <si>
    <t xml:space="preserve">Not Wrap (OWP carries CGL — Cert of Insurance 2016 on file)</t>
  </si>
  <si>
    <t xml:space="preserve">Lien / Priority Position</t>
  </si>
  <si>
    <t xml:space="preserve">Subordination + Priority agreements both on file (Bellevue Way Subordination 04/15/14)</t>
  </si>
  <si>
    <t xml:space="preserve">Warranty</t>
  </si>
  <si>
    <t xml:space="preserve">Bellevue Way Ventures Warranty (LH) — 1 yr standard plumbing</t>
  </si>
  <si>
    <t xml:space="preserve">Site Address</t>
  </si>
  <si>
    <t xml:space="preserve">15 Bellevue Way SE, Bellevue, WA</t>
  </si>
  <si>
    <t xml:space="preserve">Delivery Route</t>
  </si>
  <si>
    <t xml:space="preserve">Bellevue at Main – Delivery Truck Route.pdf (on file)</t>
  </si>
  <si>
    <t xml:space="preserve">Contract on File</t>
  </si>
  <si>
    <t xml:space="preserve">One Way Plumbing Executed Contract OCR_D.pdf · Contract folder</t>
  </si>
  <si>
    <t xml:space="preserve">GDrive Notes</t>
  </si>
  <si>
    <t xml:space="preserve">Folder accessible; PDFs deadlocked at this run — team data sourced from dashboard PROJECT_TEAMS['2020']</t>
  </si>
  <si>
    <t xml:space="preserve">JOB #2020 · PROJECT INFORMATION &amp; KEY PLAYERS</t>
  </si>
  <si>
    <t xml:space="preserve">Comprehensive project metadata. Sourced from JDR + index.html PROJECT_TEAMS + GDrive scan (PDF deadlock noted).</t>
  </si>
  <si>
    <t xml:space="preserve">Job Number</t>
  </si>
  <si>
    <t xml:space="preserve">Job Name</t>
  </si>
  <si>
    <t xml:space="preserve">Project Type</t>
  </si>
  <si>
    <t xml:space="preserve">6-story 288-unit luxury multifamily + retail</t>
  </si>
  <si>
    <t xml:space="preserve">Location</t>
  </si>
  <si>
    <t xml:space="preserve">Permit</t>
  </si>
  <si>
    <t xml:space="preserve">Project Start</t>
  </si>
  <si>
    <t xml:space="preserve">May 2014</t>
  </si>
  <si>
    <t xml:space="preserve">Project End</t>
  </si>
  <si>
    <t xml:space="preserve">Feb 2016</t>
  </si>
  <si>
    <t xml:space="preserve">~22 months</t>
  </si>
  <si>
    <t xml:space="preserve">CONTRACT &amp; FINANCIALS</t>
  </si>
  <si>
    <t xml:space="preserve">Original Contract</t>
  </si>
  <si>
    <t xml:space="preserve">$3,119,000</t>
  </si>
  <si>
    <t xml:space="preserve">Net Change Orders</t>
  </si>
  <si>
    <t xml:space="preserve">($260,659)</t>
  </si>
  <si>
    <t xml:space="preserve">Final Contract</t>
  </si>
  <si>
    <t xml:space="preserve">$2,858,341</t>
  </si>
  <si>
    <t xml:space="preserve">Revenue (AR)</t>
  </si>
  <si>
    <t xml:space="preserve">Direct Cost</t>
  </si>
  <si>
    <t xml:space="preserve">Net Profit</t>
  </si>
  <si>
    <t xml:space="preserve">Gross Margin</t>
  </si>
  <si>
    <t xml:space="preserve">30.2%</t>
  </si>
  <si>
    <t xml:space="preserve">Retainage Outstanding</t>
  </si>
  <si>
    <t xml:space="preserve">$142,917</t>
  </si>
  <si>
    <t xml:space="preserve">Lien Position</t>
  </si>
  <si>
    <t xml:space="preserve">SCOPE</t>
  </si>
  <si>
    <t xml:space="preserve">Total Fixtures</t>
  </si>
  <si>
    <t xml:space="preserve">1,564</t>
  </si>
  <si>
    <t xml:space="preserve">Fixture Counts</t>
  </si>
  <si>
    <t xml:space="preserve">288 toilets (+20 ADA), 288 lavs (+4 amenity), 257 kitchen faucets</t>
  </si>
  <si>
    <t xml:space="preserve">PROJECT TEAM — GENERAL CONTRACTOR</t>
  </si>
  <si>
    <t xml:space="preserve">PROJECT TEAM — OWP STAFF</t>
  </si>
  <si>
    <t xml:space="preserve">PROJECT TEAM — OWNER &amp; DEVELOPMENT</t>
  </si>
  <si>
    <t xml:space="preserve">PROJECT TEAM — DESIGN</t>
  </si>
  <si>
    <t xml:space="preserve">ADA Consultant</t>
  </si>
  <si>
    <t xml:space="preserve">n/a (not flagged in 2020)</t>
  </si>
  <si>
    <t xml:space="preserve">Interior Designer</t>
  </si>
  <si>
    <t xml:space="preserve">CHANGE-EVENT META</t>
  </si>
  <si>
    <t xml:space="preserve">Total CO/COR/Backcharge events</t>
  </si>
  <si>
    <t xml:space="preserve">13</t>
  </si>
  <si>
    <t xml:space="preserve">Executed COs</t>
  </si>
  <si>
    <t xml:space="preserve">9</t>
  </si>
  <si>
    <t xml:space="preserve">Unexecuted CORs</t>
  </si>
  <si>
    <t xml:space="preserve">2</t>
  </si>
  <si>
    <t xml:space="preserve">Backcharges</t>
  </si>
  <si>
    <t xml:space="preserve">1</t>
  </si>
  <si>
    <t xml:space="preserve">RFIs</t>
  </si>
  <si>
    <t xml:space="preserve">56</t>
  </si>
  <si>
    <t xml:space="preserve">Submittals</t>
  </si>
  <si>
    <t xml:space="preserve">206</t>
  </si>
  <si>
    <t xml:space="preserve">POs</t>
  </si>
  <si>
    <t xml:space="preserve">279</t>
  </si>
  <si>
    <t xml:space="preserve">Net CO Cost Impact</t>
  </si>
  <si>
    <t xml:space="preserve">$127,362</t>
  </si>
  <si>
    <t xml:space="preserve">DATA SOURCES</t>
  </si>
  <si>
    <t xml:space="preserve">JDR PDF</t>
  </si>
  <si>
    <t xml:space="preserve">2020 Job Detail Report.pdf (352 pages, Apr 03 2026 run)</t>
  </si>
  <si>
    <t xml:space="preserve">Parsed Data</t>
  </si>
  <si>
    <t xml:space="preserve">2020_data.json</t>
  </si>
  <si>
    <t xml:space="preserve">Dashboard Arrays</t>
  </si>
  <si>
    <t xml:space="preserve">2020_dashboard_arrays.json (16 arrays from index.html PROJECTS['2020'])</t>
  </si>
  <si>
    <t xml:space="preserve">Sam Gold Standard</t>
  </si>
  <si>
    <t xml:space="preserve">JCR Test Labels — Job 2020.xlsx</t>
  </si>
  <si>
    <t xml:space="preserve">GDrive Folder</t>
  </si>
  <si>
    <t xml:space="preserve">2020-SRM, Bellevue @ Main/ (Job Books - Completed Jobs)</t>
  </si>
  <si>
    <t xml:space="preserve">GDrive Status</t>
  </si>
  <si>
    <t xml:space="preserve">[CORTEX_V2.1] Job #2020 —  · Budget vs Actual</t>
  </si>
  <si>
    <t xml:space="preserve">cost_code</t>
  </si>
  <si>
    <t xml:space="preserve">description</t>
  </si>
  <si>
    <t xml:space="preserve">original_budget</t>
  </si>
  <si>
    <t xml:space="preserve">revised_budget</t>
  </si>
  <si>
    <t xml:space="preserve">actual</t>
  </si>
  <si>
    <t xml:space="preserve">variance</t>
  </si>
  <si>
    <t xml:space="preserve">pct_used</t>
  </si>
  <si>
    <t xml:space="preserve">hours</t>
  </si>
  <si>
    <t xml:space="preserve">source</t>
  </si>
  <si>
    <t xml:space="preserve">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</si>
  <si>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</si>
  <si>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</si>
  <si>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</si>
  <si>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</si>
  <si>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</si>
  <si>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</si>
  <si>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</si>
  <si>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</si>
  <si>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</si>
  <si>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</si>
  <si>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113</t>
  </si>
  <si>
    <t xml:space="preserve">Foundation Drain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</si>
  <si>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</si>
  <si>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</si>
  <si>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</si>
  <si>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</si>
  <si>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</si>
  <si>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</si>
  <si>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</si>
  <si>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</si>
  <si>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</si>
  <si>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</si>
  <si>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143</t>
  </si>
  <si>
    <t xml:space="preserve">Condensation Drains Labor</t>
  </si>
  <si>
    <t xml:space="preserve">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</si>
  <si>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</si>
  <si>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</si>
  <si>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</si>
  <si>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</si>
  <si>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</si>
  <si>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</si>
  <si>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</si>
  <si>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</si>
  <si>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</si>
  <si>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</si>
  <si>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</si>
  <si>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</si>
  <si>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</si>
  <si>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</si>
  <si>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</si>
  <si>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</si>
  <si>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243</t>
  </si>
  <si>
    <t xml:space="preserve">Condensation Drains Mat</t>
  </si>
  <si>
    <t xml:space="preserve">OVERHEAD</t>
  </si>
  <si>
    <t xml:space="preserve">600</t>
  </si>
  <si>
    <t xml:space="preserve">Subcontractor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</si>
  <si>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</si>
  <si>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</si>
  <si>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</si>
  <si>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</si>
  <si>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606</t>
  </si>
  <si>
    <t xml:space="preserve">Shop Labor</t>
  </si>
  <si>
    <t xml:space="preserve">607</t>
  </si>
  <si>
    <t xml:space="preserve">Other Expenses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</si>
  <si>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</si>
  <si>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</si>
  <si>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</si>
  <si>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</si>
  <si>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</si>
  <si>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REVENUE</t>
  </si>
  <si>
    <t xml:space="preserve">999</t>
  </si>
  <si>
    <t xml:space="preserve">Sales</t>
  </si>
  <si>
    <t xml:space="preserve">TOTAL (non-revenue)</t>
  </si>
  <si>
    <t xml:space="preserve">[CORTEX_V2.1] Job #2020 —  · Cost Breakdown</t>
  </si>
  <si>
    <t xml:space="preserve"># Codes</t>
  </si>
  <si>
    <t xml:space="preserve">% of Direct Cost</t>
  </si>
  <si>
    <t xml:space="preserve">$ per Unit</t>
  </si>
  <si>
    <t xml:space="preserve">39.6%</t>
  </si>
  <si>
    <t xml:space="preserve">38.0%</t>
  </si>
  <si>
    <t xml:space="preserve">1.7%</t>
  </si>
  <si>
    <t xml:space="preserve">20.6%</t>
  </si>
  <si>
    <t xml:space="preserve">DIRECT COST TOTAL</t>
  </si>
  <si>
    <t xml:space="preserve">100.0%</t>
  </si>
  <si>
    <t xml:space="preserve">[CORTEX_V2.1] Job #2020 —  · Material</t>
  </si>
  <si>
    <t xml:space="preserve">A. MATERIAL SPEND BY COST CODE</t>
  </si>
  <si>
    <t xml:space="preserve">Code</t>
  </si>
  <si>
    <t xml:space="preserve">Description</t>
  </si>
  <si>
    <t xml:space="preserve">% of Material</t>
  </si>
  <si>
    <t xml:space="preserve">3.2%</t>
  </si>
  <si>
    <t xml:space="preserve">7.1%</t>
  </si>
  <si>
    <t xml:space="preserve">11.5%</t>
  </si>
  <si>
    <t xml:space="preserve">54.0%</t>
  </si>
  <si>
    <t xml:space="preserve">1.1%</t>
  </si>
  <si>
    <t xml:space="preserve">16.0%</t>
  </si>
  <si>
    <t xml:space="preserve">3.6%</t>
  </si>
  <si>
    <t xml:space="preserve">0.3%</t>
  </si>
  <si>
    <t xml:space="preserve">B. VENDORS BY SPEND (AP)</t>
  </si>
  <si>
    <t xml:space="preserve">#</t>
  </si>
  <si>
    <t xml:space="preserve">Vendor</t>
  </si>
  <si>
    <t xml:space="preserve">Invoices</t>
  </si>
  <si>
    <t xml:space="preserve">Spend</t>
  </si>
  <si>
    <t xml:space="preserve">% of AP</t>
  </si>
  <si>
    <t xml:space="preserve">Ferguson Enterprises, Inc.</t>
  </si>
  <si>
    <t xml:space="preserve">27.3%</t>
  </si>
  <si>
    <t xml:space="preserve">Keller Supply Company</t>
  </si>
  <si>
    <t xml:space="preserve">25.9%</t>
  </si>
  <si>
    <t xml:space="preserve">Rosen Supply Company</t>
  </si>
  <si>
    <t xml:space="preserve">23.8%</t>
  </si>
  <si>
    <t xml:space="preserve">Mechanical Sales, Inc.</t>
  </si>
  <si>
    <t xml:space="preserve">8.6%</t>
  </si>
  <si>
    <t xml:space="preserve">Consolidated Supply Co.</t>
  </si>
  <si>
    <t xml:space="preserve">6.0%</t>
  </si>
  <si>
    <t xml:space="preserve">United Rentals, Inc.</t>
  </si>
  <si>
    <t xml:space="preserve">2.9%</t>
  </si>
  <si>
    <t xml:space="preserve">Quality Concrete Products, Inc.</t>
  </si>
  <si>
    <t xml:space="preserve">1.9%</t>
  </si>
  <si>
    <t xml:space="preserve">Scan2Core, Inc.</t>
  </si>
  <si>
    <t xml:space="preserve">MAD Concrete Cutting &amp; Coring, Inc.</t>
  </si>
  <si>
    <t xml:space="preserve">0.6%</t>
  </si>
  <si>
    <t xml:space="preserve">Kele, Inc</t>
  </si>
  <si>
    <t xml:space="preserve">0.4%</t>
  </si>
  <si>
    <t xml:space="preserve">C.M. Hoskins Company</t>
  </si>
  <si>
    <t xml:space="preserve">Rosen Supply Kirkland</t>
  </si>
  <si>
    <t xml:space="preserve">Capital One Credit Card</t>
  </si>
  <si>
    <t xml:space="preserve">Shirley Dennison</t>
  </si>
  <si>
    <t xml:space="preserve">0.2%</t>
  </si>
  <si>
    <t xml:space="preserve">Seton Identification Products</t>
  </si>
  <si>
    <t xml:space="preserve">American Express 3-41000</t>
  </si>
  <si>
    <t xml:space="preserve">0.1%</t>
  </si>
  <si>
    <t xml:space="preserve">NRP-Meydenbauer</t>
  </si>
  <si>
    <t xml:space="preserve">Ferguson Enterprises, Inc. #3007</t>
  </si>
  <si>
    <t xml:space="preserve">Fastenal Company</t>
  </si>
  <si>
    <t xml:space="preserve">A.R. Brown Backflow Testing</t>
  </si>
  <si>
    <t xml:space="preserve">0.0%</t>
  </si>
  <si>
    <t xml:space="preserve">Rosen Supply Company, Inc.</t>
  </si>
  <si>
    <t xml:space="preserve">[CORTEX_V2.1] Job #2020 —  · Crew &amp; Labor</t>
  </si>
  <si>
    <t xml:space="preserve">worker_id</t>
  </si>
  <si>
    <t xml:space="preserve">worker_name</t>
  </si>
  <si>
    <t xml:space="preserve">total_hours</t>
  </si>
  <si>
    <t xml:space="preserve">gross_pay</t>
  </si>
  <si>
    <t xml:space="preserve">blended_wage_per_hr</t>
  </si>
  <si>
    <t xml:space="preserve">tier</t>
  </si>
  <si>
    <t xml:space="preserve">work_days</t>
  </si>
  <si>
    <t xml:space="preserve">Veley, Nathaniel S</t>
  </si>
  <si>
    <t xml:space="preserve">Senior</t>
  </si>
  <si>
    <t xml:space="preserve">Paco Leyva, Orlando</t>
  </si>
  <si>
    <t xml:space="preserve">Mid</t>
  </si>
  <si>
    <t xml:space="preserve">Gerard, Mitchell J</t>
  </si>
  <si>
    <t xml:space="preserve">Apprentice</t>
  </si>
  <si>
    <t xml:space="preserve">Moran Fernandez, Jose</t>
  </si>
  <si>
    <t xml:space="preserve">Reed, Reuben H</t>
  </si>
  <si>
    <t xml:space="preserve">Rodriguez, Fernando V</t>
  </si>
  <si>
    <t xml:space="preserve">Meza Fuentes, Erick A</t>
  </si>
  <si>
    <t xml:space="preserve">Monico Brambila, Jesus S</t>
  </si>
  <si>
    <t xml:space="preserve">Taylor, Evan R</t>
  </si>
  <si>
    <t xml:space="preserve">Ayers, Jordan L</t>
  </si>
  <si>
    <t xml:space="preserve">Holmes, Anthony R</t>
  </si>
  <si>
    <t xml:space="preserve">Wennig, Johnathan M</t>
  </si>
  <si>
    <t xml:space="preserve">Barbosa, Michael S</t>
  </si>
  <si>
    <t xml:space="preserve">Salazar, Hajdar L</t>
  </si>
  <si>
    <t xml:space="preserve">Cruz Jimenez, Adalberto</t>
  </si>
  <si>
    <t xml:space="preserve">Gonzalez Guzman, Rigoberto A</t>
  </si>
  <si>
    <t xml:space="preserve">Gerard, Jordan E</t>
  </si>
  <si>
    <t xml:space="preserve">Waites, Thaddeus Z</t>
  </si>
  <si>
    <t xml:space="preserve">Walker, Craig M</t>
  </si>
  <si>
    <t xml:space="preserve">Sanders, Allen O</t>
  </si>
  <si>
    <t xml:space="preserve">Kinssies, Jr, John E</t>
  </si>
  <si>
    <t xml:space="preserve">Ramos, Jose G</t>
  </si>
  <si>
    <t xml:space="preserve">Donelson, Richard T</t>
  </si>
  <si>
    <t xml:space="preserve">Galdamez, Dagoberto A</t>
  </si>
  <si>
    <t xml:space="preserve">Lopez Barrios, Luis F</t>
  </si>
  <si>
    <t xml:space="preserve">Vaughan, Tyler J</t>
  </si>
  <si>
    <t xml:space="preserve">Castro Hernandez, Jose A</t>
  </si>
  <si>
    <t xml:space="preserve">Lopez Martinez, Abimael</t>
  </si>
  <si>
    <t xml:space="preserve">Alba Jimenez, Jovani</t>
  </si>
  <si>
    <t xml:space="preserve">Garcia, Jordan X</t>
  </si>
  <si>
    <t xml:space="preserve">Alba Martinez, Santiago</t>
  </si>
  <si>
    <t xml:space="preserve">Hubbard, Robert W</t>
  </si>
  <si>
    <t xml:space="preserve">Ross, Kelli M</t>
  </si>
  <si>
    <t xml:space="preserve">Ramos Banegas, Noel O</t>
  </si>
  <si>
    <t xml:space="preserve">Ramirez, Lorenzo A</t>
  </si>
  <si>
    <t xml:space="preserve">Santiago, William T</t>
  </si>
  <si>
    <t xml:space="preserve">Gerard, Jeffrey S</t>
  </si>
  <si>
    <t xml:space="preserve">Soto Cruz, Jovani</t>
  </si>
  <si>
    <t xml:space="preserve">Reyes, Robert J</t>
  </si>
  <si>
    <t xml:space="preserve">Eliassen, Cory H</t>
  </si>
  <si>
    <t xml:space="preserve">Palma Vides, Jorge A</t>
  </si>
  <si>
    <t xml:space="preserve">Lima Romero, Melvin A</t>
  </si>
  <si>
    <t xml:space="preserve">Cortes Mendiola, Victor H</t>
  </si>
  <si>
    <t xml:space="preserve">Cruz Reyes, Jose</t>
  </si>
  <si>
    <t xml:space="preserve">Palma Vides, Hugo</t>
  </si>
  <si>
    <t xml:space="preserve">Soto Serna, Cesar E</t>
  </si>
  <si>
    <t xml:space="preserve">Whitaker, Daniel J</t>
  </si>
  <si>
    <t xml:space="preserve">Trump, Norman W</t>
  </si>
  <si>
    <t xml:space="preserve">Hubbard, Dustin R</t>
  </si>
  <si>
    <t xml:space="preserve">Schaefer, Taylor E</t>
  </si>
  <si>
    <t xml:space="preserve">Cruz Guzman, Joel A</t>
  </si>
  <si>
    <t xml:space="preserve">Ruiz, Hugo</t>
  </si>
  <si>
    <t xml:space="preserve">Gonzalez Hernandez, Josue</t>
  </si>
  <si>
    <t xml:space="preserve">Cortes Sepulveda, Jose R</t>
  </si>
  <si>
    <t xml:space="preserve">Sepulveda Gonzalez, Alfredo</t>
  </si>
  <si>
    <t xml:space="preserve">Ascencio, Jose L</t>
  </si>
  <si>
    <t xml:space="preserve">Anderson, Richard P</t>
  </si>
  <si>
    <t xml:space="preserve">TOTAL (58 workers)</t>
  </si>
  <si>
    <t xml:space="preserve">SOURCES</t>
  </si>
  <si>
    <t xml:space="preserve">Job #2020 — SRM Bellevue @ Main Apartments  •  GC: Exxel Pacific / Owner: Bellevue Way Ventures  •  Bellevue, WA</t>
  </si>
  <si>
    <t xml:space="preserve">Canonical source: 2020 Job Detail Report.pdf (352 pages, OWP Sage Timberline export)</t>
  </si>
  <si>
    <t xml:space="preserve">Cost codes parsed: 24 (Labor+Material+Overhead+Burden+Revenue)</t>
  </si>
  <si>
    <t xml:space="preserve">Unit count (288) confirmed by TWO source documents:</t>
  </si>
  <si>
    <t xml:space="preserve">  1) Bellevue Main – Pricing to go to 101 Taylor Fixtures.xlsx: Type B lavs qty=268, Type A lavs qty=20, Lav faucets qty=288, Bathtub trim qty=288</t>
  </si>
  <si>
    <t xml:space="preserve">  2) BELLEVUE TRIM QUOTE PRICING organized by category USE.xlsx: Mansfield toilets 268 + 20 ADA = 288</t>
  </si>
  <si>
    <t xml:space="preserve">Kitchen fixtures: 257 kitchen faucets (Delta 4353-AR-DST) — 31 fewer than units (studios/amenity)</t>
  </si>
  <si>
    <t xml:space="preserve">Contract: One Way Plumbing Executed Contract OCR_D.pdf — Exxel Pacific / SRM Development GC</t>
  </si>
  <si>
    <t xml:space="preserve">Billing: 10 archived Schedule of Values files (pay apps #4, 9, 10, 12, 13, 15, 18, 19, 20, 23)</t>
  </si>
  <si>
    <t xml:space="preserve">Final contract $2,858,341 after 11 COs (net -$260,659, primarily CO#1 cast iron credit -$389,000)</t>
  </si>
  <si>
    <t xml:space="preserve">Permit: City of Bellevue #13-133992-BO (building/plumbing)</t>
  </si>
  <si>
    <t xml:space="preserve">Tier: Apprentice &lt;$18/hr, Mid $18–30, Senior &gt;$30</t>
  </si>
  <si>
    <t xml:space="preserve">[CORTEX_V2.1] Job #2020 —  · Crew Analytics</t>
  </si>
  <si>
    <t xml:space="preserve">worker_count</t>
  </si>
  <si>
    <t xml:space="preserve">pct_of_hours</t>
  </si>
  <si>
    <t xml:space="preserve">blended_wage</t>
  </si>
  <si>
    <t xml:space="preserve">B. WAGE STATISTICS</t>
  </si>
  <si>
    <t xml:space="preserve">Straight-Time Rate ($/hr)</t>
  </si>
  <si>
    <t xml:space="preserve">Weighted avg reg_amount ÷ reg_hours (PR source)</t>
  </si>
  <si>
    <t xml:space="preserve">PR-Src Cost/Hour ($/hr)</t>
  </si>
  <si>
    <t xml:space="preserve">PR total ÷ total labor hours (includes OT premium)</t>
  </si>
  <si>
    <t xml:space="preserve">Fully-Loaded Wage ($/hr)</t>
  </si>
  <si>
    <t xml:space="preserve">(PR + burden) ÷ total labor hours</t>
  </si>
  <si>
    <t xml:space="preserve">Burden Multiplier</t>
  </si>
  <si>
    <t xml:space="preserve">fully_loaded ÷ pr_src_cost_per_hr</t>
  </si>
  <si>
    <t xml:space="preserve">Total Workers</t>
  </si>
  <si>
    <t xml:space="preserve">COUNT DISTINCT(name WHERE source=PR)</t>
  </si>
  <si>
    <t xml:space="preserve">Avg Hours / Worker</t>
  </si>
  <si>
    <t xml:space="preserve">Total hours ÷ total workers</t>
  </si>
  <si>
    <t xml:space="preserve">Wage Percentiles</t>
  </si>
  <si>
    <t xml:space="preserve">p10=$13.00 | p25=$14.00 | p50=$15.86 | p75=$21.11 | p90=$31.13</t>
  </si>
  <si>
    <t xml:space="preserve">[CORTEX_V2.1] Job #2020 —  · Productivity</t>
  </si>
  <si>
    <t xml:space="preserve">phase</t>
  </si>
  <si>
    <t xml:space="preserve">labor_code</t>
  </si>
  <si>
    <t xml:space="preserve">pct_of_total</t>
  </si>
  <si>
    <t xml:space="preserve">hours_per_unit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</si>
  <si>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</si>
  <si>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</si>
  <si>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</si>
  <si>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</si>
  <si>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Foundation Drain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</si>
  <si>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</si>
  <si>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</si>
  <si>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</si>
  <si>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</si>
  <si>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</si>
  <si>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B. PRODUCTIVITY RATIOS</t>
  </si>
  <si>
    <t xml:space="preserve">Metric</t>
  </si>
  <si>
    <t xml:space="preserve">Value</t>
  </si>
  <si>
    <t xml:space="preserve">Hours / Unit</t>
  </si>
  <si>
    <t xml:space="preserve">Hours / Fixture</t>
  </si>
  <si>
    <t xml:space="preserve">Revenue / Hour</t>
  </si>
  <si>
    <t xml:space="preserve">Profit / Hour</t>
  </si>
  <si>
    <t xml:space="preserve">Units / Month</t>
  </si>
  <si>
    <t xml:space="preserve">Fixtures / Month</t>
  </si>
  <si>
    <t xml:space="preserve">Hours / Month</t>
  </si>
  <si>
    <t xml:space="preserve">Revenue / Month</t>
  </si>
  <si>
    <t xml:space="preserve">[CORTEX_V2.1] Job #2020 —  · PO Commitments</t>
  </si>
  <si>
    <t xml:space="preserve">PO Type</t>
  </si>
  <si>
    <t xml:space="preserve">Count Estimate</t>
  </si>
  <si>
    <t xml:space="preserve">% of Total POs</t>
  </si>
  <si>
    <t xml:space="preserve">Top Vendors</t>
  </si>
  <si>
    <t xml:space="preserve">Notes</t>
  </si>
  <si>
    <t xml:space="preserve">Trim/Finish (Rosen)</t>
  </si>
  <si>
    <t xml:space="preserve">Trim phase POs</t>
  </si>
  <si>
    <t xml:space="preserve">Roughin (Ferguson)</t>
  </si>
  <si>
    <t xml:space="preserve">Ferguson Enterprises</t>
  </si>
  <si>
    <t xml:space="preserve">Roughin phase POs</t>
  </si>
  <si>
    <t xml:space="preserve">Roughin (Keller)</t>
  </si>
  <si>
    <t xml:space="preserve">Keller Supply</t>
  </si>
  <si>
    <t xml:space="preserve">Mech Sales / Specialty</t>
  </si>
  <si>
    <t xml:space="preserve">—</t>
  </si>
  <si>
    <t xml:space="preserve">Specialty mech room components</t>
  </si>
  <si>
    <t xml:space="preserve">Equipment Rentals</t>
  </si>
  <si>
    <t xml:space="preserve">United Rentals</t>
  </si>
  <si>
    <t xml:space="preserve">Lifts, scaffolding</t>
  </si>
  <si>
    <t xml:space="preserve">Concrete Cutting</t>
  </si>
  <si>
    <t xml:space="preserve">MAD Concrete / Quality Concrete</t>
  </si>
  <si>
    <t xml:space="preserve">Slab penetrations + sleeves</t>
  </si>
  <si>
    <t xml:space="preserve">Other</t>
  </si>
  <si>
    <t xml:space="preserve">23.0%</t>
  </si>
  <si>
    <t xml:space="preserve">Long tail (~20 vendors)</t>
  </si>
  <si>
    <t xml:space="preserve">TOTAL PURCHASE ORDERS: 279</t>
  </si>
  <si>
    <t xml:space="preserve">Note: Detailed PO-by-PO records live in 2020-SRM, Bellevue @ Main/PO_s/ on GDrive (~280 individual POs). This tab summarizes commitments by vendor concentration. Per-PO detail can be re-extracted on demand.</t>
  </si>
  <si>
    <t xml:space="preserve">[CORTEX_V2.1] Job #2020 —  · Billing &amp; SOV</t>
  </si>
  <si>
    <t xml:space="preserve">Pay App #</t>
  </si>
  <si>
    <t xml:space="preserve">Date</t>
  </si>
  <si>
    <t xml:space="preserve">This Period</t>
  </si>
  <si>
    <t xml:space="preserve">Retainage Held</t>
  </si>
  <si>
    <t xml:space="preserve">Net Pay</t>
  </si>
  <si>
    <t xml:space="preserve">Cumulative</t>
  </si>
  <si>
    <t xml:space="preserve">% of Contract</t>
  </si>
  <si>
    <t xml:space="preserve">2014-08-25</t>
  </si>
  <si>
    <t xml:space="preserve">5.1%</t>
  </si>
  <si>
    <t xml:space="preserve">2014-12-15</t>
  </si>
  <si>
    <t xml:space="preserve">28.9%</t>
  </si>
  <si>
    <t xml:space="preserve">2015-01-22</t>
  </si>
  <si>
    <t xml:space="preserve">36.0%</t>
  </si>
  <si>
    <t xml:space="preserve">2015-03-24</t>
  </si>
  <si>
    <t xml:space="preserve">56.1%</t>
  </si>
  <si>
    <t xml:space="preserve">2015-04-23</t>
  </si>
  <si>
    <t xml:space="preserve">60.6%</t>
  </si>
  <si>
    <t xml:space="preserve">2015-06-25</t>
  </si>
  <si>
    <t xml:space="preserve">78.2%</t>
  </si>
  <si>
    <t xml:space="preserve">2015-09-25</t>
  </si>
  <si>
    <t xml:space="preserve">93.2%</t>
  </si>
  <si>
    <t xml:space="preserve">2015-10-23</t>
  </si>
  <si>
    <t xml:space="preserve">96.0%</t>
  </si>
  <si>
    <t xml:space="preserve">2015-11-23</t>
  </si>
  <si>
    <t xml:space="preserve">98.7%</t>
  </si>
  <si>
    <t xml:space="preserve">2016-02-25</t>
  </si>
  <si>
    <t xml:space="preserve">STATEMENT OF VALUES — SUMMARY</t>
  </si>
  <si>
    <t xml:space="preserve">Net Paid to OWP</t>
  </si>
  <si>
    <t xml:space="preserve">[CORTEX_V2.1] Job #2020 —  · Insights</t>
  </si>
  <si>
    <t xml:space="preserve">Theme</t>
  </si>
  <si>
    <t xml:space="preserve">Insight</t>
  </si>
  <si>
    <t xml:space="preserve">verified</t>
  </si>
  <si>
    <t xml:space="preserve">MARGIN PROFILE</t>
  </si>
  <si>
    <t xml:space="preserve">Net profit of $923,838 on $2,858,341 revenue = 32.3% gross margin. Direct cost $1,934,503 absorbs 67.7% of revenue.</t>
  </si>
  <si>
    <t xml:space="preserve">VENDOR CONCENTRATION</t>
  </si>
  <si>
    <t xml:space="preserve">Ferguson Enterprises, Inc. alone = $216,177 (27% of all AP) across 121 invoices. Total 21 AP vendors, $792,735 total AP spend.</t>
  </si>
  <si>
    <t xml:space="preserve">CREW PROFILE</t>
  </si>
  <si>
    <t xml:space="preserve">57 workers for 38,749 hours = 680 avg hrs/worker. Top 3 workers logged 8,366 hrs combined (22% of all labor).</t>
  </si>
  <si>
    <t xml:space="preserve">ROUGHIN DOMINANCE</t>
  </si>
  <si>
    <t xml:space="preserve">Code 120 Roughin Labor = 18,980 hrs (49% of all labor) and $348,603 actual. Code 230 Finish Material = $411,992 — 21% of total direct cost.</t>
  </si>
  <si>
    <t xml:space="preserve">BUDGET DELIVERY</t>
  </si>
  <si>
    <t xml:space="preserve">Revised budget was $1,919,609; actual direct cost $1,934,503 → $-14,894 variance (-0.8% under revised budget).</t>
  </si>
  <si>
    <t xml:space="preserve">CONTRACT GROWTH</t>
  </si>
  <si>
    <t xml:space="preserve">Contract grew from $3,119,000 to $2,858,341 — net +$-260,659 (-8.4%). Retainage of $142,517 (5%) withheld until closeout.</t>
  </si>
  <si>
    <t xml:space="preserve">BURDEN RATIO</t>
  </si>
  <si>
    <t xml:space="preserve">Burden codes 995 + 998 = $398,612 on $766,929 labor base = 52.0%. In line with OWP's typical 48–50% labor burden.</t>
  </si>
  <si>
    <t xml:space="preserve">PROJECT SCALE</t>
  </si>
  <si>
    <t xml:space="preserve">288 units · 1564 fixtures · 22 months. Revenue/unit $9,925, hours/unit 134.5, profit/unit $3,208.</t>
  </si>
  <si>
    <t xml:space="preserve">PRODUCTIVITY</t>
  </si>
  <si>
    <t xml:space="preserve">Blended labor rate $19.79/hr. Revenue/hour $74. Profit/hour $24. 1,761 hrs/month burn rate.</t>
  </si>
  <si>
    <t xml:space="preserve">FIXTURE DENSITY</t>
  </si>
  <si>
    <t xml:space="preserve">1564 fixtures ÷ 288 units = 5.43 fixtures/unit. Material/fixture $470, labor/fixture $490.</t>
  </si>
  <si>
    <t xml:space="preserve">[CORTEX_V2.1] Job #2020 —  · Benchmark KPIs</t>
  </si>
  <si>
    <t xml:space="preserve">CROSS-PROJECT BENCHMARK SCORECARD</t>
  </si>
  <si>
    <t xml:space="preserve">Normalized metrics designed for apples-to-apples comparison across all OWP projects.</t>
  </si>
  <si>
    <t xml:space="preserve">KPI</t>
  </si>
  <si>
    <t xml:space="preserve">DATA NAME</t>
  </si>
  <si>
    <t xml:space="preserve">VALUE</t>
  </si>
  <si>
    <t xml:space="preserve">CATEGORY</t>
  </si>
  <si>
    <t xml:space="preserve">NOTES / BENCHMARK CONTEXT</t>
  </si>
  <si>
    <t xml:space="preserve">job_number</t>
  </si>
  <si>
    <t xml:space="preserve">2,020</t>
  </si>
  <si>
    <t xml:space="preserve">Profile</t>
  </si>
  <si>
    <t xml:space="preserve">OWP Sage job ID</t>
  </si>
  <si>
    <t xml:space="preserve">general_contractor</t>
  </si>
  <si>
    <t xml:space="preserve">Customer of record</t>
  </si>
  <si>
    <t xml:space="preserve">location</t>
  </si>
  <si>
    <t xml:space="preserve">Project address</t>
  </si>
  <si>
    <t xml:space="preserve">project_type</t>
  </si>
  <si>
    <t xml:space="preserve">Apartment building</t>
  </si>
  <si>
    <t xml:space="preserve">Building category for benchmarking</t>
  </si>
  <si>
    <t xml:space="preserve">Duration Months</t>
  </si>
  <si>
    <t xml:space="preserve">duration_months</t>
  </si>
  <si>
    <t xml:space="preserve">Calendar months from start to close</t>
  </si>
  <si>
    <t xml:space="preserve">plumbing_units</t>
  </si>
  <si>
    <t xml:space="preserve">Residential units delivered</t>
  </si>
  <si>
    <t xml:space="preserve">Contract Original</t>
  </si>
  <si>
    <t xml:space="preserve">contract_original</t>
  </si>
  <si>
    <t xml:space="preserve">Financial</t>
  </si>
  <si>
    <t xml:space="preserve">Original contract value</t>
  </si>
  <si>
    <t xml:space="preserve">Contract Final</t>
  </si>
  <si>
    <t xml:space="preserve">contract_final</t>
  </si>
  <si>
    <t xml:space="preserve">Revised contract value (post-COs)</t>
  </si>
  <si>
    <t xml:space="preserve">Change Orders Net</t>
  </si>
  <si>
    <t xml:space="preserve">change_orders_net</t>
  </si>
  <si>
    <t xml:space="preserve">$-260,659</t>
  </si>
  <si>
    <t xml:space="preserve">Net dollar change from COs</t>
  </si>
  <si>
    <t xml:space="preserve">revenue</t>
  </si>
  <si>
    <t xml:space="preserve">Net billed (AR net of reversals)</t>
  </si>
  <si>
    <t xml:space="preserve">net_profit</t>
  </si>
  <si>
    <t xml:space="preserve">Revenue − direct cost</t>
  </si>
  <si>
    <t xml:space="preserve">Gross Margin Pct</t>
  </si>
  <si>
    <t xml:space="preserve">gross_margin_pct</t>
  </si>
  <si>
    <t xml:space="preserve">Net profit / revenue</t>
  </si>
  <si>
    <t xml:space="preserve">direct_cost</t>
  </si>
  <si>
    <t xml:space="preserve">Σ labor + material + OH + burden + tax</t>
  </si>
  <si>
    <t xml:space="preserve">Overhead Cost</t>
  </si>
  <si>
    <t xml:space="preserve">overhead_cost</t>
  </si>
  <si>
    <t xml:space="preserve">$50,025</t>
  </si>
  <si>
    <t xml:space="preserve">Codes 600, 601, 603, 607</t>
  </si>
  <si>
    <t xml:space="preserve">Burden Cost</t>
  </si>
  <si>
    <t xml:space="preserve">burden_cost</t>
  </si>
  <si>
    <t xml:space="preserve">$398,612</t>
  </si>
  <si>
    <t xml:space="preserve">Code 995 payroll burden</t>
  </si>
  <si>
    <t xml:space="preserve">retainage_outstanding</t>
  </si>
  <si>
    <t xml:space="preserve">$142,917.05</t>
  </si>
  <si>
    <t xml:space="preserve">Held by GC until closeout</t>
  </si>
  <si>
    <t xml:space="preserve">Revenue Per Unit</t>
  </si>
  <si>
    <t xml:space="preserve">revenue_per_unit</t>
  </si>
  <si>
    <t xml:space="preserve">$9,904</t>
  </si>
  <si>
    <t xml:space="preserve">Top-line per unit</t>
  </si>
  <si>
    <t xml:space="preserve">Profit Per Unit</t>
  </si>
  <si>
    <t xml:space="preserve">profit_per_unit</t>
  </si>
  <si>
    <t xml:space="preserve">$2,987</t>
  </si>
  <si>
    <t xml:space="preserve">Net profit normalized per residential unit</t>
  </si>
  <si>
    <t xml:space="preserve">Cost Per Unit</t>
  </si>
  <si>
    <t xml:space="preserve">cost_per_unit</t>
  </si>
  <si>
    <t xml:space="preserve">$6,917</t>
  </si>
  <si>
    <t xml:space="preserve">Total direct cost per unit</t>
  </si>
  <si>
    <t xml:space="preserve">Labor Cost</t>
  </si>
  <si>
    <t xml:space="preserve">labor_cost</t>
  </si>
  <si>
    <t xml:space="preserve">$780,619</t>
  </si>
  <si>
    <t xml:space="preserve">Codes 100–150</t>
  </si>
  <si>
    <t xml:space="preserve">Total Hours</t>
  </si>
  <si>
    <t xml:space="preserve">All payroll hours on the job</t>
  </si>
  <si>
    <t xml:space="preserve">total_workers</t>
  </si>
  <si>
    <t xml:space="preserve">58</t>
  </si>
  <si>
    <t xml:space="preserve">Crew</t>
  </si>
  <si>
    <t xml:space="preserve">Unique payroll IDs across job</t>
  </si>
  <si>
    <t xml:space="preserve">Straight-Time Rate</t>
  </si>
  <si>
    <t xml:space="preserve">$19.59</t>
  </si>
  <si>
    <t xml:space="preserve">Pre-burden average</t>
  </si>
  <si>
    <t xml:space="preserve">Fully Loaded Wage</t>
  </si>
  <si>
    <t xml:space="preserve">fully_loaded_wage</t>
  </si>
  <si>
    <t xml:space="preserve">$40.25</t>
  </si>
  <si>
    <t xml:space="preserve">Post-burden true cost</t>
  </si>
  <si>
    <t xml:space="preserve">burden_multiplier</t>
  </si>
  <si>
    <t xml:space="preserve">1.34x</t>
  </si>
  <si>
    <t xml:space="preserve">Loaded / gross</t>
  </si>
  <si>
    <t xml:space="preserve">Hours Per Unit</t>
  </si>
  <si>
    <t xml:space="preserve">136.4</t>
  </si>
  <si>
    <t xml:space="preserve">Key plumbing benchmark</t>
  </si>
  <si>
    <t xml:space="preserve">Labor Per Unit</t>
  </si>
  <si>
    <t xml:space="preserve">labor_per_unit</t>
  </si>
  <si>
    <t xml:space="preserve">$2,710</t>
  </si>
  <si>
    <t xml:space="preserve">Payroll only, not material</t>
  </si>
  <si>
    <t xml:space="preserve">Labor Pct Revenue</t>
  </si>
  <si>
    <t xml:space="preserve">labor_pct_revenue</t>
  </si>
  <si>
    <t xml:space="preserve">27.4%</t>
  </si>
  <si>
    <t xml:space="preserve">Cost Mix</t>
  </si>
  <si>
    <t xml:space="preserve">Payroll exposure</t>
  </si>
  <si>
    <t xml:space="preserve">Material Cost</t>
  </si>
  <si>
    <t xml:space="preserve">material_cost</t>
  </si>
  <si>
    <t xml:space="preserve">$762,828</t>
  </si>
  <si>
    <t xml:space="preserve">Codes 210–244</t>
  </si>
  <si>
    <t xml:space="preserve">Material Per Unit</t>
  </si>
  <si>
    <t xml:space="preserve">material_per_unit</t>
  </si>
  <si>
    <t xml:space="preserve">$2,649</t>
  </si>
  <si>
    <t xml:space="preserve">Cross-project benchmark</t>
  </si>
  <si>
    <t xml:space="preserve">Material Pct Revenue</t>
  </si>
  <si>
    <t xml:space="preserve">material_pct_revenue</t>
  </si>
  <si>
    <t xml:space="preserve">26.7%</t>
  </si>
  <si>
    <t xml:space="preserve">Material/sub exposure</t>
  </si>
  <si>
    <t xml:space="preserve">Total Vendors</t>
  </si>
  <si>
    <t xml:space="preserve">total_vendors</t>
  </si>
  <si>
    <t xml:space="preserve">22</t>
  </si>
  <si>
    <t xml:space="preserve">Distinct AP vendors invoiced on the job</t>
  </si>
  <si>
    <t xml:space="preserve">Top Vendor Spend</t>
  </si>
  <si>
    <t xml:space="preserve">top_vendor_spend</t>
  </si>
  <si>
    <t xml:space="preserve">$0.00</t>
  </si>
  <si>
    <t xml:space="preserve">Largest single supplier</t>
  </si>
  <si>
    <t xml:space="preserve">Top Vendor Pct</t>
  </si>
  <si>
    <t xml:space="preserve">top_vendor_pct</t>
  </si>
  <si>
    <t xml:space="preserve">Top vendor concentration</t>
  </si>
  <si>
    <t xml:space="preserve">Revenue Per Month</t>
  </si>
  <si>
    <t xml:space="preserve">revenue_per_month</t>
  </si>
  <si>
    <t xml:space="preserve">$129,648</t>
  </si>
  <si>
    <t xml:space="preserve">Throughput</t>
  </si>
  <si>
    <t xml:space="preserve">Billing velocity</t>
  </si>
  <si>
    <t xml:space="preserve">Hours Per Month</t>
  </si>
  <si>
    <t xml:space="preserve">hours_per_month</t>
  </si>
  <si>
    <t xml:space="preserve">1,785</t>
  </si>
  <si>
    <t xml:space="preserve">Avg monthly labor burn</t>
  </si>
  <si>
    <t xml:space="preserve">Units Per Month</t>
  </si>
  <si>
    <t xml:space="preserve">units_per_month</t>
  </si>
  <si>
    <t xml:space="preserve">13.1</t>
  </si>
  <si>
    <t xml:space="preserve">Build pace</t>
  </si>
  <si>
    <t xml:space="preserve">Canonical: /sessions/keen-determined-mccarthy/mnt/cortex-mockup/owp/cortex v2 files/OWP_2020_JCR_Cortex_v2.xlsx</t>
  </si>
  <si>
    <t xml:space="preserve">revenue: AR net-of-reversals (validator)</t>
  </si>
  <si>
    <t xml:space="preserve">labor_cost: Codes 100–150</t>
  </si>
  <si>
    <t xml:space="preserve">material_cost: Codes 210–244</t>
  </si>
  <si>
    <t xml:space="preserve">total_workers: count(distinct worker_id)</t>
  </si>
  <si>
    <t xml:space="preserve">[CORTEX_V2.1] Job #2020 —  · Change Log</t>
  </si>
  <si>
    <t xml:space="preserve">Event ID</t>
  </si>
  <si>
    <t xml:space="preserve">Type</t>
  </si>
  <si>
    <t xml:space="preserve">Subject</t>
  </si>
  <si>
    <t xml:space="preserve">Originator</t>
  </si>
  <si>
    <t xml:space="preserve">Cost Impact ($)</t>
  </si>
  <si>
    <t xml:space="preserve">CO-003-UNEXEC</t>
  </si>
  <si>
    <t xml:space="preserve">COR</t>
  </si>
  <si>
    <t xml:space="preserve">2014-10-07</t>
  </si>
  <si>
    <t xml:space="preserve">CR #1092 Upgrade plumbing fixture package to match 101 Taylor (UNEXECUTED)</t>
  </si>
  <si>
    <t xml:space="preserve">Owner (SRM)</t>
  </si>
  <si>
    <t xml:space="preserve">CO-004</t>
  </si>
  <si>
    <t xml:space="preserve">CO</t>
  </si>
  <si>
    <t xml:space="preserve">2014-11-14</t>
  </si>
  <si>
    <t xml:space="preserve">CR #1102 Undercounter vanity sinks — Kohler K2214 Ladena Type A/B</t>
  </si>
  <si>
    <t xml:space="preserve">CO-005-UNEXEC</t>
  </si>
  <si>
    <t xml:space="preserve">2014-12-02</t>
  </si>
  <si>
    <t xml:space="preserve">CR #1106 Water cooler upgrades (Elkay LZSTL8WSS3K, LZS8WSS2K) — UNEXECUTED</t>
  </si>
  <si>
    <t xml:space="preserve">CO-006</t>
  </si>
  <si>
    <t xml:space="preserve">2015-01-19</t>
  </si>
  <si>
    <t xml:space="preserve">CR #1121 Misc plumbing revisions — 9 planter drains, sports lounge, mop sinks, drains, grease interceptor, RPBA, hose bi</t>
  </si>
  <si>
    <t xml:space="preserve">CO-007</t>
  </si>
  <si>
    <t xml:space="preserve">2015-09-23</t>
  </si>
  <si>
    <t xml:space="preserve">CR #1235 Eyewash station w/ mixing valve @ Maintenance Shop</t>
  </si>
  <si>
    <t xml:space="preserve">CO-008</t>
  </si>
  <si>
    <t xml:space="preserve">2015-10-26</t>
  </si>
  <si>
    <t xml:space="preserve">CR #1253 Hose bibbs (courtyard + decks) + 3 BBQ sinks + 1-1/4" gas to Whisk retail</t>
  </si>
  <si>
    <t xml:space="preserve">CO-009</t>
  </si>
  <si>
    <t xml:space="preserve">CR #1277 Theater sink + relocate ice maker boxes L4-5 + courtyard water feature piping + CBV consolidation</t>
  </si>
  <si>
    <t xml:space="preserve">CO-010</t>
  </si>
  <si>
    <t xml:space="preserve">2016-01-18</t>
  </si>
  <si>
    <t xml:space="preserve">CR #1305 Attic stock + ADA toilet flange relocations units 327/331/231/450/461</t>
  </si>
  <si>
    <t xml:space="preserve">Owner (SRM) / Todd Rankin</t>
  </si>
  <si>
    <t xml:space="preserve">CO-011</t>
  </si>
  <si>
    <t xml:space="preserve">CR #1361 Barber waste extension + vanity sink replacements (trade damage) + condensate drains + retail/gas deduct meters</t>
  </si>
  <si>
    <t xml:space="preserve">CO-012</t>
  </si>
  <si>
    <t xml:space="preserve">Backcharge</t>
  </si>
  <si>
    <t xml:space="preserve">2016-03-11</t>
  </si>
  <si>
    <t xml:space="preserve">CR #1396 Water damage repair — OWP uncapped pipe (CREDIT)</t>
  </si>
  <si>
    <t xml:space="preserve">GC</t>
  </si>
  <si>
    <t xml:space="preserve">DOC-GAP-CO-1-2</t>
  </si>
  <si>
    <t xml:space="preserve">Memo</t>
  </si>
  <si>
    <t xml:space="preserve">2014</t>
  </si>
  <si>
    <t xml:space="preserve">GAP: CO #1 and CO #2 not found in any extracted folder; may exist in archived OLD DROPBOX FILES subdirectories.</t>
  </si>
  <si>
    <t xml:space="preserve">OWP</t>
  </si>
  <si>
    <t xml:space="preserve">DOC-GAP-RESUB</t>
  </si>
  <si>
    <t xml:space="preserve">2014-2016</t>
  </si>
  <si>
    <t xml:space="preserve">GAP: 206+ submittal documents but no formal resubmission log; tracked only by ORIGINAL/RESPONSE folder structure.</t>
  </si>
  <si>
    <t xml:space="preserve">RFI-SUMMARY</t>
  </si>
  <si>
    <t xml:space="preserve">56 RFIs in primary folder (duplicates across 4 extracted instances totaling 282 occurrences). RFI range #027-#258. Focus</t>
  </si>
  <si>
    <t xml:space="preserve">Total events</t>
  </si>
  <si>
    <t xml:space="preserve">Net cost impact ($)</t>
  </si>
  <si>
    <t xml:space="preserve">CO count</t>
  </si>
  <si>
    <t xml:space="preserve">COR count</t>
  </si>
  <si>
    <t xml:space="preserve">Backcharge count</t>
  </si>
  <si>
    <t xml:space="preserve">Memo / gap entries</t>
  </si>
  <si>
    <t xml:space="preserve">[CORTEX_V2.1] Job #2020 —  · Root Cause Analysis</t>
  </si>
  <si>
    <t xml:space="preserve">ROOT CAUSE CATEGORIES</t>
  </si>
  <si>
    <t xml:space="preserve">Cause</t>
  </si>
  <si>
    <t xml:space="preserve">Event Count</t>
  </si>
  <si>
    <t xml:space="preserve">Primary Owner</t>
  </si>
  <si>
    <t xml:space="preserve">Design substitution</t>
  </si>
  <si>
    <t xml:space="preserve">Designer</t>
  </si>
  <si>
    <t xml:space="preserve">Design clarification</t>
  </si>
  <si>
    <t xml:space="preserve">Owner directive</t>
  </si>
  <si>
    <t xml:space="preserve">Owner/GC</t>
  </si>
  <si>
    <t xml:space="preserve">Cleanup/damage</t>
  </si>
  <si>
    <t xml:space="preserve">Sub (OWP)</t>
  </si>
  <si>
    <t xml:space="preserve">Combined/multi-cause</t>
  </si>
  <si>
    <t xml:space="preserve">Mixed</t>
  </si>
  <si>
    <t xml:space="preserve">RESPONSIBILITY MATRIX</t>
  </si>
  <si>
    <t xml:space="preserve">Party</t>
  </si>
  <si>
    <t xml:space="preserve">Net Cost Impact ($)</t>
  </si>
  <si>
    <t xml:space="preserve">[CORTEX_V2.1] Job #2020 —  · Predictive Signals</t>
  </si>
  <si>
    <t xml:space="preserve">Signal</t>
  </si>
  <si>
    <t xml:space="preserve">Current Value</t>
  </si>
  <si>
    <t xml:space="preserve">Threshold</t>
  </si>
  <si>
    <t xml:space="preserve">Severity</t>
  </si>
  <si>
    <t xml:space="preserve">RFI Total (closed)</t>
  </si>
  <si>
    <t xml:space="preserve">&lt;50 for mid-size</t>
  </si>
  <si>
    <t xml:space="preserve">INFO</t>
  </si>
  <si>
    <t xml:space="preserve">RFI Velocity (per month, derived)</t>
  </si>
  <si>
    <t xml:space="preserve">See KPIs D50</t>
  </si>
  <si>
    <t xml:space="preserve">&lt;3.0/wk</t>
  </si>
  <si>
    <t xml:space="preserve">RFI Avg Cycle Time (days)</t>
  </si>
  <si>
    <t xml:space="preserve">Unknown</t>
  </si>
  <si>
    <t xml:space="preserve">&lt;14</t>
  </si>
  <si>
    <t xml:space="preserve">N/A</t>
  </si>
  <si>
    <t xml:space="preserve">ASI / OCD Count</t>
  </si>
  <si>
    <t xml:space="preserve">0</t>
  </si>
  <si>
    <t xml:space="preserve">&lt;5</t>
  </si>
  <si>
    <t xml:space="preserve">HEALTHY</t>
  </si>
  <si>
    <t xml:space="preserve">Backcharge Count</t>
  </si>
  <si>
    <t xml:space="preserve">&lt;3</t>
  </si>
  <si>
    <t xml:space="preserve">Change Order Count</t>
  </si>
  <si>
    <t xml:space="preserve">ELEVATED</t>
  </si>
  <si>
    <t xml:space="preserve">T&amp;M Event Count</t>
  </si>
  <si>
    <t xml:space="preserve">&lt;2</t>
  </si>
  <si>
    <t xml:space="preserve">Submittal resubmission count</t>
  </si>
  <si>
    <t xml:space="preserve">12</t>
  </si>
  <si>
    <t xml:space="preserve">&lt;10</t>
  </si>
  <si>
    <t xml:space="preserve">Net $ Impact (all events)</t>
  </si>
  <si>
    <t xml:space="preserve">127362</t>
  </si>
  <si>
    <t xml:space="preserve">Near $0</t>
  </si>
  <si>
    <t xml:space="preserve">POSITIVE</t>
  </si>
  <si>
    <t xml:space="preserve">[CORTEX_V2.1] Job #2020 —  · Metric Registry</t>
  </si>
  <si>
    <t xml:space="preserve">metric_key</t>
  </si>
  <si>
    <t xml:space="preserve">metric_label</t>
  </si>
  <si>
    <t xml:space="preserve">value</t>
  </si>
  <si>
    <t xml:space="preserve">data_label</t>
  </si>
  <si>
    <t xml:space="preserve">tab_home</t>
  </si>
  <si>
    <t xml:space="preserve">verification</t>
  </si>
  <si>
    <t xml:space="preserve">job_name</t>
  </si>
  <si>
    <t xml:space="preserve">unit_count</t>
  </si>
  <si>
    <t xml:space="preserve">Unit Count</t>
  </si>
  <si>
    <t xml:space="preserve">total_fixtures</t>
  </si>
  <si>
    <t xml:space="preserve">revenue_ar_actual</t>
  </si>
  <si>
    <t xml:space="preserve">Revenue Ar Actual</t>
  </si>
  <si>
    <t xml:space="preserve">retainage</t>
  </si>
  <si>
    <t xml:space="preserve">Retainage</t>
  </si>
  <si>
    <t xml:space="preserve">labor_hours</t>
  </si>
  <si>
    <t xml:space="preserve">Labor Hours</t>
  </si>
  <si>
    <t xml:space="preserve">straight_time_rate</t>
  </si>
  <si>
    <t xml:space="preserve">Straight Time Rate</t>
  </si>
  <si>
    <t xml:space="preserve">pr_src_cost_per_hr</t>
  </si>
  <si>
    <t xml:space="preserve">Pr Src Cost Per Hr</t>
  </si>
  <si>
    <t xml:space="preserve">total_pos</t>
  </si>
  <si>
    <t xml:space="preserve">Total Pos</t>
  </si>
  <si>
    <t xml:space="preserve">executed_co_count</t>
  </si>
  <si>
    <t xml:space="preserve">Executed Co Count</t>
  </si>
  <si>
    <t xml:space="preserve">backcharge_count</t>
  </si>
  <si>
    <t xml:space="preserve">unexecuted_cor_count</t>
  </si>
  <si>
    <t xml:space="preserve">Unexecuted Cor Count</t>
  </si>
  <si>
    <t xml:space="preserve">rfi_count</t>
  </si>
  <si>
    <t xml:space="preserve">Rfi Count</t>
  </si>
  <si>
    <t xml:space="preserve">submittal_count</t>
  </si>
  <si>
    <t xml:space="preserve">Submittal Count</t>
  </si>
  <si>
    <t xml:space="preserve">change_event_total</t>
  </si>
  <si>
    <t xml:space="preserve">Change Event Total</t>
  </si>
  <si>
    <t xml:space="preserve">net_co_dollar_impact</t>
  </si>
  <si>
    <t xml:space="preserve">Net Co Dollar Impact</t>
  </si>
  <si>
    <t xml:space="preserve">[CORTEX_V2.1] Job #2020 —  · Reconciliation</t>
  </si>
  <si>
    <t xml:space="preserve">check_number</t>
  </si>
  <si>
    <t xml:space="preserve">check_description</t>
  </si>
  <si>
    <t xml:space="preserve">value_a</t>
  </si>
  <si>
    <t xml:space="preserve">value_b</t>
  </si>
  <si>
    <t xml:space="preserve">difference</t>
  </si>
  <si>
    <t xml:space="preserve">status</t>
  </si>
  <si>
    <t xml:space="preserve">tabs</t>
  </si>
  <si>
    <t xml:space="preserve">A. JDR COST CODE ROLLUP</t>
  </si>
  <si>
    <t xml:space="preserve">Labor subtotal (11 codes)</t>
  </si>
  <si>
    <t xml:space="preserve">TIES</t>
  </si>
  <si>
    <t xml:space="preserve">Material subtotal (8 codes)</t>
  </si>
  <si>
    <t xml:space="preserve">Overhead subtotal (2 codes)</t>
  </si>
  <si>
    <t xml:space="preserve">Burden subtotal (2 codes)</t>
  </si>
  <si>
    <t xml:space="preserve">Direct Cost (all categories)</t>
  </si>
  <si>
    <t xml:space="preserve">Revenue (code 999)</t>
  </si>
  <si>
    <t xml:space="preserve">WITHIN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</si>
  <si>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</si>
  <si>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</si>
  <si>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</si>
  <si>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</si>
  <si>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</si>
  <si>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Final Contract Value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</si>
  <si>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</si>
  <si>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</si>
  <si>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</si>
  <si>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K. CHANGE LOG ↔ ROOT CAUSE ANALYSIS</t>
  </si>
  <si>
    <t xml:space="preserve">Total Event Count</t>
  </si>
  <si>
    <t xml:space="preserve">L. PREDICTIVE SIGNALS ↔ CHANGE LOG</t>
  </si>
  <si>
    <t xml:space="preserve">Backcharge Count signal</t>
  </si>
  <si>
    <t xml:space="preserve">M. METRIC REGISTRY ↔ BENCHMARK KPIs</t>
  </si>
  <si>
    <t xml:space="preserve">revenue (row 17)</t>
  </si>
  <si>
    <t xml:space="preserve">unit_count (row 12)</t>
  </si>
  <si>
    <t xml:space="preserve">total_fixtures (row 13)</t>
  </si>
  <si>
    <t xml:space="preserve">direct_cost (row 19)</t>
  </si>
  <si>
    <t xml:space="preserve">OFF</t>
  </si>
  <si>
    <t xml:space="preserve">total_pos (row 30)</t>
  </si>
  <si>
    <t xml:space="preserve">N. CHANGE LOG ↔ METRIC REGISTRY (event counts)</t>
  </si>
  <si>
    <t xml:space="preserve">Job #2020 — Cortex v2 17-tab layout</t>
  </si>
  <si>
    <t xml:space="preserve">12 analytical tabs + Change Log + Root Cause Analysis + Predictive Signals + Metric Registry + Reconciliation</t>
  </si>
  <si>
    <t xml:space="preserve">Canonical source: 2020 Job Detail Report.pdf (Sage Timberline export)</t>
  </si>
  <si>
    <t xml:space="preserve">Change artifacts: folders scanned — ASI-RFI, Change Orders, Submittals, Invoices (Backcharges), JDR cost codes</t>
  </si>
  <si>
    <t xml:space="preserve">Every Change Log row cites its source document path</t>
  </si>
  <si>
    <t xml:space="preserve">TIES = within $1/5hrs/exact count  •  WITHIN = within 5%  •  OFF = investigate</t>
  </si>
  <si>
    <t xml:space="preserve">Cross-sheet formulas (='Tab'!Cell) update automatically when source tabs change</t>
  </si>
  <si>
    <t xml:space="preserve">Tabs: 1-12 analytical  •  13=ChangeLog  •  14=RootCause  •  15=PredictiveSignals  •  16=MetricRegistry  •  17=Reconciliation</t>
  </si>
  <si>
    <t xml:space="preserve">[CORTEX_V2.1] Job #2020 —  · Vendors</t>
  </si>
  <si>
    <t xml:space="preserve">Vendor Name</t>
  </si>
  <si>
    <t xml:space="preserve"># Invoices</t>
  </si>
  <si>
    <t xml:space="preserve">Total Spend ($)</t>
  </si>
  <si>
    <t xml:space="preserve">Tier</t>
  </si>
  <si>
    <t xml:space="preserve">Top 5</t>
  </si>
  <si>
    <t xml:space="preserve">Largest AP — concentration flag</t>
  </si>
  <si>
    <t xml:space="preserve">Roughin material supplier</t>
  </si>
  <si>
    <t xml:space="preserve">Primary trim/finish supplier</t>
  </si>
  <si>
    <t xml:space="preserve">Top 10</t>
  </si>
  <si>
    <t xml:space="preserve">Equipment rental</t>
  </si>
  <si>
    <t xml:space="preserve">Concrete cutting/coring</t>
  </si>
  <si>
    <t xml:space="preserve">Long tail</t>
  </si>
  <si>
    <t xml:space="preserve">Roughin + finish dual-source</t>
  </si>
  <si>
    <t xml:space="preserve">21 vendors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</si>
</sst>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\$#,##0;[RED]&quot;($&quot;#,##0\)"/>
    <numFmt numFmtId="167" formatCode="0.0%"/>
    <numFmt numFmtId="168" formatCode="\$#,##0.00;[RED]&quot;-$&quot;#,##0.00"/>
    <numFmt numFmtId="169" formatCode="yyyy\-mm\-dd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9"/>
      <color rgb="FF595959"/>
      <name val="Calibri"/>
      <family val="0"/>
      <charset val="1"/>
    </font>
    <font>
      <b val="true"/>
      <sz val="14"/>
      <color rgb="FF1F4E78"/>
      <name val="Calibri"/>
      <family val="0"/>
      <charset val="1"/>
    </font>
    <font>
      <b val="true"/>
      <sz val="11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4"/>
      <color rgb="FF1F1F1F"/>
      <name val="Arial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595959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9"/>
      <color rgb="FF595959"/>
      <name val="Consolas"/>
      <family val="0"/>
      <charset val="1"/>
    </font>
    <font>
      <b val="true"/>
      <sz val="10"/>
      <color rgb="FF1F2937"/>
      <name val="Calibri"/>
      <family val="0"/>
      <charset val="1"/>
    </font>
    <font>
      <b val="true"/>
      <sz val="9"/>
      <color rgb="FF333333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595959"/>
      <name val="Calibri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4E78"/>
        <bgColor rgb="FF2C3E50"/>
      </patternFill>
    </fill>
    <fill>
      <patternFill patternType="solid">
        <fgColor rgb="FFDDEBF7"/>
        <bgColor rgb="FFD5ECF2"/>
      </patternFill>
    </fill>
    <fill>
      <patternFill patternType="solid">
        <fgColor rgb="FFE7EEF8"/>
        <bgColor rgb="FFE7EBF0"/>
      </patternFill>
    </fill>
    <fill>
      <patternFill patternType="solid">
        <fgColor rgb="FFF2F7FC"/>
        <bgColor rgb="FFFAFAFA"/>
      </patternFill>
    </fill>
    <fill>
      <patternFill patternType="solid">
        <fgColor rgb="FFECF0F1"/>
        <bgColor rgb="FFE7EEF8"/>
      </patternFill>
    </fill>
    <fill>
      <patternFill patternType="solid">
        <fgColor rgb="FF2C3E50"/>
        <bgColor rgb="FF333333"/>
      </patternFill>
    </fill>
    <fill>
      <patternFill patternType="solid">
        <fgColor rgb="FFFFF8E7"/>
        <bgColor rgb="FFFAFAFA"/>
      </patternFill>
    </fill>
    <fill>
      <patternFill patternType="solid">
        <fgColor rgb="FF2E75B6"/>
        <bgColor rgb="FF008080"/>
      </patternFill>
    </fill>
    <fill>
      <patternFill patternType="solid">
        <fgColor rgb="FFFAFAFA"/>
        <bgColor rgb="FFF2F7FC"/>
      </patternFill>
    </fill>
    <fill>
      <patternFill patternType="solid">
        <fgColor rgb="FFE7EBF0"/>
        <bgColor rgb="FFE7EEF8"/>
      </patternFill>
    </fill>
    <fill>
      <patternFill patternType="solid">
        <fgColor rgb="FFFAD9D5"/>
        <bgColor rgb="FFF4DCDC"/>
      </patternFill>
    </fill>
    <fill>
      <patternFill patternType="solid">
        <fgColor rgb="FFE1D9F0"/>
        <bgColor rgb="FFEBDDF0"/>
      </patternFill>
    </fill>
    <fill>
      <patternFill patternType="solid">
        <fgColor rgb="FFEBDDF0"/>
        <bgColor rgb="FFE1D9F0"/>
      </patternFill>
    </fill>
    <fill>
      <patternFill patternType="solid">
        <fgColor rgb="FFF8E9CC"/>
        <bgColor rgb="FFF4DCDC"/>
      </patternFill>
    </fill>
    <fill>
      <patternFill patternType="solid">
        <fgColor rgb="FFF4DCDC"/>
        <bgColor rgb="FFFAD9D5"/>
      </patternFill>
    </fill>
    <fill>
      <patternFill patternType="solid">
        <fgColor rgb="FFD5ECF2"/>
        <bgColor rgb="FFD1ECF1"/>
      </patternFill>
    </fill>
    <fill>
      <patternFill patternType="solid">
        <fgColor rgb="FFD1ECF1"/>
        <bgColor rgb="FFD5EC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6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CF0F1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7EBF0"/>
      <rgbColor rgb="FF595959"/>
      <rgbColor rgb="FFFFF8E7"/>
      <rgbColor rgb="FFD1ECF1"/>
      <rgbColor rgb="FF660066"/>
      <rgbColor rgb="FFFF8080"/>
      <rgbColor rgb="FF1F4E78"/>
      <rgbColor rgb="FFD5D8DC"/>
      <rgbColor rgb="FF000080"/>
      <rgbColor rgb="FFFF00FF"/>
      <rgbColor rgb="FFFAFAFA"/>
      <rgbColor rgb="FF00FFFF"/>
      <rgbColor rgb="FF800080"/>
      <rgbColor rgb="FF800000"/>
      <rgbColor rgb="FF008080"/>
      <rgbColor rgb="FF0000FF"/>
      <rgbColor rgb="FF00CCFF"/>
      <rgbColor rgb="FFD5ECF2"/>
      <rgbColor rgb="FFDDEBF7"/>
      <rgbColor rgb="FFF8E9CC"/>
      <rgbColor rgb="FFE1D9F0"/>
      <rgbColor rgb="FFF4DCDC"/>
      <rgbColor rgb="FFEBDDF0"/>
      <rgbColor rgb="FFFAD9D5"/>
      <rgbColor rgb="FF2E75B6"/>
      <rgbColor rgb="FF33CCCC"/>
      <rgbColor rgb="FF99CC00"/>
      <rgbColor rgb="FFE7EEF8"/>
      <rgbColor rgb="FFFF9900"/>
      <rgbColor rgb="FFFF6600"/>
      <rgbColor rgb="FF6B6B6B"/>
      <rgbColor rgb="FFF2F7FC"/>
      <rgbColor rgb="FF1F2937"/>
      <rgbColor rgb="FF339966"/>
      <rgbColor rgb="FF003300"/>
      <rgbColor rgb="FF1F1F1F"/>
      <rgbColor rgb="FF993300"/>
      <rgbColor rgb="FF993366"/>
      <rgbColor rgb="FF2C3E5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75"/>
    <col collapsed="false" customWidth="true" hidden="false" outlineLevel="0" max="4" min="4" style="1" width="42"/>
    <col collapsed="false" customWidth="true" hidden="false" outlineLevel="0" max="10" min="5" style="1" width="1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5" customFormat="false" ht="15" hidden="false" customHeight="true" outlineLevel="0" collapsed="false">
      <c r="B5" s="4" t="s">
        <v>2</v>
      </c>
      <c r="C5" s="5"/>
      <c r="D5" s="4" t="s">
        <v>3</v>
      </c>
    </row>
    <row r="6" customFormat="false" ht="19.5" hidden="false" customHeight="true" outlineLevel="0" collapsed="false">
      <c r="B6" s="6" t="s">
        <v>4</v>
      </c>
      <c r="C6" s="6"/>
      <c r="D6" s="6"/>
    </row>
    <row r="7" customFormat="false" ht="19.5" hidden="false" customHeight="true" outlineLevel="0" collapsed="false">
      <c r="B7" s="7" t="s">
        <v>5</v>
      </c>
      <c r="C7" s="8" t="s">
        <v>6</v>
      </c>
      <c r="D7" s="9"/>
    </row>
    <row r="8" customFormat="false" ht="19.5" hidden="false" customHeight="true" outlineLevel="0" collapsed="false">
      <c r="B8" s="7" t="s">
        <v>7</v>
      </c>
      <c r="C8" s="8" t="s">
        <v>8</v>
      </c>
      <c r="D8" s="9"/>
    </row>
    <row r="9" customFormat="false" ht="19.5" hidden="false" customHeight="true" outlineLevel="0" collapsed="false">
      <c r="B9" s="6" t="s">
        <v>9</v>
      </c>
      <c r="C9" s="6"/>
      <c r="D9" s="6"/>
    </row>
    <row r="10" customFormat="false" ht="31.5" hidden="false" customHeight="true" outlineLevel="0" collapsed="false">
      <c r="B10" s="7" t="s">
        <v>10</v>
      </c>
      <c r="C10" s="8" t="s">
        <v>11</v>
      </c>
      <c r="D10" s="9"/>
    </row>
    <row r="11" customFormat="false" ht="19.5" hidden="false" customHeight="true" outlineLevel="0" collapsed="false">
      <c r="B11" s="6" t="s">
        <v>12</v>
      </c>
      <c r="C11" s="6"/>
      <c r="D11" s="6"/>
    </row>
    <row r="12" customFormat="false" ht="19.5" hidden="false" customHeight="true" outlineLevel="0" collapsed="false">
      <c r="B12" s="7" t="s">
        <v>13</v>
      </c>
      <c r="C12" s="8" t="s">
        <v>14</v>
      </c>
      <c r="D12" s="9"/>
    </row>
    <row r="13" customFormat="false" ht="19.5" hidden="false" customHeight="true" outlineLevel="0" collapsed="false">
      <c r="B13" s="7" t="s">
        <v>15</v>
      </c>
      <c r="C13" s="8" t="s">
        <v>16</v>
      </c>
      <c r="D13" s="9" t="s">
        <v>17</v>
      </c>
    </row>
    <row r="14" customFormat="false" ht="19.5" hidden="false" customHeight="true" outlineLevel="0" collapsed="false">
      <c r="B14" s="7" t="s">
        <v>18</v>
      </c>
      <c r="C14" s="8" t="s">
        <v>19</v>
      </c>
      <c r="D14" s="9"/>
    </row>
    <row r="15" customFormat="false" ht="19.5" hidden="false" customHeight="true" outlineLevel="0" collapsed="false">
      <c r="B15" s="6" t="s">
        <v>20</v>
      </c>
      <c r="C15" s="6"/>
      <c r="D15" s="6"/>
    </row>
    <row r="16" customFormat="false" ht="19.5" hidden="false" customHeight="true" outlineLevel="0" collapsed="false">
      <c r="B16" s="7" t="s">
        <v>21</v>
      </c>
      <c r="C16" s="8" t="s">
        <v>22</v>
      </c>
      <c r="D16" s="9"/>
    </row>
    <row r="17" customFormat="false" ht="19.5" hidden="false" customHeight="true" outlineLevel="0" collapsed="false">
      <c r="B17" s="6" t="s">
        <v>23</v>
      </c>
      <c r="C17" s="6"/>
      <c r="D17" s="6"/>
    </row>
    <row r="18" customFormat="false" ht="19.5" hidden="false" customHeight="true" outlineLevel="0" collapsed="false">
      <c r="B18" s="7" t="s">
        <v>24</v>
      </c>
      <c r="C18" s="8" t="s">
        <v>25</v>
      </c>
      <c r="D18" s="9" t="s">
        <v>26</v>
      </c>
    </row>
    <row r="19" customFormat="false" ht="19.5" hidden="false" customHeight="true" outlineLevel="0" collapsed="false">
      <c r="B19" s="7" t="s">
        <v>27</v>
      </c>
      <c r="C19" s="8" t="s">
        <v>28</v>
      </c>
      <c r="D19" s="9" t="s">
        <v>29</v>
      </c>
    </row>
    <row r="22" customFormat="false" ht="15.75" hidden="false" customHeight="true" outlineLevel="0" collapsed="false">
      <c r="B22" s="10" t="s">
        <v>30</v>
      </c>
      <c r="C22" s="10"/>
      <c r="D22" s="10" t="s">
        <v>31</v>
      </c>
      <c r="E22" s="10"/>
      <c r="F22" s="10" t="s">
        <v>32</v>
      </c>
      <c r="G22" s="10"/>
      <c r="H22" s="10" t="s">
        <v>33</v>
      </c>
      <c r="I22" s="10"/>
    </row>
    <row r="23" customFormat="false" ht="24" hidden="false" customHeight="true" outlineLevel="0" collapsed="false">
      <c r="B23" s="11" t="s">
        <v>34</v>
      </c>
      <c r="C23" s="11"/>
      <c r="D23" s="11" t="s">
        <v>35</v>
      </c>
      <c r="E23" s="11"/>
      <c r="F23" s="11" t="s">
        <v>36</v>
      </c>
      <c r="G23" s="11"/>
      <c r="H23" s="11" t="s">
        <v>37</v>
      </c>
      <c r="I23" s="11"/>
    </row>
    <row r="24" customFormat="false" ht="15.75" hidden="false" customHeight="true" outlineLevel="0" collapsed="false">
      <c r="B24" s="12" t="s">
        <v>38</v>
      </c>
      <c r="C24" s="12"/>
      <c r="D24" s="12" t="s">
        <v>39</v>
      </c>
      <c r="E24" s="12"/>
      <c r="F24" s="12" t="s">
        <v>40</v>
      </c>
      <c r="G24" s="12"/>
      <c r="H24" s="12" t="s">
        <v>41</v>
      </c>
      <c r="I24" s="12"/>
    </row>
    <row r="26" customFormat="false" ht="15" hidden="false" customHeight="true" outlineLevel="0" collapsed="false">
      <c r="B26" s="6" t="s">
        <v>42</v>
      </c>
      <c r="C26" s="6"/>
      <c r="D26" s="6"/>
      <c r="E26" s="6"/>
      <c r="F26" s="6"/>
      <c r="G26" s="6"/>
      <c r="H26" s="6"/>
      <c r="I26" s="6"/>
    </row>
    <row r="27" customFormat="false" ht="15" hidden="false" customHeight="true" outlineLevel="0" collapsed="false">
      <c r="B27" s="13" t="s">
        <v>43</v>
      </c>
      <c r="C27" s="13" t="s">
        <v>44</v>
      </c>
      <c r="D27" s="13" t="s">
        <v>45</v>
      </c>
      <c r="E27" s="13" t="s">
        <v>46</v>
      </c>
      <c r="F27" s="13" t="s">
        <v>47</v>
      </c>
      <c r="G27" s="13" t="s">
        <v>48</v>
      </c>
    </row>
    <row r="28" customFormat="false" ht="15" hidden="false" customHeight="true" outlineLevel="0" collapsed="false">
      <c r="B28" s="14" t="s">
        <v>49</v>
      </c>
      <c r="C28" s="15" t="n">
        <v>601174</v>
      </c>
      <c r="D28" s="15" t="n">
        <v>780619.01</v>
      </c>
      <c r="E28" s="16" t="n">
        <f aca="false">C28-D28</f>
        <v>-179445.01</v>
      </c>
      <c r="F28" s="17" t="n">
        <f aca="false">D28/C28</f>
        <v>1.29849096933666</v>
      </c>
      <c r="G28" s="17" t="n">
        <f aca="false">D28/$D$32</f>
        <v>0.391860327513564</v>
      </c>
    </row>
    <row r="29" customFormat="false" ht="15" hidden="false" customHeight="true" outlineLevel="0" collapsed="false">
      <c r="B29" s="14" t="s">
        <v>50</v>
      </c>
      <c r="C29" s="15" t="n">
        <v>1013696</v>
      </c>
      <c r="D29" s="15" t="n">
        <v>762828.23</v>
      </c>
      <c r="E29" s="16" t="n">
        <f aca="false">C29-D29</f>
        <v>250867.77</v>
      </c>
      <c r="F29" s="17" t="n">
        <f aca="false">D29/C29</f>
        <v>0.752521692894122</v>
      </c>
      <c r="G29" s="17" t="n">
        <f aca="false">D29/$D$32</f>
        <v>0.382929593329264</v>
      </c>
    </row>
    <row r="30" customFormat="false" ht="15" hidden="false" customHeight="true" outlineLevel="0" collapsed="false">
      <c r="B30" s="14" t="s">
        <v>51</v>
      </c>
      <c r="C30" s="15" t="n">
        <v>25985</v>
      </c>
      <c r="D30" s="15" t="n">
        <v>50025.19</v>
      </c>
      <c r="E30" s="16" t="n">
        <f aca="false">C30-D30</f>
        <v>-24040.19</v>
      </c>
      <c r="F30" s="17" t="n">
        <f aca="false">D30/C30</f>
        <v>1.92515643640562</v>
      </c>
      <c r="G30" s="17" t="n">
        <f aca="false">D30/$D$32</f>
        <v>0.0251119779126674</v>
      </c>
    </row>
    <row r="31" customFormat="false" ht="15" hidden="false" customHeight="true" outlineLevel="0" collapsed="false">
      <c r="B31" s="14" t="s">
        <v>52</v>
      </c>
      <c r="C31" s="15" t="n">
        <v>312438.73</v>
      </c>
      <c r="D31" s="15" t="n">
        <v>398612.39</v>
      </c>
      <c r="E31" s="16" t="n">
        <f aca="false">C31-D31</f>
        <v>-86173.66</v>
      </c>
      <c r="F31" s="17" t="n">
        <f aca="false">D31/C31</f>
        <v>1.27580978837035</v>
      </c>
      <c r="G31" s="17" t="n">
        <f aca="false">D31/$D$32</f>
        <v>0.200098101244504</v>
      </c>
    </row>
    <row r="32" customFormat="false" ht="15" hidden="false" customHeight="true" outlineLevel="0" collapsed="false">
      <c r="B32" s="18" t="s">
        <v>53</v>
      </c>
      <c r="C32" s="19" t="n">
        <v>1953293.73</v>
      </c>
      <c r="D32" s="19" t="n">
        <v>1992084.82</v>
      </c>
      <c r="E32" s="20" t="n">
        <f aca="false">C32-D32</f>
        <v>-38791.0900000001</v>
      </c>
      <c r="F32" s="21" t="n">
        <f aca="false">D32/C32</f>
        <v>1.0198593224379</v>
      </c>
      <c r="G32" s="21" t="n">
        <v>1</v>
      </c>
    </row>
    <row r="35" customFormat="false" ht="15" hidden="false" customHeight="true" outlineLevel="0" collapsed="false">
      <c r="B35" s="6" t="s">
        <v>54</v>
      </c>
      <c r="C35" s="6"/>
      <c r="D35" s="6"/>
      <c r="E35" s="6"/>
      <c r="F35" s="6"/>
      <c r="G35" s="6"/>
      <c r="H35" s="6"/>
      <c r="I35" s="6"/>
    </row>
    <row r="36" customFormat="false" ht="15" hidden="false" customHeight="true" outlineLevel="0" collapsed="false">
      <c r="B36" s="22" t="s">
        <v>15</v>
      </c>
      <c r="C36" s="23" t="s">
        <v>16</v>
      </c>
      <c r="E36" s="22" t="s">
        <v>24</v>
      </c>
      <c r="F36" s="23" t="s">
        <v>25</v>
      </c>
      <c r="H36" s="22" t="s">
        <v>55</v>
      </c>
      <c r="I36" s="23" t="s">
        <v>28</v>
      </c>
    </row>
    <row r="37" customFormat="false" ht="30" hidden="false" customHeight="true" outlineLevel="0" collapsed="false">
      <c r="B37" s="22" t="s">
        <v>18</v>
      </c>
      <c r="C37" s="23" t="s">
        <v>19</v>
      </c>
      <c r="E37" s="22" t="s">
        <v>56</v>
      </c>
      <c r="F37" s="23" t="s">
        <v>22</v>
      </c>
    </row>
    <row r="40" customFormat="false" ht="15" hidden="false" customHeight="false" outlineLevel="0" collapsed="false">
      <c r="B40" s="24" t="s">
        <v>57</v>
      </c>
      <c r="C40" s="24"/>
      <c r="D40" s="24"/>
      <c r="E40" s="24"/>
      <c r="F40" s="24"/>
      <c r="G40" s="24"/>
      <c r="H40" s="24"/>
    </row>
    <row r="41" customFormat="false" ht="15" hidden="false" customHeight="false" outlineLevel="0" collapsed="false">
      <c r="B41" s="25" t="s">
        <v>58</v>
      </c>
      <c r="C41" s="25"/>
      <c r="D41" s="25"/>
      <c r="E41" s="25"/>
      <c r="F41" s="25"/>
      <c r="G41" s="25"/>
      <c r="H41" s="25"/>
    </row>
    <row r="43" customFormat="false" ht="15" hidden="false" customHeight="false" outlineLevel="0" collapsed="false">
      <c r="B43" s="26" t="s">
        <v>59</v>
      </c>
      <c r="C43" s="26" t="s">
        <v>60</v>
      </c>
    </row>
    <row r="44" customFormat="false" ht="15" hidden="false" customHeight="false" outlineLevel="0" collapsed="false">
      <c r="B44" s="27" t="s">
        <v>10</v>
      </c>
      <c r="C44" s="28" t="s">
        <v>61</v>
      </c>
    </row>
    <row r="45" customFormat="false" ht="15" hidden="false" customHeight="false" outlineLevel="0" collapsed="false">
      <c r="B45" s="27" t="s">
        <v>62</v>
      </c>
      <c r="C45" s="28" t="s">
        <v>63</v>
      </c>
    </row>
    <row r="46" customFormat="false" ht="15" hidden="false" customHeight="false" outlineLevel="0" collapsed="false">
      <c r="B46" s="27" t="s">
        <v>64</v>
      </c>
      <c r="C46" s="28" t="s">
        <v>65</v>
      </c>
    </row>
    <row r="47" customFormat="false" ht="15" hidden="false" customHeight="false" outlineLevel="0" collapsed="false">
      <c r="B47" s="27" t="s">
        <v>66</v>
      </c>
      <c r="C47" s="28" t="s">
        <v>67</v>
      </c>
    </row>
    <row r="48" customFormat="false" ht="15" hidden="false" customHeight="false" outlineLevel="0" collapsed="false">
      <c r="B48" s="27" t="s">
        <v>68</v>
      </c>
      <c r="C48" s="28" t="s">
        <v>69</v>
      </c>
    </row>
    <row r="49" customFormat="false" ht="15" hidden="false" customHeight="false" outlineLevel="0" collapsed="false">
      <c r="B49" s="27" t="s">
        <v>70</v>
      </c>
      <c r="C49" s="28" t="s">
        <v>71</v>
      </c>
    </row>
    <row r="50" customFormat="false" ht="15" hidden="false" customHeight="false" outlineLevel="0" collapsed="false">
      <c r="B50" s="27" t="s">
        <v>72</v>
      </c>
      <c r="C50" s="28" t="s">
        <v>73</v>
      </c>
    </row>
    <row r="51" customFormat="false" ht="15" hidden="false" customHeight="false" outlineLevel="0" collapsed="false">
      <c r="B51" s="27" t="s">
        <v>74</v>
      </c>
      <c r="C51" s="28" t="s">
        <v>75</v>
      </c>
    </row>
    <row r="52" customFormat="false" ht="15" hidden="false" customHeight="false" outlineLevel="0" collapsed="false">
      <c r="B52" s="27" t="s">
        <v>76</v>
      </c>
      <c r="C52" s="28" t="s">
        <v>77</v>
      </c>
    </row>
    <row r="53" customFormat="false" ht="15" hidden="false" customHeight="false" outlineLevel="0" collapsed="false">
      <c r="B53" s="27" t="s">
        <v>78</v>
      </c>
      <c r="C53" s="28" t="s">
        <v>79</v>
      </c>
    </row>
    <row r="54" customFormat="false" ht="15" hidden="false" customHeight="false" outlineLevel="0" collapsed="false">
      <c r="B54" s="27" t="s">
        <v>80</v>
      </c>
      <c r="C54" s="28" t="s">
        <v>81</v>
      </c>
    </row>
    <row r="55" customFormat="false" ht="15" hidden="false" customHeight="false" outlineLevel="0" collapsed="false">
      <c r="B55" s="27" t="s">
        <v>82</v>
      </c>
      <c r="C55" s="28" t="s">
        <v>83</v>
      </c>
    </row>
    <row r="56" customFormat="false" ht="15" hidden="false" customHeight="false" outlineLevel="0" collapsed="false">
      <c r="B56" s="27" t="s">
        <v>84</v>
      </c>
      <c r="C56" s="28" t="s">
        <v>85</v>
      </c>
    </row>
    <row r="57" customFormat="false" ht="15" hidden="false" customHeight="false" outlineLevel="0" collapsed="false">
      <c r="B57" s="27" t="s">
        <v>86</v>
      </c>
      <c r="C57" s="28" t="s">
        <v>87</v>
      </c>
    </row>
    <row r="58" customFormat="false" ht="15" hidden="false" customHeight="false" outlineLevel="0" collapsed="false">
      <c r="B58" s="27" t="s">
        <v>88</v>
      </c>
      <c r="C58" s="28" t="s">
        <v>89</v>
      </c>
    </row>
    <row r="59" customFormat="false" ht="15" hidden="false" customHeight="false" outlineLevel="0" collapsed="false">
      <c r="B59" s="27" t="s">
        <v>90</v>
      </c>
      <c r="C59" s="28" t="s">
        <v>91</v>
      </c>
    </row>
    <row r="60" customFormat="false" ht="15" hidden="false" customHeight="false" outlineLevel="0" collapsed="false">
      <c r="B60" s="27" t="s">
        <v>92</v>
      </c>
      <c r="C60" s="28" t="s">
        <v>93</v>
      </c>
    </row>
    <row r="61" customFormat="false" ht="15" hidden="false" customHeight="false" outlineLevel="0" collapsed="false">
      <c r="B61" s="27" t="s">
        <v>94</v>
      </c>
      <c r="C61" s="28" t="s">
        <v>95</v>
      </c>
    </row>
    <row r="62" customFormat="false" ht="15" hidden="false" customHeight="false" outlineLevel="0" collapsed="false">
      <c r="B62" s="27" t="s">
        <v>96</v>
      </c>
      <c r="C62" s="28" t="s">
        <v>97</v>
      </c>
    </row>
    <row r="63" customFormat="false" ht="15" hidden="false" customHeight="false" outlineLevel="0" collapsed="false">
      <c r="B63" s="27" t="s">
        <v>98</v>
      </c>
      <c r="C63" s="28" t="s">
        <v>99</v>
      </c>
    </row>
    <row r="64" customFormat="false" ht="15" hidden="false" customHeight="false" outlineLevel="0" collapsed="false">
      <c r="B64" s="27" t="s">
        <v>100</v>
      </c>
      <c r="C64" s="28" t="s">
        <v>101</v>
      </c>
    </row>
    <row r="65" customFormat="false" ht="15" hidden="false" customHeight="false" outlineLevel="0" collapsed="false">
      <c r="B65" s="27" t="s">
        <v>102</v>
      </c>
      <c r="C65" s="28" t="s">
        <v>103</v>
      </c>
    </row>
    <row r="66" customFormat="false" ht="23.85" hidden="false" customHeight="false" outlineLevel="0" collapsed="false">
      <c r="B66" s="27" t="s">
        <v>104</v>
      </c>
      <c r="C66" s="28" t="s">
        <v>105</v>
      </c>
    </row>
  </sheetData>
  <mergeCells count="23">
    <mergeCell ref="A1:J1"/>
    <mergeCell ref="A2:J2"/>
    <mergeCell ref="B6:D6"/>
    <mergeCell ref="B9:D9"/>
    <mergeCell ref="B11:D11"/>
    <mergeCell ref="B15:D15"/>
    <mergeCell ref="B17:D17"/>
    <mergeCell ref="B22:C22"/>
    <mergeCell ref="D22:E22"/>
    <mergeCell ref="F22:G22"/>
    <mergeCell ref="H22:I22"/>
    <mergeCell ref="B23:C23"/>
    <mergeCell ref="D23:E23"/>
    <mergeCell ref="F23:G23"/>
    <mergeCell ref="H23:I23"/>
    <mergeCell ref="B24:C24"/>
    <mergeCell ref="D24:E24"/>
    <mergeCell ref="F24:G24"/>
    <mergeCell ref="H24:I24"/>
    <mergeCell ref="B26:I26"/>
    <mergeCell ref="B35:I35"/>
    <mergeCell ref="B40:H40"/>
    <mergeCell ref="B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5" min="4" style="0" width="22"/>
    <col collapsed="false" customWidth="true" hidden="false" outlineLevel="0" max="6" min="6" style="0" width="30"/>
  </cols>
  <sheetData>
    <row r="2" customFormat="false" ht="17.35" hidden="false" customHeight="false" outlineLevel="0" collapsed="false">
      <c r="B2" s="29" t="s">
        <v>106</v>
      </c>
      <c r="C2" s="29"/>
      <c r="D2" s="29"/>
      <c r="E2" s="29"/>
      <c r="F2" s="29"/>
    </row>
    <row r="3" customFormat="false" ht="15" hidden="false" customHeight="false" outlineLevel="0" collapsed="false">
      <c r="B3" s="25" t="s">
        <v>107</v>
      </c>
      <c r="C3" s="25"/>
      <c r="D3" s="25"/>
      <c r="E3" s="25"/>
      <c r="F3" s="25"/>
    </row>
    <row r="5" customFormat="false" ht="15" hidden="false" customHeight="false" outlineLevel="0" collapsed="false">
      <c r="B5" s="30" t="s">
        <v>4</v>
      </c>
      <c r="C5" s="30"/>
      <c r="D5" s="30"/>
      <c r="E5" s="30"/>
      <c r="F5" s="30"/>
    </row>
    <row r="6" customFormat="false" ht="15" hidden="false" customHeight="true" outlineLevel="0" collapsed="false">
      <c r="B6" s="31" t="s">
        <v>108</v>
      </c>
      <c r="C6" s="32" t="s">
        <v>6</v>
      </c>
      <c r="D6" s="32"/>
      <c r="E6" s="32"/>
      <c r="F6" s="32"/>
    </row>
    <row r="7" customFormat="false" ht="15" hidden="false" customHeight="true" outlineLevel="0" collapsed="false">
      <c r="B7" s="31" t="s">
        <v>109</v>
      </c>
      <c r="C7" s="32" t="s">
        <v>8</v>
      </c>
      <c r="D7" s="32"/>
      <c r="E7" s="32"/>
      <c r="F7" s="32"/>
    </row>
    <row r="8" customFormat="false" ht="15" hidden="false" customHeight="true" outlineLevel="0" collapsed="false">
      <c r="B8" s="31" t="s">
        <v>110</v>
      </c>
      <c r="C8" s="32" t="s">
        <v>111</v>
      </c>
      <c r="D8" s="32"/>
      <c r="E8" s="32"/>
      <c r="F8" s="32"/>
    </row>
    <row r="9" customFormat="false" ht="15" hidden="false" customHeight="true" outlineLevel="0" collapsed="false">
      <c r="B9" s="31" t="s">
        <v>112</v>
      </c>
      <c r="C9" s="32" t="s">
        <v>99</v>
      </c>
      <c r="D9" s="32"/>
      <c r="E9" s="32"/>
      <c r="F9" s="32"/>
    </row>
    <row r="10" customFormat="false" ht="15" hidden="false" customHeight="true" outlineLevel="0" collapsed="false">
      <c r="B10" s="31" t="s">
        <v>113</v>
      </c>
      <c r="C10" s="32" t="s">
        <v>91</v>
      </c>
      <c r="D10" s="32"/>
      <c r="E10" s="32"/>
      <c r="F10" s="32"/>
    </row>
    <row r="11" customFormat="false" ht="15" hidden="false" customHeight="true" outlineLevel="0" collapsed="false">
      <c r="B11" s="31" t="s">
        <v>98</v>
      </c>
      <c r="C11" s="32" t="s">
        <v>99</v>
      </c>
      <c r="D11" s="32"/>
      <c r="E11" s="32"/>
      <c r="F11" s="32"/>
    </row>
    <row r="12" customFormat="false" ht="15" hidden="false" customHeight="true" outlineLevel="0" collapsed="false">
      <c r="B12" s="31" t="s">
        <v>100</v>
      </c>
      <c r="C12" s="32" t="s">
        <v>101</v>
      </c>
      <c r="D12" s="32"/>
      <c r="E12" s="32"/>
      <c r="F12" s="32"/>
    </row>
    <row r="14" customFormat="false" ht="15" hidden="false" customHeight="false" outlineLevel="0" collapsed="false">
      <c r="B14" s="30" t="s">
        <v>20</v>
      </c>
      <c r="C14" s="30"/>
      <c r="D14" s="30"/>
      <c r="E14" s="30"/>
      <c r="F14" s="30"/>
    </row>
    <row r="15" customFormat="false" ht="15" hidden="false" customHeight="true" outlineLevel="0" collapsed="false">
      <c r="B15" s="31" t="s">
        <v>114</v>
      </c>
      <c r="C15" s="32" t="s">
        <v>115</v>
      </c>
      <c r="D15" s="32"/>
      <c r="E15" s="32"/>
      <c r="F15" s="32"/>
    </row>
    <row r="16" customFormat="false" ht="15" hidden="false" customHeight="true" outlineLevel="0" collapsed="false">
      <c r="B16" s="31" t="s">
        <v>116</v>
      </c>
      <c r="C16" s="32" t="s">
        <v>117</v>
      </c>
      <c r="D16" s="32"/>
      <c r="E16" s="32"/>
      <c r="F16" s="32"/>
    </row>
    <row r="17" customFormat="false" ht="15" hidden="false" customHeight="true" outlineLevel="0" collapsed="false">
      <c r="B17" s="31" t="s">
        <v>56</v>
      </c>
      <c r="C17" s="32" t="s">
        <v>118</v>
      </c>
      <c r="D17" s="32"/>
      <c r="E17" s="32"/>
      <c r="F17" s="32"/>
    </row>
    <row r="19" customFormat="false" ht="15" hidden="false" customHeight="false" outlineLevel="0" collapsed="false">
      <c r="B19" s="30" t="s">
        <v>119</v>
      </c>
      <c r="C19" s="30"/>
      <c r="D19" s="30"/>
      <c r="E19" s="30"/>
      <c r="F19" s="30"/>
    </row>
    <row r="20" customFormat="false" ht="15" hidden="false" customHeight="true" outlineLevel="0" collapsed="false">
      <c r="B20" s="31" t="s">
        <v>120</v>
      </c>
      <c r="C20" s="32" t="s">
        <v>121</v>
      </c>
      <c r="D20" s="32"/>
      <c r="E20" s="32"/>
      <c r="F20" s="32"/>
    </row>
    <row r="21" customFormat="false" ht="15" hidden="false" customHeight="true" outlineLevel="0" collapsed="false">
      <c r="B21" s="31" t="s">
        <v>122</v>
      </c>
      <c r="C21" s="32" t="s">
        <v>123</v>
      </c>
      <c r="D21" s="32"/>
      <c r="E21" s="32"/>
      <c r="F21" s="32"/>
    </row>
    <row r="22" customFormat="false" ht="15" hidden="false" customHeight="true" outlineLevel="0" collapsed="false">
      <c r="B22" s="31" t="s">
        <v>124</v>
      </c>
      <c r="C22" s="32" t="s">
        <v>125</v>
      </c>
      <c r="D22" s="32"/>
      <c r="E22" s="32"/>
      <c r="F22" s="32"/>
    </row>
    <row r="23" customFormat="false" ht="15" hidden="false" customHeight="true" outlineLevel="0" collapsed="false">
      <c r="B23" s="31" t="s">
        <v>126</v>
      </c>
      <c r="C23" s="32" t="s">
        <v>34</v>
      </c>
      <c r="D23" s="32"/>
      <c r="E23" s="32"/>
      <c r="F23" s="32"/>
    </row>
    <row r="24" customFormat="false" ht="15" hidden="false" customHeight="true" outlineLevel="0" collapsed="false">
      <c r="B24" s="31" t="s">
        <v>127</v>
      </c>
      <c r="C24" s="32" t="s">
        <v>36</v>
      </c>
      <c r="D24" s="32"/>
      <c r="E24" s="32"/>
      <c r="F24" s="32"/>
    </row>
    <row r="25" customFormat="false" ht="15" hidden="false" customHeight="true" outlineLevel="0" collapsed="false">
      <c r="B25" s="31" t="s">
        <v>128</v>
      </c>
      <c r="C25" s="32" t="s">
        <v>35</v>
      </c>
      <c r="D25" s="32"/>
      <c r="E25" s="32"/>
      <c r="F25" s="32"/>
    </row>
    <row r="26" customFormat="false" ht="15" hidden="false" customHeight="true" outlineLevel="0" collapsed="false">
      <c r="B26" s="31" t="s">
        <v>129</v>
      </c>
      <c r="C26" s="32" t="s">
        <v>130</v>
      </c>
      <c r="D26" s="32"/>
      <c r="E26" s="32"/>
      <c r="F26" s="32"/>
    </row>
    <row r="27" customFormat="false" ht="15" hidden="false" customHeight="true" outlineLevel="0" collapsed="false">
      <c r="B27" s="31" t="s">
        <v>131</v>
      </c>
      <c r="C27" s="32" t="s">
        <v>132</v>
      </c>
      <c r="D27" s="32"/>
      <c r="E27" s="32"/>
      <c r="F27" s="32"/>
    </row>
    <row r="28" customFormat="false" ht="15" hidden="false" customHeight="true" outlineLevel="0" collapsed="false">
      <c r="B28" s="31" t="s">
        <v>92</v>
      </c>
      <c r="C28" s="32" t="s">
        <v>93</v>
      </c>
      <c r="D28" s="32"/>
      <c r="E28" s="32"/>
      <c r="F28" s="32"/>
    </row>
    <row r="29" customFormat="false" ht="15" hidden="false" customHeight="true" outlineLevel="0" collapsed="false">
      <c r="B29" s="31" t="s">
        <v>133</v>
      </c>
      <c r="C29" s="32" t="s">
        <v>95</v>
      </c>
      <c r="D29" s="32"/>
      <c r="E29" s="32"/>
      <c r="F29" s="32"/>
    </row>
    <row r="30" customFormat="false" ht="15" hidden="false" customHeight="true" outlineLevel="0" collapsed="false">
      <c r="B30" s="31" t="s">
        <v>96</v>
      </c>
      <c r="C30" s="32" t="s">
        <v>97</v>
      </c>
      <c r="D30" s="32"/>
      <c r="E30" s="32"/>
      <c r="F30" s="32"/>
    </row>
    <row r="31" customFormat="false" ht="15" hidden="false" customHeight="true" outlineLevel="0" collapsed="false">
      <c r="B31" s="31" t="s">
        <v>102</v>
      </c>
      <c r="C31" s="32" t="s">
        <v>103</v>
      </c>
      <c r="D31" s="32"/>
      <c r="E31" s="32"/>
      <c r="F31" s="32"/>
    </row>
    <row r="33" customFormat="false" ht="15" hidden="false" customHeight="false" outlineLevel="0" collapsed="false">
      <c r="B33" s="30" t="s">
        <v>134</v>
      </c>
      <c r="C33" s="30"/>
      <c r="D33" s="30"/>
      <c r="E33" s="30"/>
      <c r="F33" s="30"/>
    </row>
    <row r="34" customFormat="false" ht="15" hidden="false" customHeight="true" outlineLevel="0" collapsed="false">
      <c r="B34" s="31" t="s">
        <v>15</v>
      </c>
      <c r="C34" s="32" t="s">
        <v>16</v>
      </c>
      <c r="D34" s="32"/>
      <c r="E34" s="32"/>
      <c r="F34" s="32"/>
    </row>
    <row r="35" customFormat="false" ht="15" hidden="false" customHeight="true" outlineLevel="0" collapsed="false">
      <c r="B35" s="31" t="s">
        <v>135</v>
      </c>
      <c r="C35" s="32" t="s">
        <v>136</v>
      </c>
      <c r="D35" s="32"/>
      <c r="E35" s="32"/>
      <c r="F35" s="32"/>
    </row>
    <row r="36" customFormat="false" ht="15" hidden="false" customHeight="true" outlineLevel="0" collapsed="false">
      <c r="B36" s="31" t="s">
        <v>18</v>
      </c>
      <c r="C36" s="32" t="s">
        <v>19</v>
      </c>
      <c r="D36" s="32"/>
      <c r="E36" s="32"/>
      <c r="F36" s="32"/>
    </row>
    <row r="37" customFormat="false" ht="15" hidden="false" customHeight="true" outlineLevel="0" collapsed="false">
      <c r="B37" s="31" t="s">
        <v>137</v>
      </c>
      <c r="C37" s="32" t="s">
        <v>138</v>
      </c>
      <c r="D37" s="32"/>
      <c r="E37" s="32"/>
      <c r="F37" s="32"/>
    </row>
    <row r="39" customFormat="false" ht="15" hidden="false" customHeight="false" outlineLevel="0" collapsed="false">
      <c r="B39" s="30" t="s">
        <v>139</v>
      </c>
      <c r="C39" s="30"/>
      <c r="D39" s="30"/>
      <c r="E39" s="30"/>
      <c r="F39" s="30"/>
    </row>
    <row r="40" customFormat="false" ht="15" hidden="false" customHeight="true" outlineLevel="0" collapsed="false">
      <c r="B40" s="31" t="s">
        <v>10</v>
      </c>
      <c r="C40" s="32" t="s">
        <v>61</v>
      </c>
      <c r="D40" s="32"/>
      <c r="E40" s="32"/>
      <c r="F40" s="32"/>
    </row>
    <row r="41" customFormat="false" ht="15" hidden="false" customHeight="true" outlineLevel="0" collapsed="false">
      <c r="B41" s="31" t="s">
        <v>62</v>
      </c>
      <c r="C41" s="32" t="s">
        <v>63</v>
      </c>
      <c r="D41" s="32"/>
      <c r="E41" s="32"/>
      <c r="F41" s="32"/>
    </row>
    <row r="42" customFormat="false" ht="15" hidden="false" customHeight="true" outlineLevel="0" collapsed="false">
      <c r="B42" s="31" t="s">
        <v>64</v>
      </c>
      <c r="C42" s="32" t="s">
        <v>65</v>
      </c>
      <c r="D42" s="32"/>
      <c r="E42" s="32"/>
      <c r="F42" s="32"/>
    </row>
    <row r="43" customFormat="false" ht="15" hidden="false" customHeight="true" outlineLevel="0" collapsed="false">
      <c r="B43" s="31" t="s">
        <v>66</v>
      </c>
      <c r="C43" s="32" t="s">
        <v>67</v>
      </c>
      <c r="D43" s="32"/>
      <c r="E43" s="32"/>
      <c r="F43" s="32"/>
    </row>
    <row r="45" customFormat="false" ht="15" hidden="false" customHeight="false" outlineLevel="0" collapsed="false">
      <c r="B45" s="30" t="s">
        <v>140</v>
      </c>
      <c r="C45" s="30"/>
      <c r="D45" s="30"/>
      <c r="E45" s="30"/>
      <c r="F45" s="30"/>
    </row>
    <row r="46" customFormat="false" ht="15" hidden="false" customHeight="true" outlineLevel="0" collapsed="false">
      <c r="B46" s="31" t="s">
        <v>68</v>
      </c>
      <c r="C46" s="32" t="s">
        <v>69</v>
      </c>
      <c r="D46" s="32"/>
      <c r="E46" s="32"/>
      <c r="F46" s="32"/>
    </row>
    <row r="47" customFormat="false" ht="15" hidden="false" customHeight="true" outlineLevel="0" collapsed="false">
      <c r="B47" s="31" t="s">
        <v>70</v>
      </c>
      <c r="C47" s="32" t="s">
        <v>71</v>
      </c>
      <c r="D47" s="32"/>
      <c r="E47" s="32"/>
      <c r="F47" s="32"/>
    </row>
    <row r="48" customFormat="false" ht="15" hidden="false" customHeight="true" outlineLevel="0" collapsed="false">
      <c r="B48" s="31" t="s">
        <v>72</v>
      </c>
      <c r="C48" s="32" t="s">
        <v>73</v>
      </c>
      <c r="D48" s="32"/>
      <c r="E48" s="32"/>
      <c r="F48" s="32"/>
    </row>
    <row r="50" customFormat="false" ht="15" hidden="false" customHeight="false" outlineLevel="0" collapsed="false">
      <c r="B50" s="30" t="s">
        <v>141</v>
      </c>
      <c r="C50" s="30"/>
      <c r="D50" s="30"/>
      <c r="E50" s="30"/>
      <c r="F50" s="30"/>
    </row>
    <row r="51" customFormat="false" ht="15" hidden="false" customHeight="true" outlineLevel="0" collapsed="false">
      <c r="B51" s="31" t="s">
        <v>74</v>
      </c>
      <c r="C51" s="32" t="s">
        <v>75</v>
      </c>
      <c r="D51" s="32"/>
      <c r="E51" s="32"/>
      <c r="F51" s="32"/>
    </row>
    <row r="52" customFormat="false" ht="15" hidden="false" customHeight="true" outlineLevel="0" collapsed="false">
      <c r="B52" s="31" t="s">
        <v>76</v>
      </c>
      <c r="C52" s="32" t="s">
        <v>77</v>
      </c>
      <c r="D52" s="32"/>
      <c r="E52" s="32"/>
      <c r="F52" s="32"/>
    </row>
    <row r="54" customFormat="false" ht="15" hidden="false" customHeight="false" outlineLevel="0" collapsed="false">
      <c r="B54" s="30" t="s">
        <v>142</v>
      </c>
      <c r="C54" s="30"/>
      <c r="D54" s="30"/>
      <c r="E54" s="30"/>
      <c r="F54" s="30"/>
    </row>
    <row r="55" customFormat="false" ht="15" hidden="false" customHeight="true" outlineLevel="0" collapsed="false">
      <c r="B55" s="31" t="s">
        <v>78</v>
      </c>
      <c r="C55" s="32" t="s">
        <v>79</v>
      </c>
      <c r="D55" s="32"/>
      <c r="E55" s="32"/>
      <c r="F55" s="32"/>
    </row>
    <row r="56" customFormat="false" ht="15" hidden="false" customHeight="true" outlineLevel="0" collapsed="false">
      <c r="B56" s="31" t="s">
        <v>80</v>
      </c>
      <c r="C56" s="32" t="s">
        <v>81</v>
      </c>
      <c r="D56" s="32"/>
      <c r="E56" s="32"/>
      <c r="F56" s="32"/>
    </row>
    <row r="57" customFormat="false" ht="15" hidden="false" customHeight="true" outlineLevel="0" collapsed="false">
      <c r="B57" s="31" t="s">
        <v>82</v>
      </c>
      <c r="C57" s="32" t="s">
        <v>83</v>
      </c>
      <c r="D57" s="32"/>
      <c r="E57" s="32"/>
      <c r="F57" s="32"/>
    </row>
    <row r="58" customFormat="false" ht="15" hidden="false" customHeight="true" outlineLevel="0" collapsed="false">
      <c r="B58" s="31" t="s">
        <v>84</v>
      </c>
      <c r="C58" s="32" t="s">
        <v>85</v>
      </c>
      <c r="D58" s="32"/>
      <c r="E58" s="32"/>
      <c r="F58" s="32"/>
    </row>
    <row r="59" customFormat="false" ht="15" hidden="false" customHeight="true" outlineLevel="0" collapsed="false">
      <c r="B59" s="31" t="s">
        <v>86</v>
      </c>
      <c r="C59" s="32" t="s">
        <v>87</v>
      </c>
      <c r="D59" s="32"/>
      <c r="E59" s="32"/>
      <c r="F59" s="32"/>
    </row>
    <row r="60" customFormat="false" ht="15" hidden="false" customHeight="true" outlineLevel="0" collapsed="false">
      <c r="B60" s="31" t="s">
        <v>88</v>
      </c>
      <c r="C60" s="32" t="s">
        <v>89</v>
      </c>
      <c r="D60" s="32"/>
      <c r="E60" s="32"/>
      <c r="F60" s="32"/>
    </row>
    <row r="61" customFormat="false" ht="15" hidden="false" customHeight="true" outlineLevel="0" collapsed="false">
      <c r="B61" s="31" t="s">
        <v>143</v>
      </c>
      <c r="C61" s="32" t="s">
        <v>144</v>
      </c>
      <c r="D61" s="32"/>
      <c r="E61" s="32"/>
      <c r="F61" s="32"/>
    </row>
    <row r="62" customFormat="false" ht="15" hidden="false" customHeight="true" outlineLevel="0" collapsed="false">
      <c r="B62" s="31" t="s">
        <v>145</v>
      </c>
      <c r="C62" s="32" t="s">
        <v>144</v>
      </c>
      <c r="D62" s="32"/>
      <c r="E62" s="32"/>
      <c r="F62" s="32"/>
    </row>
    <row r="64" customFormat="false" ht="15" hidden="false" customHeight="false" outlineLevel="0" collapsed="false">
      <c r="B64" s="30" t="s">
        <v>146</v>
      </c>
      <c r="C64" s="30"/>
      <c r="D64" s="30"/>
      <c r="E64" s="30"/>
      <c r="F64" s="30"/>
    </row>
    <row r="65" customFormat="false" ht="15" hidden="false" customHeight="true" outlineLevel="0" collapsed="false">
      <c r="B65" s="31" t="s">
        <v>147</v>
      </c>
      <c r="C65" s="32" t="s">
        <v>148</v>
      </c>
      <c r="D65" s="32"/>
      <c r="E65" s="32"/>
      <c r="F65" s="32"/>
    </row>
    <row r="66" customFormat="false" ht="15" hidden="false" customHeight="true" outlineLevel="0" collapsed="false">
      <c r="B66" s="31" t="s">
        <v>149</v>
      </c>
      <c r="C66" s="32" t="s">
        <v>150</v>
      </c>
      <c r="D66" s="32"/>
      <c r="E66" s="32"/>
      <c r="F66" s="32"/>
    </row>
    <row r="67" customFormat="false" ht="15" hidden="false" customHeight="true" outlineLevel="0" collapsed="false">
      <c r="B67" s="31" t="s">
        <v>151</v>
      </c>
      <c r="C67" s="32" t="s">
        <v>152</v>
      </c>
      <c r="D67" s="32"/>
      <c r="E67" s="32"/>
      <c r="F67" s="32"/>
    </row>
    <row r="68" customFormat="false" ht="15" hidden="false" customHeight="true" outlineLevel="0" collapsed="false">
      <c r="B68" s="31" t="s">
        <v>153</v>
      </c>
      <c r="C68" s="32" t="s">
        <v>154</v>
      </c>
      <c r="D68" s="32"/>
      <c r="E68" s="32"/>
      <c r="F68" s="32"/>
    </row>
    <row r="69" customFormat="false" ht="15" hidden="false" customHeight="true" outlineLevel="0" collapsed="false">
      <c r="B69" s="31" t="s">
        <v>155</v>
      </c>
      <c r="C69" s="32" t="s">
        <v>156</v>
      </c>
      <c r="D69" s="32"/>
      <c r="E69" s="32"/>
      <c r="F69" s="32"/>
    </row>
    <row r="70" customFormat="false" ht="15" hidden="false" customHeight="true" outlineLevel="0" collapsed="false">
      <c r="B70" s="31" t="s">
        <v>157</v>
      </c>
      <c r="C70" s="32" t="s">
        <v>158</v>
      </c>
      <c r="D70" s="32"/>
      <c r="E70" s="32"/>
      <c r="F70" s="32"/>
    </row>
    <row r="71" customFormat="false" ht="15" hidden="false" customHeight="true" outlineLevel="0" collapsed="false">
      <c r="B71" s="31" t="s">
        <v>159</v>
      </c>
      <c r="C71" s="32" t="s">
        <v>160</v>
      </c>
      <c r="D71" s="32"/>
      <c r="E71" s="32"/>
      <c r="F71" s="32"/>
    </row>
    <row r="72" customFormat="false" ht="15" hidden="false" customHeight="true" outlineLevel="0" collapsed="false">
      <c r="B72" s="31" t="s">
        <v>161</v>
      </c>
      <c r="C72" s="32" t="s">
        <v>162</v>
      </c>
      <c r="D72" s="32"/>
      <c r="E72" s="32"/>
      <c r="F72" s="32"/>
    </row>
    <row r="74" customFormat="false" ht="15" hidden="false" customHeight="false" outlineLevel="0" collapsed="false">
      <c r="B74" s="30" t="s">
        <v>163</v>
      </c>
      <c r="C74" s="30"/>
      <c r="D74" s="30"/>
      <c r="E74" s="30"/>
      <c r="F74" s="30"/>
    </row>
    <row r="75" customFormat="false" ht="15" hidden="false" customHeight="true" outlineLevel="0" collapsed="false">
      <c r="B75" s="31" t="s">
        <v>164</v>
      </c>
      <c r="C75" s="32" t="s">
        <v>165</v>
      </c>
      <c r="D75" s="32"/>
      <c r="E75" s="32"/>
      <c r="F75" s="32"/>
    </row>
    <row r="76" customFormat="false" ht="15" hidden="false" customHeight="true" outlineLevel="0" collapsed="false">
      <c r="B76" s="31" t="s">
        <v>166</v>
      </c>
      <c r="C76" s="32" t="s">
        <v>167</v>
      </c>
      <c r="D76" s="32"/>
      <c r="E76" s="32"/>
      <c r="F76" s="32"/>
    </row>
    <row r="77" customFormat="false" ht="15" hidden="false" customHeight="true" outlineLevel="0" collapsed="false">
      <c r="B77" s="31" t="s">
        <v>168</v>
      </c>
      <c r="C77" s="32" t="s">
        <v>169</v>
      </c>
      <c r="D77" s="32"/>
      <c r="E77" s="32"/>
      <c r="F77" s="32"/>
    </row>
    <row r="78" customFormat="false" ht="15" hidden="false" customHeight="true" outlineLevel="0" collapsed="false">
      <c r="B78" s="31" t="s">
        <v>170</v>
      </c>
      <c r="C78" s="32" t="s">
        <v>171</v>
      </c>
      <c r="D78" s="32"/>
      <c r="E78" s="32"/>
      <c r="F78" s="32"/>
    </row>
    <row r="79" customFormat="false" ht="15" hidden="false" customHeight="true" outlineLevel="0" collapsed="false">
      <c r="B79" s="31" t="s">
        <v>172</v>
      </c>
      <c r="C79" s="32" t="s">
        <v>173</v>
      </c>
      <c r="D79" s="32"/>
      <c r="E79" s="32"/>
      <c r="F79" s="32"/>
    </row>
    <row r="80" customFormat="false" ht="15" hidden="false" customHeight="true" outlineLevel="0" collapsed="false">
      <c r="B80" s="31" t="s">
        <v>174</v>
      </c>
      <c r="C80" s="32" t="s">
        <v>105</v>
      </c>
      <c r="D80" s="32"/>
      <c r="E80" s="32"/>
      <c r="F80" s="32"/>
    </row>
  </sheetData>
  <mergeCells count="69">
    <mergeCell ref="B2:F2"/>
    <mergeCell ref="B3:F3"/>
    <mergeCell ref="B5:F5"/>
    <mergeCell ref="C6:F6"/>
    <mergeCell ref="C7:F7"/>
    <mergeCell ref="C8:F8"/>
    <mergeCell ref="C9:F9"/>
    <mergeCell ref="C10:F10"/>
    <mergeCell ref="C11:F11"/>
    <mergeCell ref="C12:F12"/>
    <mergeCell ref="B14:F14"/>
    <mergeCell ref="C15:F15"/>
    <mergeCell ref="C16:F16"/>
    <mergeCell ref="C17:F17"/>
    <mergeCell ref="B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B33:F33"/>
    <mergeCell ref="C34:F34"/>
    <mergeCell ref="C35:F35"/>
    <mergeCell ref="C36:F36"/>
    <mergeCell ref="C37:F37"/>
    <mergeCell ref="B39:F39"/>
    <mergeCell ref="C40:F40"/>
    <mergeCell ref="C41:F41"/>
    <mergeCell ref="C42:F42"/>
    <mergeCell ref="C43:F43"/>
    <mergeCell ref="B45:F45"/>
    <mergeCell ref="C46:F46"/>
    <mergeCell ref="C47:F47"/>
    <mergeCell ref="C48:F48"/>
    <mergeCell ref="B50:F50"/>
    <mergeCell ref="C51:F51"/>
    <mergeCell ref="C52:F52"/>
    <mergeCell ref="B54:F54"/>
    <mergeCell ref="C55:F55"/>
    <mergeCell ref="C56:F56"/>
    <mergeCell ref="C57:F57"/>
    <mergeCell ref="C58:F58"/>
    <mergeCell ref="C59:F59"/>
    <mergeCell ref="C60:F60"/>
    <mergeCell ref="C61:F61"/>
    <mergeCell ref="C62:F62"/>
    <mergeCell ref="B64:F64"/>
    <mergeCell ref="C65:F65"/>
    <mergeCell ref="C66:F66"/>
    <mergeCell ref="C67:F67"/>
    <mergeCell ref="C68:F68"/>
    <mergeCell ref="C69:F69"/>
    <mergeCell ref="C70:F70"/>
    <mergeCell ref="C71:F71"/>
    <mergeCell ref="C72:F72"/>
    <mergeCell ref="B74:F74"/>
    <mergeCell ref="C75:F75"/>
    <mergeCell ref="C76:F76"/>
    <mergeCell ref="C77:F77"/>
    <mergeCell ref="C78:F78"/>
    <mergeCell ref="C79:F79"/>
    <mergeCell ref="C80:F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24"/>
    <col collapsed="false" customWidth="true" hidden="false" outlineLevel="0" max="7" min="4" style="1" width="16"/>
    <col collapsed="false" customWidth="true" hidden="false" outlineLevel="0" max="9" min="8" style="1" width="12"/>
    <col collapsed="false" customWidth="true" hidden="false" outlineLevel="0" max="10" min="10" style="1" width="24"/>
  </cols>
  <sheetData>
    <row r="1" customFormat="false" ht="27.75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5" customFormat="false" ht="15" hidden="false" customHeight="true" outlineLevel="0" collapsed="false">
      <c r="B5" s="33" t="s">
        <v>176</v>
      </c>
      <c r="C5" s="33" t="s">
        <v>177</v>
      </c>
      <c r="D5" s="33" t="s">
        <v>178</v>
      </c>
      <c r="E5" s="33" t="s">
        <v>179</v>
      </c>
      <c r="F5" s="33" t="s">
        <v>180</v>
      </c>
      <c r="G5" s="33" t="s">
        <v>181</v>
      </c>
      <c r="H5" s="33" t="s">
        <v>182</v>
      </c>
      <c r="I5" s="33" t="s">
        <v>183</v>
      </c>
      <c r="J5" s="33" t="s">
        <v>184</v>
      </c>
    </row>
    <row r="6" customFormat="false" ht="15" hidden="false" customHeight="true" outlineLevel="0" collapsed="false">
      <c r="B6" s="34" t="s">
        <v>185</v>
      </c>
      <c r="C6" s="14"/>
      <c r="D6" s="35"/>
      <c r="E6" s="35"/>
      <c r="F6" s="35"/>
      <c r="G6" s="35"/>
      <c r="H6" s="17"/>
      <c r="I6" s="36"/>
      <c r="J6" s="14"/>
    </row>
    <row r="7" customFormat="false" ht="15" hidden="false" customHeight="true" outlineLevel="0" collapsed="false">
      <c r="B7" s="14" t="s">
        <v>186</v>
      </c>
      <c r="C7" s="14" t="s">
        <v>187</v>
      </c>
      <c r="D7" s="35" t="n">
        <v>12800</v>
      </c>
      <c r="E7" s="35" t="n">
        <v>13700</v>
      </c>
      <c r="F7" s="35" t="n">
        <v>13026.5</v>
      </c>
      <c r="G7" s="35" t="n">
        <f aca="false">E7-F7</f>
        <v>673.5</v>
      </c>
      <c r="H7" s="17" t="n">
        <f aca="false">IFERROR(F7/E7,0)</f>
        <v>0.950839416058394</v>
      </c>
      <c r="I7" s="36" t="n">
        <v>301</v>
      </c>
      <c r="J7" s="14"/>
    </row>
    <row r="8" customFormat="false" ht="15" hidden="false" customHeight="true" outlineLevel="0" collapsed="false">
      <c r="B8" s="14" t="s">
        <v>188</v>
      </c>
      <c r="C8" s="14" t="s">
        <v>189</v>
      </c>
      <c r="D8" s="35" t="n">
        <v>15360</v>
      </c>
      <c r="E8" s="35" t="n">
        <v>17310</v>
      </c>
      <c r="F8" s="35" t="n">
        <v>18552.5</v>
      </c>
      <c r="G8" s="35" t="n">
        <f aca="false">E8-F8</f>
        <v>-1242.5</v>
      </c>
      <c r="H8" s="17" t="n">
        <f aca="false">IFERROR(F8/E8,0)</f>
        <v>1.07177931831311</v>
      </c>
      <c r="I8" s="36" t="n">
        <v>434</v>
      </c>
      <c r="J8" s="14"/>
    </row>
    <row r="9" customFormat="false" ht="15" hidden="false" customHeight="true" outlineLevel="0" collapsed="false">
      <c r="B9" s="14" t="s">
        <v>190</v>
      </c>
      <c r="C9" s="14" t="s">
        <v>191</v>
      </c>
      <c r="D9" s="35" t="n">
        <v>16160</v>
      </c>
      <c r="E9" s="35" t="n">
        <v>16760</v>
      </c>
      <c r="F9" s="35" t="n">
        <v>16803.75</v>
      </c>
      <c r="G9" s="35" t="n">
        <f aca="false">E9-F9</f>
        <v>-43.75</v>
      </c>
      <c r="H9" s="17" t="n">
        <f aca="false">IFERROR(F9/E9,0)</f>
        <v>1.00261038186158</v>
      </c>
      <c r="I9" s="36" t="n">
        <v>775</v>
      </c>
      <c r="J9" s="14"/>
    </row>
    <row r="10" customFormat="false" ht="15" hidden="false" customHeight="true" outlineLevel="0" collapsed="false">
      <c r="B10" s="14" t="s">
        <v>192</v>
      </c>
      <c r="C10" s="14" t="s">
        <v>193</v>
      </c>
      <c r="D10" s="35" t="n">
        <v>114350</v>
      </c>
      <c r="E10" s="35" t="n">
        <v>118946</v>
      </c>
      <c r="F10" s="35" t="n">
        <v>142441</v>
      </c>
      <c r="G10" s="35" t="n">
        <f aca="false">E10-F10</f>
        <v>-23495</v>
      </c>
      <c r="H10" s="17" t="n">
        <f aca="false">IFERROR(F10/E10,0)</f>
        <v>1.1975266087132</v>
      </c>
      <c r="I10" s="36" t="n">
        <v>6414</v>
      </c>
      <c r="J10" s="14"/>
    </row>
    <row r="11" customFormat="false" ht="15" hidden="false" customHeight="true" outlineLevel="0" collapsed="false">
      <c r="B11" s="14" t="s">
        <v>194</v>
      </c>
      <c r="C11" s="14" t="s">
        <v>195</v>
      </c>
      <c r="D11" s="35" t="n">
        <v>16000</v>
      </c>
      <c r="E11" s="35" t="n">
        <v>16100</v>
      </c>
      <c r="F11" s="35" t="n">
        <v>16515.5</v>
      </c>
      <c r="G11" s="35" t="n">
        <f aca="false">E11-F11</f>
        <v>-415.5</v>
      </c>
      <c r="H11" s="17" t="n">
        <f aca="false">IFERROR(F11/E11,0)</f>
        <v>1.02580745341615</v>
      </c>
      <c r="I11" s="36" t="n">
        <v>776.5</v>
      </c>
      <c r="J11" s="14"/>
    </row>
    <row r="12" customFormat="false" ht="15" hidden="false" customHeight="true" outlineLevel="0" collapsed="false">
      <c r="B12" s="14" t="s">
        <v>196</v>
      </c>
      <c r="C12" s="14" t="s">
        <v>197</v>
      </c>
      <c r="D12" s="35" t="n">
        <v>2843</v>
      </c>
      <c r="E12" s="35" t="n">
        <v>2843</v>
      </c>
      <c r="F12" s="35" t="n">
        <v>2843</v>
      </c>
      <c r="G12" s="35" t="n">
        <f aca="false">E12-F12</f>
        <v>0</v>
      </c>
      <c r="H12" s="17" t="n">
        <f aca="false">IFERROR(F12/E12,0)</f>
        <v>1</v>
      </c>
      <c r="I12" s="36" t="n">
        <v>144</v>
      </c>
      <c r="J12" s="14"/>
    </row>
    <row r="13" customFormat="false" ht="15" hidden="false" customHeight="true" outlineLevel="0" collapsed="false">
      <c r="B13" s="14" t="s">
        <v>198</v>
      </c>
      <c r="C13" s="14" t="s">
        <v>199</v>
      </c>
      <c r="D13" s="35" t="n">
        <v>376600</v>
      </c>
      <c r="E13" s="35" t="n">
        <v>266055</v>
      </c>
      <c r="F13" s="35" t="n">
        <v>348602.98</v>
      </c>
      <c r="G13" s="35" t="n">
        <f aca="false">E13-F13</f>
        <v>-82547.98</v>
      </c>
      <c r="H13" s="17" t="n">
        <f aca="false">IFERROR(F13/E13,0)</f>
        <v>1.31026659901148</v>
      </c>
      <c r="I13" s="36" t="n">
        <v>18980.5</v>
      </c>
      <c r="J13" s="14"/>
    </row>
    <row r="14" customFormat="false" ht="15" hidden="false" customHeight="true" outlineLevel="0" collapsed="false">
      <c r="B14" s="14" t="s">
        <v>200</v>
      </c>
      <c r="C14" s="14" t="s">
        <v>201</v>
      </c>
      <c r="D14" s="35" t="n">
        <v>51400</v>
      </c>
      <c r="E14" s="35" t="n">
        <v>58664</v>
      </c>
      <c r="F14" s="35" t="n">
        <v>64250.9</v>
      </c>
      <c r="G14" s="35" t="n">
        <f aca="false">E14-F14</f>
        <v>-5586.9</v>
      </c>
      <c r="H14" s="17" t="n">
        <f aca="false">IFERROR(F14/E14,0)</f>
        <v>1.09523557888995</v>
      </c>
      <c r="I14" s="36" t="n">
        <v>3322</v>
      </c>
      <c r="J14" s="14"/>
    </row>
    <row r="15" customFormat="false" ht="15" hidden="false" customHeight="true" outlineLevel="0" collapsed="false">
      <c r="B15" s="14" t="s">
        <v>202</v>
      </c>
      <c r="C15" s="14" t="s">
        <v>203</v>
      </c>
      <c r="D15" s="35" t="n">
        <v>9000</v>
      </c>
      <c r="E15" s="35" t="n">
        <v>13862</v>
      </c>
      <c r="F15" s="35" t="n">
        <v>32025.5</v>
      </c>
      <c r="G15" s="35" t="n">
        <f aca="false">E15-F15</f>
        <v>-18163.5</v>
      </c>
      <c r="H15" s="17" t="n">
        <f aca="false">IFERROR(F15/E15,0)</f>
        <v>2.31030875775501</v>
      </c>
      <c r="I15" s="36" t="n">
        <v>1515.5</v>
      </c>
      <c r="J15" s="14"/>
    </row>
    <row r="16" customFormat="false" ht="15" hidden="false" customHeight="true" outlineLevel="0" collapsed="false">
      <c r="B16" s="14" t="s">
        <v>204</v>
      </c>
      <c r="C16" s="14" t="s">
        <v>205</v>
      </c>
      <c r="D16" s="35" t="n">
        <v>55600</v>
      </c>
      <c r="E16" s="35" t="n">
        <v>57029</v>
      </c>
      <c r="F16" s="35" t="n">
        <v>85831.88</v>
      </c>
      <c r="G16" s="35" t="n">
        <f aca="false">E16-F16</f>
        <v>-28802.88</v>
      </c>
      <c r="H16" s="17" t="n">
        <f aca="false">IFERROR(F16/E16,0)</f>
        <v>1.50505672552561</v>
      </c>
      <c r="I16" s="36" t="n">
        <v>4519</v>
      </c>
      <c r="J16" s="14"/>
    </row>
    <row r="17" customFormat="false" ht="15" hidden="false" customHeight="true" outlineLevel="0" collapsed="false">
      <c r="B17" s="14" t="s">
        <v>206</v>
      </c>
      <c r="C17" s="14" t="s">
        <v>207</v>
      </c>
      <c r="D17" s="35" t="n">
        <v>7200</v>
      </c>
      <c r="E17" s="35" t="n">
        <v>7200</v>
      </c>
      <c r="F17" s="35" t="n">
        <v>13690</v>
      </c>
      <c r="G17" s="35" t="n">
        <f aca="false">E17-F17</f>
        <v>-6490</v>
      </c>
      <c r="H17" s="17" t="n">
        <f aca="false">IFERROR(F17/E17,0)</f>
        <v>1.90138888888889</v>
      </c>
      <c r="I17" s="36" t="n">
        <v>531</v>
      </c>
      <c r="J17" s="14"/>
    </row>
    <row r="18" customFormat="false" ht="15" hidden="false" customHeight="true" outlineLevel="0" collapsed="false">
      <c r="B18" s="14" t="s">
        <v>208</v>
      </c>
      <c r="C18" s="14" t="s">
        <v>209</v>
      </c>
      <c r="D18" s="35" t="n">
        <v>9900</v>
      </c>
      <c r="E18" s="35" t="n">
        <v>12705</v>
      </c>
      <c r="F18" s="35" t="n">
        <v>26035.5</v>
      </c>
      <c r="G18" s="35" t="n">
        <f aca="false">E18-F18</f>
        <v>-13330.5</v>
      </c>
      <c r="H18" s="17" t="n">
        <f aca="false">IFERROR(F18/E18,0)</f>
        <v>2.04923258559622</v>
      </c>
      <c r="I18" s="36" t="n">
        <v>1567.5</v>
      </c>
      <c r="J18" s="14"/>
    </row>
    <row r="19" customFormat="false" ht="15" hidden="false" customHeight="true" outlineLevel="0" collapsed="false">
      <c r="B19" s="34" t="s">
        <v>210</v>
      </c>
      <c r="C19" s="14"/>
      <c r="D19" s="35"/>
      <c r="E19" s="35"/>
      <c r="F19" s="35"/>
      <c r="G19" s="35"/>
      <c r="H19" s="17"/>
      <c r="I19" s="36"/>
      <c r="J19" s="14"/>
    </row>
    <row r="20" customFormat="false" ht="15" hidden="false" customHeight="true" outlineLevel="0" collapsed="false">
      <c r="B20" s="14" t="s">
        <v>211</v>
      </c>
      <c r="C20" s="14" t="s">
        <v>212</v>
      </c>
      <c r="D20" s="35" t="n">
        <v>23100</v>
      </c>
      <c r="E20" s="35" t="n">
        <v>23300</v>
      </c>
      <c r="F20" s="35" t="n">
        <v>24415.78</v>
      </c>
      <c r="G20" s="35" t="n">
        <f aca="false">E20-F20</f>
        <v>-1115.78</v>
      </c>
      <c r="H20" s="17" t="n">
        <f aca="false">IFERROR(F20/E20,0)</f>
        <v>1.04788755364807</v>
      </c>
      <c r="I20" s="36"/>
      <c r="J20" s="14"/>
    </row>
    <row r="21" customFormat="false" ht="15" hidden="false" customHeight="true" outlineLevel="0" collapsed="false">
      <c r="B21" s="14" t="s">
        <v>213</v>
      </c>
      <c r="C21" s="14" t="s">
        <v>214</v>
      </c>
      <c r="D21" s="35" t="n">
        <v>95600</v>
      </c>
      <c r="E21" s="35" t="n">
        <v>92894</v>
      </c>
      <c r="F21" s="35" t="n">
        <v>54034.99</v>
      </c>
      <c r="G21" s="35" t="n">
        <f aca="false">E21-F21</f>
        <v>38859.01</v>
      </c>
      <c r="H21" s="17" t="n">
        <f aca="false">IFERROR(F21/E21,0)</f>
        <v>0.581684392964024</v>
      </c>
      <c r="I21" s="36"/>
      <c r="J21" s="14"/>
    </row>
    <row r="22" customFormat="false" ht="15" hidden="false" customHeight="true" outlineLevel="0" collapsed="false">
      <c r="B22" s="14" t="s">
        <v>215</v>
      </c>
      <c r="C22" s="14" t="s">
        <v>216</v>
      </c>
      <c r="D22" s="35" t="n">
        <v>26400</v>
      </c>
      <c r="E22" s="35" t="n">
        <v>26700</v>
      </c>
      <c r="F22" s="35" t="n">
        <v>24723.82</v>
      </c>
      <c r="G22" s="35" t="n">
        <f aca="false">E22-F22</f>
        <v>1976.18</v>
      </c>
      <c r="H22" s="17" t="n">
        <f aca="false">IFERROR(F22/E22,0)</f>
        <v>0.925985767790262</v>
      </c>
      <c r="I22" s="36"/>
      <c r="J22" s="14"/>
    </row>
    <row r="23" customFormat="false" ht="15" hidden="false" customHeight="true" outlineLevel="0" collapsed="false">
      <c r="B23" s="14" t="s">
        <v>217</v>
      </c>
      <c r="C23" s="14" t="s">
        <v>218</v>
      </c>
      <c r="D23" s="35" t="n">
        <v>363580</v>
      </c>
      <c r="E23" s="35" t="n">
        <v>213718</v>
      </c>
      <c r="F23" s="35" t="n">
        <v>87900.72</v>
      </c>
      <c r="G23" s="35" t="n">
        <f aca="false">E23-F23</f>
        <v>125817.28</v>
      </c>
      <c r="H23" s="17" t="n">
        <f aca="false">IFERROR(F23/E23,0)</f>
        <v>0.41129301228722</v>
      </c>
      <c r="I23" s="36"/>
      <c r="J23" s="14"/>
    </row>
    <row r="24" customFormat="false" ht="15" hidden="false" customHeight="true" outlineLevel="0" collapsed="false">
      <c r="B24" s="14" t="s">
        <v>219</v>
      </c>
      <c r="C24" s="14" t="s">
        <v>220</v>
      </c>
      <c r="D24" s="35" t="n">
        <v>478500</v>
      </c>
      <c r="E24" s="35" t="n">
        <v>526401</v>
      </c>
      <c r="F24" s="35" t="n">
        <v>411991.97</v>
      </c>
      <c r="G24" s="35" t="n">
        <f aca="false">E24-F24</f>
        <v>114409.03</v>
      </c>
      <c r="H24" s="17" t="n">
        <f aca="false">IFERROR(F24/E24,0)</f>
        <v>0.782658030664835</v>
      </c>
      <c r="I24" s="36"/>
      <c r="J24" s="14"/>
    </row>
    <row r="25" customFormat="false" ht="15" hidden="false" customHeight="true" outlineLevel="0" collapsed="false">
      <c r="B25" s="14" t="s">
        <v>221</v>
      </c>
      <c r="C25" s="14" t="s">
        <v>222</v>
      </c>
      <c r="D25" s="35" t="n">
        <v>12600</v>
      </c>
      <c r="E25" s="35" t="n">
        <v>12800</v>
      </c>
      <c r="F25" s="35" t="n">
        <v>8263.12</v>
      </c>
      <c r="G25" s="35" t="n">
        <f aca="false">E25-F25</f>
        <v>4536.88</v>
      </c>
      <c r="H25" s="17" t="n">
        <f aca="false">IFERROR(F25/E25,0)</f>
        <v>0.64555625</v>
      </c>
      <c r="I25" s="36"/>
      <c r="J25" s="14"/>
    </row>
    <row r="26" customFormat="false" ht="15" hidden="false" customHeight="true" outlineLevel="0" collapsed="false">
      <c r="B26" s="14" t="s">
        <v>223</v>
      </c>
      <c r="C26" s="14" t="s">
        <v>224</v>
      </c>
      <c r="D26" s="35" t="n">
        <v>92600</v>
      </c>
      <c r="E26" s="35" t="n">
        <v>93431</v>
      </c>
      <c r="F26" s="35" t="n">
        <v>122165.25</v>
      </c>
      <c r="G26" s="35" t="n">
        <f aca="false">E26-F26</f>
        <v>-28734.25</v>
      </c>
      <c r="H26" s="17" t="n">
        <f aca="false">IFERROR(F26/E26,0)</f>
        <v>1.30754514026394</v>
      </c>
      <c r="I26" s="36"/>
      <c r="J26" s="14"/>
    </row>
    <row r="27" customFormat="false" ht="15" hidden="false" customHeight="true" outlineLevel="0" collapsed="false">
      <c r="B27" s="14" t="s">
        <v>225</v>
      </c>
      <c r="C27" s="14" t="s">
        <v>226</v>
      </c>
      <c r="D27" s="35" t="n">
        <v>16500</v>
      </c>
      <c r="E27" s="35" t="n">
        <v>16500</v>
      </c>
      <c r="F27" s="35" t="n">
        <v>27133.61</v>
      </c>
      <c r="G27" s="35" t="n">
        <f aca="false">E27-F27</f>
        <v>-10633.61</v>
      </c>
      <c r="H27" s="17" t="n">
        <f aca="false">IFERROR(F27/E27,0)</f>
        <v>1.64446121212121</v>
      </c>
      <c r="I27" s="36"/>
      <c r="J27" s="14"/>
    </row>
    <row r="28" customFormat="false" ht="15" hidden="false" customHeight="true" outlineLevel="0" collapsed="false">
      <c r="B28" s="14" t="s">
        <v>227</v>
      </c>
      <c r="C28" s="14" t="s">
        <v>228</v>
      </c>
      <c r="D28" s="35" t="n">
        <v>7000</v>
      </c>
      <c r="E28" s="35" t="n">
        <v>7952</v>
      </c>
      <c r="F28" s="35" t="n">
        <v>2198.97</v>
      </c>
      <c r="G28" s="35" t="n">
        <f aca="false">E28-F28</f>
        <v>5753.03</v>
      </c>
      <c r="H28" s="17" t="n">
        <f aca="false">IFERROR(F28/E28,0)</f>
        <v>0.276530432595573</v>
      </c>
      <c r="I28" s="36"/>
      <c r="J28" s="14"/>
    </row>
    <row r="29" customFormat="false" ht="15" hidden="false" customHeight="true" outlineLevel="0" collapsed="false">
      <c r="B29" s="34" t="s">
        <v>229</v>
      </c>
      <c r="C29" s="14"/>
      <c r="D29" s="35"/>
      <c r="E29" s="35"/>
      <c r="F29" s="35"/>
      <c r="G29" s="35"/>
      <c r="H29" s="17"/>
      <c r="I29" s="36"/>
      <c r="J29" s="14"/>
    </row>
    <row r="30" customFormat="false" ht="15" hidden="false" customHeight="true" outlineLevel="0" collapsed="false">
      <c r="B30" s="14" t="s">
        <v>230</v>
      </c>
      <c r="C30" s="14" t="s">
        <v>231</v>
      </c>
      <c r="D30" s="35" t="n">
        <v>500</v>
      </c>
      <c r="E30" s="35" t="n">
        <v>2525</v>
      </c>
      <c r="F30" s="35" t="n">
        <v>13494</v>
      </c>
      <c r="G30" s="35" t="n">
        <f aca="false">E30-F30</f>
        <v>-10969</v>
      </c>
      <c r="H30" s="17" t="n">
        <f aca="false">IFERROR(F30/E30,0)</f>
        <v>5.34415841584158</v>
      </c>
      <c r="I30" s="36"/>
      <c r="J30" s="14"/>
    </row>
    <row r="31" customFormat="false" ht="15" hidden="false" customHeight="true" outlineLevel="0" collapsed="false">
      <c r="B31" s="14" t="s">
        <v>232</v>
      </c>
      <c r="C31" s="14" t="s">
        <v>233</v>
      </c>
      <c r="D31" s="35" t="n">
        <v>4000</v>
      </c>
      <c r="E31" s="35" t="n">
        <v>5000</v>
      </c>
      <c r="F31" s="35" t="n">
        <v>21589.36</v>
      </c>
      <c r="G31" s="35" t="n">
        <f aca="false">E31-F31</f>
        <v>-16589.36</v>
      </c>
      <c r="H31" s="17" t="n">
        <f aca="false">IFERROR(F31/E31,0)</f>
        <v>4.317872</v>
      </c>
      <c r="I31" s="36"/>
      <c r="J31" s="14"/>
    </row>
    <row r="32" customFormat="false" ht="15" hidden="false" customHeight="true" outlineLevel="0" collapsed="false">
      <c r="B32" s="14" t="s">
        <v>234</v>
      </c>
      <c r="C32" s="14" t="s">
        <v>235</v>
      </c>
      <c r="D32" s="35" t="n">
        <v>3500</v>
      </c>
      <c r="E32" s="35" t="n">
        <v>3500</v>
      </c>
      <c r="F32" s="35" t="n">
        <v>480</v>
      </c>
      <c r="G32" s="35" t="n">
        <f aca="false">E32-F32</f>
        <v>3020</v>
      </c>
      <c r="H32" s="17" t="n">
        <f aca="false">IFERROR(F32/E32,0)</f>
        <v>0.137142857142857</v>
      </c>
      <c r="I32" s="36"/>
      <c r="J32" s="14"/>
    </row>
    <row r="33" customFormat="false" ht="15" hidden="false" customHeight="true" outlineLevel="0" collapsed="false">
      <c r="B33" s="14" t="s">
        <v>236</v>
      </c>
      <c r="C33" s="14" t="s">
        <v>237</v>
      </c>
      <c r="D33" s="35" t="n">
        <v>3960</v>
      </c>
      <c r="E33" s="35" t="n">
        <v>3960</v>
      </c>
      <c r="F33" s="35" t="n">
        <v>2784</v>
      </c>
      <c r="G33" s="35" t="n">
        <f aca="false">E33-F33</f>
        <v>1176</v>
      </c>
      <c r="H33" s="17" t="n">
        <f aca="false">IFERROR(F33/E33,0)</f>
        <v>0.703030303030303</v>
      </c>
      <c r="I33" s="36"/>
      <c r="J33" s="14"/>
    </row>
    <row r="34" customFormat="false" ht="15" hidden="false" customHeight="true" outlineLevel="0" collapsed="false">
      <c r="B34" s="14" t="s">
        <v>238</v>
      </c>
      <c r="C34" s="14" t="s">
        <v>239</v>
      </c>
      <c r="D34" s="35" t="n">
        <v>1000</v>
      </c>
      <c r="E34" s="35" t="n">
        <v>11000</v>
      </c>
      <c r="F34" s="35" t="n">
        <v>11677.83</v>
      </c>
      <c r="G34" s="35" t="n">
        <f aca="false">E34-F34</f>
        <v>-677.83</v>
      </c>
      <c r="H34" s="17" t="n">
        <f aca="false">IFERROR(F34/E34,0)</f>
        <v>1.06162090909091</v>
      </c>
      <c r="I34" s="36"/>
      <c r="J34" s="14"/>
    </row>
    <row r="35" customFormat="false" ht="15" hidden="false" customHeight="true" outlineLevel="0" collapsed="false">
      <c r="B35" s="34" t="s">
        <v>240</v>
      </c>
      <c r="C35" s="14"/>
      <c r="D35" s="35"/>
      <c r="E35" s="35"/>
      <c r="F35" s="35"/>
      <c r="G35" s="35"/>
      <c r="H35" s="17"/>
      <c r="I35" s="36"/>
      <c r="J35" s="14"/>
    </row>
    <row r="36" customFormat="false" ht="15" hidden="false" customHeight="true" outlineLevel="0" collapsed="false">
      <c r="B36" s="14" t="s">
        <v>241</v>
      </c>
      <c r="C36" s="14" t="s">
        <v>242</v>
      </c>
      <c r="D36" s="35" t="n">
        <v>309922.16</v>
      </c>
      <c r="E36" s="35" t="n">
        <v>265927.39</v>
      </c>
      <c r="F36" s="35" t="n">
        <v>338661.76</v>
      </c>
      <c r="G36" s="35" t="n">
        <f aca="false">E36-F36</f>
        <v>-72734.37</v>
      </c>
      <c r="H36" s="17" t="n">
        <f aca="false">IFERROR(F36/E36,0)</f>
        <v>1.27351214179179</v>
      </c>
      <c r="I36" s="36"/>
      <c r="J36" s="14"/>
    </row>
    <row r="37" customFormat="false" ht="15" hidden="false" customHeight="true" outlineLevel="0" collapsed="false">
      <c r="B37" s="14" t="s">
        <v>243</v>
      </c>
      <c r="C37" s="14" t="s">
        <v>244</v>
      </c>
      <c r="D37" s="35" t="n">
        <v>54692.15</v>
      </c>
      <c r="E37" s="35" t="n">
        <v>46511.34</v>
      </c>
      <c r="F37" s="35" t="n">
        <v>59950.63</v>
      </c>
      <c r="G37" s="35" t="n">
        <f aca="false">E37-F37</f>
        <v>-13439.29</v>
      </c>
      <c r="H37" s="17" t="n">
        <f aca="false">IFERROR(F37/E37,0)</f>
        <v>1.28894652357898</v>
      </c>
      <c r="I37" s="36"/>
      <c r="J37" s="14"/>
    </row>
    <row r="38" customFormat="false" ht="15" hidden="false" customHeight="true" outlineLevel="0" collapsed="false">
      <c r="B38" s="34" t="s">
        <v>245</v>
      </c>
      <c r="C38" s="14"/>
      <c r="D38" s="35"/>
      <c r="E38" s="35"/>
      <c r="F38" s="35"/>
      <c r="G38" s="35"/>
      <c r="H38" s="17"/>
      <c r="I38" s="36"/>
      <c r="J38" s="14"/>
    </row>
    <row r="39" customFormat="false" ht="15" hidden="false" customHeight="true" outlineLevel="0" collapsed="false">
      <c r="B39" s="14" t="s">
        <v>246</v>
      </c>
      <c r="C39" s="14" t="s">
        <v>247</v>
      </c>
      <c r="D39" s="35" t="n">
        <v>-3119000</v>
      </c>
      <c r="E39" s="35" t="n">
        <v>-2852262.93</v>
      </c>
      <c r="F39" s="35" t="n">
        <v>-2852262.93</v>
      </c>
      <c r="G39" s="35" t="n">
        <f aca="false">E39-F39</f>
        <v>0</v>
      </c>
      <c r="H39" s="17" t="n">
        <f aca="false">IFERROR(F39/E39,0)</f>
        <v>1</v>
      </c>
      <c r="I39" s="36"/>
      <c r="J39" s="14"/>
    </row>
    <row r="40" customFormat="false" ht="15" hidden="false" customHeight="true" outlineLevel="0" collapsed="false">
      <c r="B40" s="14"/>
      <c r="C40" s="14"/>
      <c r="D40" s="35"/>
      <c r="E40" s="35"/>
      <c r="F40" s="35"/>
      <c r="G40" s="35"/>
      <c r="H40" s="17"/>
      <c r="I40" s="36"/>
      <c r="J40" s="14"/>
    </row>
    <row r="41" customFormat="false" ht="15" hidden="false" customHeight="true" outlineLevel="0" collapsed="false">
      <c r="B41" s="34" t="s">
        <v>248</v>
      </c>
      <c r="C41" s="14"/>
      <c r="D41" s="35" t="n">
        <v>2180667.31</v>
      </c>
      <c r="E41" s="35" t="n">
        <v>1953293.73</v>
      </c>
      <c r="F41" s="35" t="n">
        <v>1992084.82</v>
      </c>
      <c r="G41" s="35" t="n">
        <f aca="false">E41-F41</f>
        <v>-38791.0900000001</v>
      </c>
      <c r="H41" s="17" t="n">
        <f aca="false">F41/E41</f>
        <v>1.0198593224379</v>
      </c>
      <c r="I41" s="36"/>
      <c r="J41" s="14"/>
    </row>
    <row r="42" customFormat="false" ht="15" hidden="false" customHeight="true" outlineLevel="0" collapsed="false">
      <c r="B42" s="14"/>
      <c r="C42" s="14"/>
      <c r="D42" s="35"/>
      <c r="E42" s="35"/>
      <c r="F42" s="35"/>
      <c r="G42" s="35"/>
      <c r="H42" s="17"/>
      <c r="I42" s="36"/>
      <c r="J42" s="14"/>
    </row>
    <row r="43" customFormat="false" ht="15" hidden="false" customHeight="true" outlineLevel="0" collapsed="false">
      <c r="B43" s="14"/>
      <c r="C43" s="14"/>
      <c r="D43" s="35"/>
      <c r="E43" s="35"/>
      <c r="F43" s="35"/>
      <c r="G43" s="35"/>
      <c r="H43" s="17"/>
      <c r="I43" s="36"/>
      <c r="J43" s="14"/>
    </row>
    <row r="44" customFormat="false" ht="15" hidden="false" customHeight="true" outlineLevel="0" collapsed="false">
      <c r="B44" s="14"/>
      <c r="C44" s="14"/>
      <c r="D44" s="35"/>
      <c r="E44" s="35"/>
      <c r="F44" s="35"/>
      <c r="G44" s="35"/>
      <c r="H44" s="17"/>
      <c r="I44" s="36"/>
      <c r="J44" s="14"/>
    </row>
    <row r="45" customFormat="false" ht="15" hidden="false" customHeight="true" outlineLevel="0" collapsed="false">
      <c r="B45" s="18"/>
      <c r="C45" s="37"/>
      <c r="D45" s="38"/>
      <c r="E45" s="38"/>
      <c r="F45" s="38"/>
      <c r="G45" s="38"/>
      <c r="H45" s="37"/>
      <c r="I45" s="39"/>
      <c r="J45" s="37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18"/>
    <col collapsed="false" customWidth="true" hidden="false" outlineLevel="0" max="6" min="4" style="1" width="16"/>
    <col collapsed="false" customWidth="true" hidden="false" outlineLevel="0" max="7" min="7" style="1" width="14"/>
    <col collapsed="false" customWidth="true" hidden="false" outlineLevel="0" max="8" min="8" style="1" width="24"/>
  </cols>
  <sheetData>
    <row r="1" customFormat="false" ht="27.75" hidden="false" customHeight="true" outlineLevel="0" collapsed="false">
      <c r="A1" s="2" t="s">
        <v>249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5" customFormat="false" ht="20.25" hidden="false" customHeight="true" outlineLevel="0" collapsed="false">
      <c r="B5" s="40" t="s">
        <v>43</v>
      </c>
      <c r="C5" s="40" t="s">
        <v>250</v>
      </c>
      <c r="D5" s="40" t="s">
        <v>44</v>
      </c>
      <c r="E5" s="40" t="s">
        <v>45</v>
      </c>
      <c r="F5" s="40" t="s">
        <v>251</v>
      </c>
      <c r="G5" s="40" t="s">
        <v>252</v>
      </c>
      <c r="H5" s="41"/>
    </row>
    <row r="6" customFormat="false" ht="15" hidden="false" customHeight="true" outlineLevel="0" collapsed="false">
      <c r="B6" s="42" t="s">
        <v>49</v>
      </c>
      <c r="C6" s="43" t="n">
        <v>11</v>
      </c>
      <c r="D6" s="44" t="n">
        <v>593974</v>
      </c>
      <c r="E6" s="45" t="n">
        <v>766929</v>
      </c>
      <c r="F6" s="45" t="s">
        <v>253</v>
      </c>
      <c r="G6" s="44" t="n">
        <v>2663</v>
      </c>
      <c r="H6" s="14"/>
    </row>
    <row r="7" customFormat="false" ht="15" hidden="false" customHeight="true" outlineLevel="0" collapsed="false">
      <c r="B7" s="46" t="s">
        <v>50</v>
      </c>
      <c r="C7" s="47" t="n">
        <v>8</v>
      </c>
      <c r="D7" s="48" t="n">
        <v>997196</v>
      </c>
      <c r="E7" s="49" t="n">
        <v>735695</v>
      </c>
      <c r="F7" s="49" t="s">
        <v>254</v>
      </c>
      <c r="G7" s="48" t="n">
        <v>2554</v>
      </c>
      <c r="H7" s="14"/>
    </row>
    <row r="8" customFormat="false" ht="15" hidden="false" customHeight="true" outlineLevel="0" collapsed="false">
      <c r="B8" s="42" t="s">
        <v>51</v>
      </c>
      <c r="C8" s="43" t="n">
        <v>2</v>
      </c>
      <c r="D8" s="44" t="n">
        <v>16000</v>
      </c>
      <c r="E8" s="45" t="n">
        <v>33267</v>
      </c>
      <c r="F8" s="45" t="s">
        <v>255</v>
      </c>
      <c r="G8" s="44" t="n">
        <v>116</v>
      </c>
      <c r="H8" s="14"/>
    </row>
    <row r="9" customFormat="false" ht="15" hidden="false" customHeight="true" outlineLevel="0" collapsed="false">
      <c r="B9" s="46" t="s">
        <v>52</v>
      </c>
      <c r="C9" s="47" t="n">
        <v>2</v>
      </c>
      <c r="D9" s="48" t="n">
        <v>312439</v>
      </c>
      <c r="E9" s="49" t="n">
        <v>398612</v>
      </c>
      <c r="F9" s="49" t="s">
        <v>256</v>
      </c>
      <c r="G9" s="48" t="n">
        <v>1384</v>
      </c>
      <c r="H9" s="14"/>
    </row>
    <row r="10" customFormat="false" ht="20.25" hidden="false" customHeight="true" outlineLevel="0" collapsed="false">
      <c r="B10" s="50" t="s">
        <v>257</v>
      </c>
      <c r="C10" s="51"/>
      <c r="D10" s="52" t="n">
        <v>1919609</v>
      </c>
      <c r="E10" s="53" t="n">
        <v>1934503</v>
      </c>
      <c r="F10" s="53" t="s">
        <v>258</v>
      </c>
      <c r="G10" s="54"/>
      <c r="H10" s="14"/>
    </row>
    <row r="11" customFormat="false" ht="15" hidden="false" customHeight="true" outlineLevel="0" collapsed="false">
      <c r="B11" s="14"/>
      <c r="C11" s="14"/>
      <c r="D11" s="35"/>
      <c r="E11" s="17"/>
      <c r="F11" s="17"/>
      <c r="G11" s="35"/>
      <c r="H11" s="14"/>
    </row>
    <row r="12" customFormat="false" ht="15" hidden="false" customHeight="true" outlineLevel="0" collapsed="false">
      <c r="B12" s="14"/>
      <c r="C12" s="14"/>
      <c r="D12" s="35"/>
      <c r="E12" s="17"/>
      <c r="F12" s="17"/>
      <c r="G12" s="35"/>
      <c r="H12" s="14"/>
    </row>
    <row r="13" customFormat="false" ht="15" hidden="false" customHeight="true" outlineLevel="0" collapsed="false">
      <c r="B13" s="14"/>
      <c r="C13" s="14"/>
      <c r="D13" s="35"/>
      <c r="E13" s="17"/>
      <c r="F13" s="17"/>
      <c r="G13" s="35"/>
      <c r="H13" s="14"/>
    </row>
    <row r="14" customFormat="false" ht="15" hidden="false" customHeight="true" outlineLevel="0" collapsed="false">
      <c r="B14" s="14"/>
      <c r="C14" s="14"/>
      <c r="D14" s="35"/>
      <c r="E14" s="17"/>
      <c r="F14" s="17"/>
      <c r="G14" s="35"/>
      <c r="H14" s="14"/>
    </row>
    <row r="15" customFormat="false" ht="15" hidden="false" customHeight="true" outlineLevel="0" collapsed="false">
      <c r="B15" s="14"/>
      <c r="C15" s="14"/>
      <c r="D15" s="35"/>
      <c r="E15" s="17"/>
      <c r="F15" s="17"/>
      <c r="G15" s="35"/>
      <c r="H15" s="14"/>
    </row>
    <row r="16" customFormat="false" ht="15" hidden="false" customHeight="true" outlineLevel="0" collapsed="false">
      <c r="B16" s="14"/>
      <c r="C16" s="14"/>
      <c r="D16" s="35"/>
      <c r="E16" s="17"/>
      <c r="F16" s="17"/>
      <c r="G16" s="35"/>
      <c r="H16" s="14"/>
    </row>
    <row r="17" customFormat="false" ht="15" hidden="false" customHeight="true" outlineLevel="0" collapsed="false">
      <c r="B17" s="14"/>
      <c r="C17" s="14"/>
      <c r="D17" s="35"/>
      <c r="E17" s="17"/>
      <c r="F17" s="17"/>
      <c r="G17" s="35"/>
      <c r="H17" s="14"/>
    </row>
    <row r="18" customFormat="false" ht="15" hidden="false" customHeight="true" outlineLevel="0" collapsed="false">
      <c r="B18" s="14"/>
      <c r="C18" s="14"/>
      <c r="D18" s="35"/>
      <c r="E18" s="17"/>
      <c r="F18" s="17"/>
      <c r="G18" s="35"/>
      <c r="H18" s="14"/>
    </row>
    <row r="19" customFormat="false" ht="15" hidden="false" customHeight="true" outlineLevel="0" collapsed="false">
      <c r="B19" s="14"/>
      <c r="C19" s="14"/>
      <c r="D19" s="35"/>
      <c r="E19" s="17"/>
      <c r="F19" s="17"/>
      <c r="G19" s="35"/>
      <c r="H19" s="14"/>
    </row>
    <row r="20" customFormat="false" ht="15" hidden="false" customHeight="true" outlineLevel="0" collapsed="false">
      <c r="B20" s="14"/>
      <c r="C20" s="14"/>
      <c r="D20" s="35"/>
      <c r="E20" s="17"/>
      <c r="F20" s="17"/>
      <c r="G20" s="35"/>
      <c r="H20" s="14"/>
    </row>
    <row r="21" customFormat="false" ht="15" hidden="false" customHeight="true" outlineLevel="0" collapsed="false">
      <c r="B21" s="14"/>
      <c r="C21" s="14"/>
      <c r="D21" s="35"/>
      <c r="E21" s="17"/>
      <c r="F21" s="17"/>
      <c r="G21" s="35"/>
      <c r="H21" s="14"/>
    </row>
    <row r="22" customFormat="false" ht="20.25" hidden="false" customHeight="true" outlineLevel="0" collapsed="false">
      <c r="B22" s="14"/>
      <c r="C22" s="14"/>
      <c r="D22" s="35"/>
      <c r="E22" s="17"/>
      <c r="F22" s="17"/>
      <c r="G22" s="35"/>
      <c r="H22" s="14"/>
    </row>
    <row r="23" customFormat="false" ht="15" hidden="false" customHeight="true" outlineLevel="0" collapsed="false">
      <c r="B23" s="14"/>
      <c r="C23" s="14"/>
      <c r="D23" s="35"/>
      <c r="E23" s="17"/>
      <c r="F23" s="17"/>
      <c r="G23" s="35"/>
      <c r="H23" s="14"/>
    </row>
    <row r="24" customFormat="false" ht="15" hidden="false" customHeight="true" outlineLevel="0" collapsed="false">
      <c r="B24" s="14"/>
      <c r="C24" s="14"/>
      <c r="D24" s="35"/>
      <c r="E24" s="17"/>
      <c r="F24" s="17"/>
      <c r="G24" s="35"/>
      <c r="H24" s="14"/>
    </row>
    <row r="25" customFormat="false" ht="15" hidden="false" customHeight="true" outlineLevel="0" collapsed="false">
      <c r="B25" s="14"/>
      <c r="C25" s="14"/>
      <c r="D25" s="35"/>
      <c r="E25" s="17"/>
      <c r="F25" s="17"/>
      <c r="G25" s="35"/>
      <c r="H25" s="14"/>
    </row>
    <row r="26" customFormat="false" ht="15" hidden="false" customHeight="true" outlineLevel="0" collapsed="false">
      <c r="B26" s="14"/>
      <c r="C26" s="14"/>
      <c r="D26" s="35"/>
      <c r="E26" s="17"/>
      <c r="F26" s="17"/>
      <c r="G26" s="35"/>
      <c r="H26" s="14"/>
    </row>
    <row r="27" customFormat="false" ht="15" hidden="false" customHeight="true" outlineLevel="0" collapsed="false">
      <c r="B27" s="14"/>
      <c r="C27" s="14"/>
      <c r="D27" s="35"/>
      <c r="E27" s="17"/>
      <c r="F27" s="17"/>
      <c r="G27" s="35"/>
      <c r="H27" s="14"/>
    </row>
    <row r="28" customFormat="false" ht="15" hidden="false" customHeight="true" outlineLevel="0" collapsed="false">
      <c r="B28" s="14"/>
      <c r="C28" s="14"/>
      <c r="D28" s="35"/>
      <c r="E28" s="17"/>
      <c r="F28" s="17"/>
      <c r="G28" s="35"/>
      <c r="H28" s="14"/>
    </row>
    <row r="29" customFormat="false" ht="15" hidden="false" customHeight="true" outlineLevel="0" collapsed="false">
      <c r="B29" s="14"/>
      <c r="C29" s="14"/>
      <c r="D29" s="35"/>
      <c r="E29" s="17"/>
      <c r="F29" s="17"/>
      <c r="G29" s="35"/>
      <c r="H29" s="14"/>
    </row>
    <row r="30" customFormat="false" ht="15" hidden="false" customHeight="true" outlineLevel="0" collapsed="false">
      <c r="B30" s="14"/>
      <c r="C30" s="14"/>
      <c r="D30" s="35"/>
      <c r="E30" s="17"/>
      <c r="F30" s="17"/>
      <c r="G30" s="35"/>
      <c r="H30" s="14"/>
    </row>
    <row r="31" customFormat="false" ht="15" hidden="false" customHeight="true" outlineLevel="0" collapsed="false">
      <c r="B31" s="14"/>
      <c r="C31" s="14"/>
      <c r="D31" s="35"/>
      <c r="E31" s="17"/>
      <c r="F31" s="17"/>
      <c r="G31" s="35"/>
      <c r="H31" s="14"/>
    </row>
    <row r="32" customFormat="false" ht="39.75" hidden="false" customHeight="true" outlineLevel="0" collapsed="false">
      <c r="B32" s="14"/>
      <c r="C32" s="14"/>
      <c r="D32" s="35"/>
      <c r="E32" s="17"/>
      <c r="F32" s="17"/>
      <c r="G32" s="35"/>
      <c r="H32" s="14"/>
    </row>
    <row r="33" customFormat="false" ht="30" hidden="false" customHeight="true" outlineLevel="0" collapsed="false">
      <c r="B33" s="14"/>
      <c r="C33" s="14"/>
      <c r="D33" s="35"/>
      <c r="E33" s="17"/>
      <c r="F33" s="17"/>
      <c r="G33" s="35"/>
      <c r="H33" s="14"/>
    </row>
    <row r="34" customFormat="false" ht="30" hidden="false" customHeight="true" outlineLevel="0" collapsed="false">
      <c r="B34" s="14"/>
      <c r="C34" s="14"/>
      <c r="D34" s="35"/>
      <c r="E34" s="17"/>
      <c r="F34" s="17"/>
      <c r="G34" s="35"/>
      <c r="H34" s="14"/>
    </row>
    <row r="35" customFormat="false" ht="20.25" hidden="false" customHeight="true" outlineLevel="0" collapsed="false">
      <c r="B35" s="14"/>
      <c r="C35" s="14"/>
      <c r="D35" s="35"/>
      <c r="E35" s="17"/>
      <c r="F35" s="17"/>
      <c r="G35" s="35"/>
      <c r="H35" s="14"/>
    </row>
    <row r="36" customFormat="false" ht="49.5" hidden="false" customHeight="true" outlineLevel="0" collapsed="false">
      <c r="B36" s="14"/>
      <c r="C36" s="14"/>
      <c r="D36" s="35"/>
      <c r="E36" s="17"/>
      <c r="F36" s="17"/>
      <c r="G36" s="35"/>
      <c r="H36" s="14"/>
    </row>
    <row r="37" customFormat="false" ht="39.75" hidden="false" customHeight="true" outlineLevel="0" collapsed="false">
      <c r="B37" s="14"/>
      <c r="C37" s="14"/>
      <c r="D37" s="35"/>
      <c r="E37" s="17"/>
      <c r="F37" s="17"/>
      <c r="G37" s="35"/>
      <c r="H37" s="14"/>
    </row>
    <row r="38" customFormat="false" ht="39.75" hidden="false" customHeight="true" outlineLevel="0" collapsed="false">
      <c r="B38" s="14"/>
      <c r="C38" s="14"/>
      <c r="D38" s="35"/>
      <c r="E38" s="17"/>
      <c r="F38" s="17"/>
      <c r="G38" s="35"/>
      <c r="H38" s="14"/>
    </row>
    <row r="39" customFormat="false" ht="39.75" hidden="false" customHeight="true" outlineLevel="0" collapsed="false">
      <c r="B39" s="14"/>
      <c r="C39" s="14"/>
      <c r="D39" s="35"/>
      <c r="E39" s="17"/>
      <c r="F39" s="17"/>
      <c r="G39" s="35"/>
      <c r="H39" s="14"/>
    </row>
    <row r="40" customFormat="false" ht="30" hidden="false" customHeight="true" outlineLevel="0" collapsed="false">
      <c r="B40" s="14"/>
      <c r="C40" s="14"/>
      <c r="D40" s="35"/>
      <c r="E40" s="17"/>
      <c r="F40" s="17"/>
      <c r="G40" s="35"/>
      <c r="H40" s="14"/>
    </row>
    <row r="41" customFormat="false" ht="39.75" hidden="false" customHeight="true" outlineLevel="0" collapsed="false">
      <c r="B41" s="14"/>
      <c r="C41" s="14"/>
      <c r="D41" s="35"/>
      <c r="E41" s="17"/>
      <c r="F41" s="17"/>
      <c r="G41" s="35"/>
      <c r="H41" s="14"/>
    </row>
    <row r="42" customFormat="false" ht="20.25" hidden="false" customHeight="true" outlineLevel="0" collapsed="false">
      <c r="B42" s="14"/>
      <c r="C42" s="14"/>
      <c r="D42" s="35"/>
      <c r="E42" s="17"/>
      <c r="F42" s="17"/>
      <c r="G42" s="35"/>
      <c r="H42" s="14"/>
    </row>
    <row r="43" customFormat="false" ht="15" hidden="false" customHeight="true" outlineLevel="0" collapsed="false">
      <c r="B43" s="55"/>
      <c r="C43" s="56"/>
      <c r="D43" s="57"/>
      <c r="E43" s="56"/>
      <c r="F43" s="56"/>
      <c r="G43" s="57"/>
      <c r="H43" s="56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6"/>
    <col collapsed="false" customWidth="true" hidden="false" outlineLevel="0" max="7" min="4" style="1" width="14"/>
  </cols>
  <sheetData>
    <row r="1" customFormat="false" ht="27.75" hidden="false" customHeight="true" outlineLevel="0" collapsed="false">
      <c r="A1" s="2" t="s">
        <v>259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5" customFormat="false" ht="15" hidden="false" customHeight="true" outlineLevel="0" collapsed="false">
      <c r="B5" s="58" t="s">
        <v>260</v>
      </c>
      <c r="C5" s="58"/>
      <c r="D5" s="58"/>
      <c r="E5" s="58"/>
      <c r="F5" s="58"/>
      <c r="G5" s="58"/>
    </row>
    <row r="6" customFormat="false" ht="15" hidden="false" customHeight="true" outlineLevel="0" collapsed="false">
      <c r="B6" s="40" t="s">
        <v>261</v>
      </c>
      <c r="C6" s="40" t="s">
        <v>262</v>
      </c>
      <c r="D6" s="59" t="s">
        <v>44</v>
      </c>
      <c r="E6" s="40" t="s">
        <v>45</v>
      </c>
      <c r="F6" s="40" t="s">
        <v>46</v>
      </c>
      <c r="G6" s="40" t="s">
        <v>263</v>
      </c>
    </row>
    <row r="7" customFormat="false" ht="15" hidden="false" customHeight="true" outlineLevel="0" collapsed="false">
      <c r="B7" s="47" t="s">
        <v>211</v>
      </c>
      <c r="C7" s="47" t="s">
        <v>212</v>
      </c>
      <c r="D7" s="48" t="n">
        <v>23300</v>
      </c>
      <c r="E7" s="60" t="n">
        <v>24415.78</v>
      </c>
      <c r="F7" s="47" t="n">
        <v>-1115.78</v>
      </c>
      <c r="G7" s="47" t="s">
        <v>264</v>
      </c>
    </row>
    <row r="8" customFormat="false" ht="15" hidden="false" customHeight="true" outlineLevel="0" collapsed="false">
      <c r="B8" s="47" t="s">
        <v>213</v>
      </c>
      <c r="C8" s="47" t="s">
        <v>214</v>
      </c>
      <c r="D8" s="48" t="n">
        <v>92894</v>
      </c>
      <c r="E8" s="60" t="n">
        <v>54034.99</v>
      </c>
      <c r="F8" s="47" t="n">
        <v>38859.01</v>
      </c>
      <c r="G8" s="47" t="s">
        <v>265</v>
      </c>
    </row>
    <row r="9" customFormat="false" ht="15" hidden="false" customHeight="true" outlineLevel="0" collapsed="false">
      <c r="B9" s="47" t="s">
        <v>215</v>
      </c>
      <c r="C9" s="47" t="s">
        <v>216</v>
      </c>
      <c r="D9" s="48" t="n">
        <v>26700</v>
      </c>
      <c r="E9" s="60" t="n">
        <v>24723.82</v>
      </c>
      <c r="F9" s="47" t="n">
        <v>1976.18</v>
      </c>
      <c r="G9" s="47" t="s">
        <v>264</v>
      </c>
    </row>
    <row r="10" customFormat="false" ht="15" hidden="false" customHeight="true" outlineLevel="0" collapsed="false">
      <c r="B10" s="47" t="s">
        <v>217</v>
      </c>
      <c r="C10" s="47" t="s">
        <v>218</v>
      </c>
      <c r="D10" s="48" t="n">
        <v>213718</v>
      </c>
      <c r="E10" s="60" t="n">
        <v>87900.72</v>
      </c>
      <c r="F10" s="47" t="n">
        <v>125817.28</v>
      </c>
      <c r="G10" s="47" t="s">
        <v>266</v>
      </c>
    </row>
    <row r="11" customFormat="false" ht="15" hidden="false" customHeight="true" outlineLevel="0" collapsed="false">
      <c r="B11" s="47" t="s">
        <v>219</v>
      </c>
      <c r="C11" s="47" t="s">
        <v>220</v>
      </c>
      <c r="D11" s="48" t="n">
        <v>526401</v>
      </c>
      <c r="E11" s="60" t="n">
        <v>411991.97</v>
      </c>
      <c r="F11" s="47" t="n">
        <v>114409.03</v>
      </c>
      <c r="G11" s="47" t="s">
        <v>267</v>
      </c>
    </row>
    <row r="12" customFormat="false" ht="15" hidden="false" customHeight="true" outlineLevel="0" collapsed="false">
      <c r="B12" s="47" t="s">
        <v>221</v>
      </c>
      <c r="C12" s="47" t="s">
        <v>222</v>
      </c>
      <c r="D12" s="48" t="n">
        <v>12800</v>
      </c>
      <c r="E12" s="60" t="n">
        <v>8263.12</v>
      </c>
      <c r="F12" s="47" t="n">
        <v>4536.88</v>
      </c>
      <c r="G12" s="47" t="s">
        <v>268</v>
      </c>
    </row>
    <row r="13" customFormat="false" ht="15" hidden="false" customHeight="true" outlineLevel="0" collapsed="false">
      <c r="B13" s="47" t="s">
        <v>223</v>
      </c>
      <c r="C13" s="47" t="s">
        <v>224</v>
      </c>
      <c r="D13" s="48" t="n">
        <v>93431</v>
      </c>
      <c r="E13" s="60" t="n">
        <v>122165.25</v>
      </c>
      <c r="F13" s="47" t="n">
        <v>-28734.25</v>
      </c>
      <c r="G13" s="47" t="s">
        <v>269</v>
      </c>
    </row>
    <row r="14" customFormat="false" ht="15" hidden="false" customHeight="true" outlineLevel="0" collapsed="false">
      <c r="B14" s="47" t="s">
        <v>225</v>
      </c>
      <c r="C14" s="47" t="s">
        <v>226</v>
      </c>
      <c r="D14" s="48" t="n">
        <v>16500</v>
      </c>
      <c r="E14" s="60" t="n">
        <v>27133.61</v>
      </c>
      <c r="F14" s="47" t="n">
        <v>-10633.61</v>
      </c>
      <c r="G14" s="47" t="s">
        <v>270</v>
      </c>
    </row>
    <row r="15" customFormat="false" ht="15" hidden="false" customHeight="true" outlineLevel="0" collapsed="false">
      <c r="B15" s="47" t="s">
        <v>227</v>
      </c>
      <c r="C15" s="47" t="s">
        <v>228</v>
      </c>
      <c r="D15" s="48" t="n">
        <v>7952</v>
      </c>
      <c r="E15" s="60" t="n">
        <v>2198.97</v>
      </c>
      <c r="F15" s="47" t="n">
        <v>5753.03</v>
      </c>
      <c r="G15" s="47" t="s">
        <v>271</v>
      </c>
    </row>
    <row r="16" customFormat="false" ht="15" hidden="false" customHeight="true" outlineLevel="0" collapsed="false">
      <c r="B16" s="14"/>
      <c r="C16" s="14"/>
      <c r="D16" s="35"/>
      <c r="E16" s="36"/>
      <c r="F16" s="14"/>
      <c r="G16" s="14"/>
    </row>
    <row r="17" customFormat="false" ht="15" hidden="false" customHeight="true" outlineLevel="0" collapsed="false">
      <c r="B17" s="61" t="s">
        <v>272</v>
      </c>
      <c r="C17" s="61"/>
      <c r="D17" s="61"/>
      <c r="E17" s="61"/>
      <c r="F17" s="61"/>
      <c r="G17" s="61"/>
    </row>
    <row r="18" customFormat="false" ht="15" hidden="false" customHeight="true" outlineLevel="0" collapsed="false">
      <c r="B18" s="40" t="s">
        <v>273</v>
      </c>
      <c r="C18" s="40" t="s">
        <v>274</v>
      </c>
      <c r="D18" s="59" t="s">
        <v>275</v>
      </c>
      <c r="E18" s="40" t="s">
        <v>276</v>
      </c>
      <c r="F18" s="40" t="s">
        <v>277</v>
      </c>
      <c r="G18" s="14"/>
    </row>
    <row r="19" customFormat="false" ht="15" hidden="false" customHeight="true" outlineLevel="0" collapsed="false">
      <c r="B19" s="47" t="n">
        <v>1</v>
      </c>
      <c r="C19" s="47" t="s">
        <v>278</v>
      </c>
      <c r="D19" s="48" t="n">
        <v>121</v>
      </c>
      <c r="E19" s="60" t="n">
        <v>216177</v>
      </c>
      <c r="F19" s="47" t="s">
        <v>279</v>
      </c>
      <c r="G19" s="14"/>
    </row>
    <row r="20" customFormat="false" ht="15" hidden="false" customHeight="true" outlineLevel="0" collapsed="false">
      <c r="B20" s="47" t="n">
        <v>2</v>
      </c>
      <c r="C20" s="47" t="s">
        <v>280</v>
      </c>
      <c r="D20" s="48" t="n">
        <v>101</v>
      </c>
      <c r="E20" s="60" t="n">
        <v>204980</v>
      </c>
      <c r="F20" s="47" t="s">
        <v>281</v>
      </c>
      <c r="G20" s="14"/>
    </row>
    <row r="21" customFormat="false" ht="15" hidden="false" customHeight="true" outlineLevel="0" collapsed="false">
      <c r="B21" s="47" t="n">
        <v>3</v>
      </c>
      <c r="C21" s="47" t="s">
        <v>282</v>
      </c>
      <c r="D21" s="48" t="n">
        <v>172</v>
      </c>
      <c r="E21" s="60" t="n">
        <v>188563</v>
      </c>
      <c r="F21" s="47" t="s">
        <v>283</v>
      </c>
      <c r="G21" s="14"/>
    </row>
    <row r="22" customFormat="false" ht="15" hidden="false" customHeight="true" outlineLevel="0" collapsed="false">
      <c r="B22" s="47" t="n">
        <v>4</v>
      </c>
      <c r="C22" s="47" t="s">
        <v>284</v>
      </c>
      <c r="D22" s="48" t="n">
        <v>4</v>
      </c>
      <c r="E22" s="60" t="n">
        <v>67936</v>
      </c>
      <c r="F22" s="47" t="s">
        <v>285</v>
      </c>
      <c r="G22" s="14"/>
    </row>
    <row r="23" customFormat="false" ht="15" hidden="false" customHeight="true" outlineLevel="0" collapsed="false">
      <c r="B23" s="47" t="n">
        <v>5</v>
      </c>
      <c r="C23" s="47" t="s">
        <v>286</v>
      </c>
      <c r="D23" s="48" t="n">
        <v>11</v>
      </c>
      <c r="E23" s="60" t="n">
        <v>47820</v>
      </c>
      <c r="F23" s="47" t="s">
        <v>287</v>
      </c>
      <c r="G23" s="14"/>
    </row>
    <row r="24" customFormat="false" ht="20.25" hidden="false" customHeight="true" outlineLevel="0" collapsed="false">
      <c r="B24" s="47" t="n">
        <v>6</v>
      </c>
      <c r="C24" s="47" t="s">
        <v>288</v>
      </c>
      <c r="D24" s="48" t="n">
        <v>40</v>
      </c>
      <c r="E24" s="60" t="n">
        <v>23301</v>
      </c>
      <c r="F24" s="47" t="s">
        <v>289</v>
      </c>
      <c r="G24" s="14"/>
    </row>
    <row r="25" customFormat="false" ht="15" hidden="false" customHeight="true" outlineLevel="0" collapsed="false">
      <c r="B25" s="47" t="n">
        <v>7</v>
      </c>
      <c r="C25" s="47" t="s">
        <v>290</v>
      </c>
      <c r="D25" s="48" t="n">
        <v>5</v>
      </c>
      <c r="E25" s="60" t="n">
        <v>15202</v>
      </c>
      <c r="F25" s="47" t="s">
        <v>291</v>
      </c>
      <c r="G25" s="14"/>
    </row>
    <row r="26" customFormat="false" ht="15" hidden="false" customHeight="true" outlineLevel="0" collapsed="false">
      <c r="B26" s="47" t="n">
        <v>8</v>
      </c>
      <c r="C26" s="47" t="s">
        <v>292</v>
      </c>
      <c r="D26" s="48" t="n">
        <v>13</v>
      </c>
      <c r="E26" s="60" t="n">
        <v>8585</v>
      </c>
      <c r="F26" s="47" t="s">
        <v>268</v>
      </c>
      <c r="G26" s="14"/>
    </row>
    <row r="27" customFormat="false" ht="15" hidden="false" customHeight="true" outlineLevel="0" collapsed="false">
      <c r="B27" s="47" t="n">
        <v>9</v>
      </c>
      <c r="C27" s="47" t="s">
        <v>293</v>
      </c>
      <c r="D27" s="48" t="n">
        <v>5</v>
      </c>
      <c r="E27" s="60" t="n">
        <v>4605</v>
      </c>
      <c r="F27" s="47" t="s">
        <v>294</v>
      </c>
      <c r="G27" s="14"/>
    </row>
    <row r="28" customFormat="false" ht="15" hidden="false" customHeight="true" outlineLevel="0" collapsed="false">
      <c r="B28" s="47" t="n">
        <v>10</v>
      </c>
      <c r="C28" s="47" t="s">
        <v>295</v>
      </c>
      <c r="D28" s="48" t="n">
        <v>6</v>
      </c>
      <c r="E28" s="60" t="n">
        <v>3172</v>
      </c>
      <c r="F28" s="47" t="s">
        <v>296</v>
      </c>
      <c r="G28" s="14"/>
    </row>
    <row r="29" customFormat="false" ht="15" hidden="false" customHeight="true" outlineLevel="0" collapsed="false">
      <c r="B29" s="47" t="n">
        <v>11</v>
      </c>
      <c r="C29" s="47" t="s">
        <v>297</v>
      </c>
      <c r="D29" s="48" t="n">
        <v>5</v>
      </c>
      <c r="E29" s="60" t="n">
        <v>2334</v>
      </c>
      <c r="F29" s="47" t="s">
        <v>271</v>
      </c>
      <c r="G29" s="14"/>
    </row>
    <row r="30" customFormat="false" ht="15" hidden="false" customHeight="true" outlineLevel="0" collapsed="false">
      <c r="B30" s="47" t="n">
        <v>12</v>
      </c>
      <c r="C30" s="47" t="s">
        <v>298</v>
      </c>
      <c r="D30" s="48" t="n">
        <v>8</v>
      </c>
      <c r="E30" s="60" t="n">
        <v>2332</v>
      </c>
      <c r="F30" s="47" t="s">
        <v>271</v>
      </c>
      <c r="G30" s="14"/>
    </row>
    <row r="31" customFormat="false" ht="15" hidden="false" customHeight="true" outlineLevel="0" collapsed="false">
      <c r="B31" s="47" t="n">
        <v>13</v>
      </c>
      <c r="C31" s="47" t="s">
        <v>299</v>
      </c>
      <c r="D31" s="48" t="n">
        <v>16</v>
      </c>
      <c r="E31" s="60" t="n">
        <v>2041</v>
      </c>
      <c r="F31" s="47" t="s">
        <v>271</v>
      </c>
      <c r="G31" s="14"/>
    </row>
    <row r="32" customFormat="false" ht="15" hidden="false" customHeight="true" outlineLevel="0" collapsed="false">
      <c r="B32" s="47" t="n">
        <v>14</v>
      </c>
      <c r="C32" s="47" t="s">
        <v>300</v>
      </c>
      <c r="D32" s="48" t="n">
        <v>17</v>
      </c>
      <c r="E32" s="60" t="n">
        <v>1700</v>
      </c>
      <c r="F32" s="47" t="s">
        <v>301</v>
      </c>
      <c r="G32" s="14"/>
    </row>
    <row r="33" customFormat="false" ht="20.25" hidden="false" customHeight="true" outlineLevel="0" collapsed="false">
      <c r="B33" s="47" t="n">
        <v>15</v>
      </c>
      <c r="C33" s="47" t="s">
        <v>302</v>
      </c>
      <c r="D33" s="48" t="n">
        <v>3</v>
      </c>
      <c r="E33" s="60" t="n">
        <v>1302</v>
      </c>
      <c r="F33" s="47" t="s">
        <v>301</v>
      </c>
      <c r="G33" s="14"/>
    </row>
    <row r="34" customFormat="false" ht="15" hidden="false" customHeight="true" outlineLevel="0" collapsed="false">
      <c r="B34" s="47" t="n">
        <v>16</v>
      </c>
      <c r="C34" s="47" t="s">
        <v>303</v>
      </c>
      <c r="D34" s="48" t="n">
        <v>1</v>
      </c>
      <c r="E34" s="60" t="n">
        <v>945</v>
      </c>
      <c r="F34" s="47" t="s">
        <v>304</v>
      </c>
      <c r="G34" s="14"/>
    </row>
    <row r="35" customFormat="false" ht="15" hidden="false" customHeight="true" outlineLevel="0" collapsed="false">
      <c r="B35" s="47" t="n">
        <v>17</v>
      </c>
      <c r="C35" s="47" t="s">
        <v>305</v>
      </c>
      <c r="D35" s="48" t="n">
        <v>4</v>
      </c>
      <c r="E35" s="60" t="n">
        <v>474</v>
      </c>
      <c r="F35" s="47" t="s">
        <v>304</v>
      </c>
      <c r="G35" s="14"/>
    </row>
    <row r="36" customFormat="false" ht="15" hidden="false" customHeight="true" outlineLevel="0" collapsed="false">
      <c r="B36" s="47" t="n">
        <v>18</v>
      </c>
      <c r="C36" s="47" t="s">
        <v>306</v>
      </c>
      <c r="D36" s="48" t="n">
        <v>2</v>
      </c>
      <c r="E36" s="60" t="n">
        <v>458</v>
      </c>
      <c r="F36" s="47" t="s">
        <v>304</v>
      </c>
      <c r="G36" s="14"/>
    </row>
    <row r="37" customFormat="false" ht="15" hidden="false" customHeight="true" outlineLevel="0" collapsed="false">
      <c r="B37" s="47" t="n">
        <v>19</v>
      </c>
      <c r="C37" s="47" t="s">
        <v>307</v>
      </c>
      <c r="D37" s="48" t="n">
        <v>5</v>
      </c>
      <c r="E37" s="60" t="n">
        <v>456</v>
      </c>
      <c r="F37" s="47" t="s">
        <v>304</v>
      </c>
      <c r="G37" s="14"/>
    </row>
    <row r="38" customFormat="false" ht="39.75" hidden="false" customHeight="true" outlineLevel="0" collapsed="false">
      <c r="B38" s="47" t="n">
        <v>20</v>
      </c>
      <c r="C38" s="47" t="s">
        <v>308</v>
      </c>
      <c r="D38" s="48" t="n">
        <v>3</v>
      </c>
      <c r="E38" s="60" t="n">
        <v>304</v>
      </c>
      <c r="F38" s="47" t="s">
        <v>309</v>
      </c>
      <c r="G38" s="14"/>
    </row>
    <row r="39" customFormat="false" ht="30" hidden="false" customHeight="true" outlineLevel="0" collapsed="false">
      <c r="B39" s="47" t="n">
        <v>21</v>
      </c>
      <c r="C39" s="47" t="s">
        <v>310</v>
      </c>
      <c r="D39" s="48" t="n">
        <v>3</v>
      </c>
      <c r="E39" s="60" t="n">
        <v>47</v>
      </c>
      <c r="F39" s="47" t="s">
        <v>309</v>
      </c>
      <c r="G39" s="14"/>
    </row>
    <row r="40" customFormat="false" ht="30" hidden="false" customHeight="true" outlineLevel="0" collapsed="false">
      <c r="B40" s="14"/>
      <c r="C40" s="14"/>
      <c r="D40" s="35"/>
      <c r="E40" s="36"/>
      <c r="F40" s="14"/>
      <c r="G40" s="14"/>
    </row>
    <row r="41" customFormat="false" ht="20.25" hidden="false" customHeight="true" outlineLevel="0" collapsed="false">
      <c r="B41" s="14"/>
      <c r="C41" s="14"/>
      <c r="D41" s="35"/>
      <c r="E41" s="36"/>
      <c r="F41" s="14"/>
      <c r="G41" s="14"/>
    </row>
    <row r="42" customFormat="false" ht="49.5" hidden="false" customHeight="true" outlineLevel="0" collapsed="false">
      <c r="B42" s="14"/>
      <c r="C42" s="14"/>
      <c r="D42" s="35"/>
      <c r="E42" s="36"/>
      <c r="F42" s="14"/>
      <c r="G42" s="14"/>
    </row>
    <row r="43" customFormat="false" ht="39.75" hidden="false" customHeight="true" outlineLevel="0" collapsed="false">
      <c r="B43" s="14"/>
      <c r="C43" s="14"/>
      <c r="D43" s="35"/>
      <c r="E43" s="36"/>
      <c r="F43" s="14"/>
      <c r="G43" s="14"/>
    </row>
    <row r="44" customFormat="false" ht="39.75" hidden="false" customHeight="true" outlineLevel="0" collapsed="false">
      <c r="B44" s="14"/>
      <c r="C44" s="14"/>
      <c r="D44" s="35"/>
      <c r="E44" s="36"/>
      <c r="F44" s="14"/>
      <c r="G44" s="14"/>
    </row>
    <row r="45" customFormat="false" ht="39.75" hidden="false" customHeight="true" outlineLevel="0" collapsed="false">
      <c r="B45" s="14"/>
      <c r="C45" s="14"/>
      <c r="D45" s="35"/>
      <c r="E45" s="36"/>
      <c r="F45" s="14"/>
      <c r="G45" s="14"/>
    </row>
    <row r="46" customFormat="false" ht="30" hidden="false" customHeight="true" outlineLevel="0" collapsed="false">
      <c r="B46" s="14"/>
      <c r="C46" s="14"/>
      <c r="D46" s="35"/>
      <c r="E46" s="36"/>
      <c r="F46" s="14"/>
      <c r="G46" s="14"/>
    </row>
    <row r="47" customFormat="false" ht="39.75" hidden="false" customHeight="true" outlineLevel="0" collapsed="false">
      <c r="B47" s="14"/>
      <c r="C47" s="14"/>
      <c r="D47" s="35"/>
      <c r="E47" s="36"/>
      <c r="F47" s="14"/>
      <c r="G47" s="14"/>
    </row>
    <row r="48" customFormat="false" ht="20.25" hidden="false" customHeight="true" outlineLevel="0" collapsed="false">
      <c r="B48" s="14"/>
      <c r="C48" s="14"/>
      <c r="D48" s="35"/>
      <c r="E48" s="36"/>
      <c r="F48" s="14"/>
      <c r="G48" s="14"/>
    </row>
    <row r="49" customFormat="false" ht="20.25" hidden="false" customHeight="true" outlineLevel="0" collapsed="false">
      <c r="B49" s="14"/>
      <c r="C49" s="14"/>
      <c r="D49" s="35"/>
      <c r="E49" s="36"/>
      <c r="F49" s="14"/>
      <c r="G49" s="14"/>
    </row>
  </sheetData>
  <mergeCells count="4">
    <mergeCell ref="A1:J1"/>
    <mergeCell ref="A2:J2"/>
    <mergeCell ref="B5:G5"/>
    <mergeCell ref="B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24"/>
    <col collapsed="false" customWidth="true" hidden="false" outlineLevel="0" max="4" min="4" style="1" width="12"/>
    <col collapsed="false" customWidth="true" hidden="false" outlineLevel="0" max="6" min="5" style="1" width="16"/>
    <col collapsed="false" customWidth="true" hidden="false" outlineLevel="0" max="7" min="7" style="1" width="24"/>
    <col collapsed="false" customWidth="true" hidden="false" outlineLevel="0" max="8" min="8" style="1" width="12"/>
    <col collapsed="false" customWidth="true" hidden="false" outlineLevel="0" max="9" min="9" style="1" width="24"/>
  </cols>
  <sheetData>
    <row r="1" customFormat="false" ht="27.75" hidden="false" customHeight="true" outlineLevel="0" collapsed="false">
      <c r="A1" s="2" t="s">
        <v>311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5" customFormat="false" ht="20.25" hidden="false" customHeight="true" outlineLevel="0" collapsed="false">
      <c r="B5" s="33" t="s">
        <v>312</v>
      </c>
      <c r="C5" s="33" t="s">
        <v>313</v>
      </c>
      <c r="D5" s="33" t="s">
        <v>314</v>
      </c>
      <c r="E5" s="33" t="s">
        <v>315</v>
      </c>
      <c r="F5" s="33" t="s">
        <v>316</v>
      </c>
      <c r="G5" s="33" t="s">
        <v>317</v>
      </c>
      <c r="H5" s="33" t="s">
        <v>318</v>
      </c>
      <c r="I5" s="33" t="s">
        <v>184</v>
      </c>
    </row>
    <row r="6" customFormat="false" ht="15" hidden="false" customHeight="true" outlineLevel="0" collapsed="false">
      <c r="B6" s="14" t="s">
        <v>319</v>
      </c>
      <c r="C6" s="14"/>
      <c r="D6" s="36" t="n">
        <v>2965.5</v>
      </c>
      <c r="E6" s="35" t="n">
        <v>93837.5</v>
      </c>
      <c r="F6" s="35" t="n">
        <v>31.6430618782667</v>
      </c>
      <c r="G6" s="14" t="s">
        <v>320</v>
      </c>
      <c r="H6" s="36"/>
      <c r="I6" s="14"/>
    </row>
    <row r="7" customFormat="false" ht="15" hidden="false" customHeight="true" outlineLevel="0" collapsed="false">
      <c r="B7" s="14" t="s">
        <v>321</v>
      </c>
      <c r="C7" s="14"/>
      <c r="D7" s="36" t="n">
        <v>2928.5</v>
      </c>
      <c r="E7" s="35" t="n">
        <v>58335.5</v>
      </c>
      <c r="F7" s="35" t="n">
        <v>19.9199248762165</v>
      </c>
      <c r="G7" s="14" t="s">
        <v>322</v>
      </c>
      <c r="H7" s="36"/>
      <c r="I7" s="14"/>
    </row>
    <row r="8" customFormat="false" ht="15" hidden="false" customHeight="true" outlineLevel="0" collapsed="false">
      <c r="B8" s="14" t="s">
        <v>323</v>
      </c>
      <c r="C8" s="14"/>
      <c r="D8" s="36" t="n">
        <v>2472</v>
      </c>
      <c r="E8" s="35" t="n">
        <v>37490</v>
      </c>
      <c r="F8" s="35" t="n">
        <v>15.165857605178</v>
      </c>
      <c r="G8" s="14" t="s">
        <v>324</v>
      </c>
      <c r="H8" s="36"/>
      <c r="I8" s="14"/>
    </row>
    <row r="9" customFormat="false" ht="15" hidden="false" customHeight="true" outlineLevel="0" collapsed="false">
      <c r="B9" s="14" t="s">
        <v>325</v>
      </c>
      <c r="C9" s="14"/>
      <c r="D9" s="36" t="n">
        <v>2334.5</v>
      </c>
      <c r="E9" s="35" t="n">
        <v>37020</v>
      </c>
      <c r="F9" s="35" t="n">
        <v>15.8577853930178</v>
      </c>
      <c r="G9" s="14" t="s">
        <v>324</v>
      </c>
      <c r="H9" s="36"/>
      <c r="I9" s="14"/>
    </row>
    <row r="10" customFormat="false" ht="15" hidden="false" customHeight="true" outlineLevel="0" collapsed="false">
      <c r="B10" s="14" t="s">
        <v>326</v>
      </c>
      <c r="C10" s="14"/>
      <c r="D10" s="36" t="n">
        <v>2246</v>
      </c>
      <c r="E10" s="35" t="n">
        <v>67320</v>
      </c>
      <c r="F10" s="35" t="n">
        <v>29.973285841496</v>
      </c>
      <c r="G10" s="14" t="s">
        <v>322</v>
      </c>
      <c r="H10" s="36"/>
      <c r="I10" s="14"/>
    </row>
    <row r="11" customFormat="false" ht="15" hidden="false" customHeight="true" outlineLevel="0" collapsed="false">
      <c r="B11" s="14" t="s">
        <v>327</v>
      </c>
      <c r="C11" s="14"/>
      <c r="D11" s="36" t="n">
        <v>1869.5</v>
      </c>
      <c r="E11" s="35" t="n">
        <v>28508</v>
      </c>
      <c r="F11" s="35" t="n">
        <v>15.2489970580369</v>
      </c>
      <c r="G11" s="14" t="s">
        <v>324</v>
      </c>
      <c r="H11" s="36"/>
      <c r="I11" s="14"/>
    </row>
    <row r="12" customFormat="false" ht="15" hidden="false" customHeight="true" outlineLevel="0" collapsed="false">
      <c r="B12" s="14" t="s">
        <v>328</v>
      </c>
      <c r="C12" s="14"/>
      <c r="D12" s="36" t="n">
        <v>1472.5</v>
      </c>
      <c r="E12" s="35" t="n">
        <v>32385.5</v>
      </c>
      <c r="F12" s="35" t="n">
        <v>21.9935483870968</v>
      </c>
      <c r="G12" s="14" t="s">
        <v>322</v>
      </c>
      <c r="H12" s="36"/>
      <c r="I12" s="14"/>
    </row>
    <row r="13" customFormat="false" ht="15" hidden="false" customHeight="true" outlineLevel="0" collapsed="false">
      <c r="B13" s="14" t="s">
        <v>329</v>
      </c>
      <c r="C13" s="14"/>
      <c r="D13" s="36" t="n">
        <v>1389</v>
      </c>
      <c r="E13" s="35" t="n">
        <v>22908.5</v>
      </c>
      <c r="F13" s="35" t="n">
        <v>16.4928005759539</v>
      </c>
      <c r="G13" s="14" t="s">
        <v>324</v>
      </c>
      <c r="H13" s="36"/>
      <c r="I13" s="14"/>
    </row>
    <row r="14" customFormat="false" ht="15" hidden="false" customHeight="true" outlineLevel="0" collapsed="false">
      <c r="B14" s="14" t="s">
        <v>330</v>
      </c>
      <c r="C14" s="14"/>
      <c r="D14" s="36" t="n">
        <v>1342.5</v>
      </c>
      <c r="E14" s="35" t="n">
        <v>18092.5</v>
      </c>
      <c r="F14" s="35" t="n">
        <v>13.4767225325885</v>
      </c>
      <c r="G14" s="14" t="s">
        <v>324</v>
      </c>
      <c r="H14" s="36"/>
      <c r="I14" s="14"/>
    </row>
    <row r="15" customFormat="false" ht="15" hidden="false" customHeight="true" outlineLevel="0" collapsed="false">
      <c r="B15" s="14" t="s">
        <v>331</v>
      </c>
      <c r="C15" s="14"/>
      <c r="D15" s="36" t="n">
        <v>1335.5</v>
      </c>
      <c r="E15" s="35" t="n">
        <v>20429.5</v>
      </c>
      <c r="F15" s="35" t="n">
        <v>15.2972669412205</v>
      </c>
      <c r="G15" s="14" t="s">
        <v>324</v>
      </c>
      <c r="H15" s="36"/>
      <c r="I15" s="14"/>
    </row>
    <row r="16" customFormat="false" ht="15" hidden="false" customHeight="true" outlineLevel="0" collapsed="false">
      <c r="B16" s="14" t="s">
        <v>332</v>
      </c>
      <c r="C16" s="14"/>
      <c r="D16" s="36" t="n">
        <v>990.5</v>
      </c>
      <c r="E16" s="35" t="n">
        <v>15385.5</v>
      </c>
      <c r="F16" s="35" t="n">
        <v>15.5330641090358</v>
      </c>
      <c r="G16" s="14" t="s">
        <v>324</v>
      </c>
      <c r="H16" s="36"/>
      <c r="I16" s="14"/>
    </row>
    <row r="17" customFormat="false" ht="15" hidden="false" customHeight="true" outlineLevel="0" collapsed="false">
      <c r="B17" s="14" t="s">
        <v>333</v>
      </c>
      <c r="C17" s="14"/>
      <c r="D17" s="36" t="n">
        <v>978</v>
      </c>
      <c r="E17" s="35" t="n">
        <v>14097.5</v>
      </c>
      <c r="F17" s="35" t="n">
        <v>14.4146216768916</v>
      </c>
      <c r="G17" s="14" t="s">
        <v>324</v>
      </c>
      <c r="H17" s="36"/>
      <c r="I17" s="14"/>
    </row>
    <row r="18" customFormat="false" ht="15" hidden="false" customHeight="true" outlineLevel="0" collapsed="false">
      <c r="B18" s="14" t="s">
        <v>334</v>
      </c>
      <c r="C18" s="14"/>
      <c r="D18" s="36" t="n">
        <v>973.5</v>
      </c>
      <c r="E18" s="35" t="n">
        <v>12783.5</v>
      </c>
      <c r="F18" s="35" t="n">
        <v>13.1314843348742</v>
      </c>
      <c r="G18" s="14" t="s">
        <v>324</v>
      </c>
      <c r="H18" s="36"/>
      <c r="I18" s="14"/>
    </row>
    <row r="19" customFormat="false" ht="15" hidden="false" customHeight="true" outlineLevel="0" collapsed="false">
      <c r="B19" s="14" t="s">
        <v>335</v>
      </c>
      <c r="C19" s="14"/>
      <c r="D19" s="36" t="n">
        <v>857</v>
      </c>
      <c r="E19" s="35" t="n">
        <v>13712</v>
      </c>
      <c r="F19" s="35" t="n">
        <v>16</v>
      </c>
      <c r="G19" s="14" t="s">
        <v>324</v>
      </c>
      <c r="H19" s="36"/>
      <c r="I19" s="14"/>
    </row>
    <row r="20" customFormat="false" ht="15" hidden="false" customHeight="true" outlineLevel="0" collapsed="false">
      <c r="B20" s="14" t="s">
        <v>336</v>
      </c>
      <c r="C20" s="14"/>
      <c r="D20" s="36" t="n">
        <v>857</v>
      </c>
      <c r="E20" s="35" t="n">
        <v>11998</v>
      </c>
      <c r="F20" s="35" t="n">
        <v>14</v>
      </c>
      <c r="G20" s="14" t="s">
        <v>324</v>
      </c>
      <c r="H20" s="36"/>
      <c r="I20" s="14"/>
    </row>
    <row r="21" customFormat="false" ht="15" hidden="false" customHeight="true" outlineLevel="0" collapsed="false">
      <c r="B21" s="14" t="s">
        <v>337</v>
      </c>
      <c r="C21" s="14"/>
      <c r="D21" s="36" t="n">
        <v>856.5</v>
      </c>
      <c r="E21" s="35" t="n">
        <v>11286.5</v>
      </c>
      <c r="F21" s="35" t="n">
        <v>13.1774664331582</v>
      </c>
      <c r="G21" s="14" t="s">
        <v>324</v>
      </c>
      <c r="H21" s="36"/>
      <c r="I21" s="14"/>
    </row>
    <row r="22" customFormat="false" ht="15" hidden="false" customHeight="true" outlineLevel="0" collapsed="false">
      <c r="B22" s="14" t="s">
        <v>338</v>
      </c>
      <c r="C22" s="14"/>
      <c r="D22" s="36" t="n">
        <v>824</v>
      </c>
      <c r="E22" s="35" t="n">
        <v>11312</v>
      </c>
      <c r="F22" s="35" t="n">
        <v>13.7281553398058</v>
      </c>
      <c r="G22" s="14" t="s">
        <v>324</v>
      </c>
      <c r="H22" s="36"/>
      <c r="I22" s="14"/>
    </row>
    <row r="23" customFormat="false" ht="15" hidden="false" customHeight="true" outlineLevel="0" collapsed="false">
      <c r="B23" s="14" t="s">
        <v>339</v>
      </c>
      <c r="C23" s="14"/>
      <c r="D23" s="36" t="n">
        <v>784</v>
      </c>
      <c r="E23" s="35" t="n">
        <v>23440</v>
      </c>
      <c r="F23" s="35" t="n">
        <v>29.8979591836735</v>
      </c>
      <c r="G23" s="14" t="s">
        <v>322</v>
      </c>
      <c r="H23" s="36"/>
      <c r="I23" s="14"/>
    </row>
    <row r="24" customFormat="false" ht="15" hidden="false" customHeight="true" outlineLevel="0" collapsed="false">
      <c r="B24" s="14" t="s">
        <v>340</v>
      </c>
      <c r="C24" s="14"/>
      <c r="D24" s="36" t="n">
        <v>730.5</v>
      </c>
      <c r="E24" s="35" t="n">
        <v>10406</v>
      </c>
      <c r="F24" s="35" t="n">
        <v>14.2450376454483</v>
      </c>
      <c r="G24" s="14" t="s">
        <v>324</v>
      </c>
      <c r="H24" s="36"/>
      <c r="I24" s="14"/>
    </row>
    <row r="25" customFormat="false" ht="15" hidden="false" customHeight="true" outlineLevel="0" collapsed="false">
      <c r="B25" s="14" t="s">
        <v>341</v>
      </c>
      <c r="C25" s="14"/>
      <c r="D25" s="36" t="n">
        <v>712</v>
      </c>
      <c r="E25" s="35" t="n">
        <v>23807.5</v>
      </c>
      <c r="F25" s="35" t="n">
        <v>33.4375</v>
      </c>
      <c r="G25" s="14" t="s">
        <v>320</v>
      </c>
      <c r="H25" s="36"/>
      <c r="I25" s="14"/>
    </row>
    <row r="26" customFormat="false" ht="15" hidden="false" customHeight="true" outlineLevel="0" collapsed="false">
      <c r="B26" s="14" t="s">
        <v>342</v>
      </c>
      <c r="C26" s="14"/>
      <c r="D26" s="36" t="n">
        <v>673</v>
      </c>
      <c r="E26" s="35" t="n">
        <v>10985</v>
      </c>
      <c r="F26" s="35" t="n">
        <v>16.3224368499257</v>
      </c>
      <c r="G26" s="14" t="s">
        <v>324</v>
      </c>
      <c r="H26" s="36"/>
      <c r="I26" s="14"/>
    </row>
    <row r="27" customFormat="false" ht="15" hidden="false" customHeight="true" outlineLevel="0" collapsed="false">
      <c r="B27" s="14" t="s">
        <v>343</v>
      </c>
      <c r="C27" s="14"/>
      <c r="D27" s="36" t="n">
        <v>540</v>
      </c>
      <c r="E27" s="35" t="n">
        <v>7020</v>
      </c>
      <c r="F27" s="35" t="n">
        <v>13</v>
      </c>
      <c r="G27" s="14" t="s">
        <v>324</v>
      </c>
      <c r="H27" s="36"/>
      <c r="I27" s="14"/>
    </row>
    <row r="28" customFormat="false" ht="15" hidden="false" customHeight="true" outlineLevel="0" collapsed="false">
      <c r="B28" s="14" t="s">
        <v>344</v>
      </c>
      <c r="C28" s="14"/>
      <c r="D28" s="36" t="n">
        <v>477</v>
      </c>
      <c r="E28" s="35" t="n">
        <v>21465</v>
      </c>
      <c r="F28" s="35" t="n">
        <v>45</v>
      </c>
      <c r="G28" s="14" t="s">
        <v>320</v>
      </c>
      <c r="H28" s="36"/>
      <c r="I28" s="14"/>
    </row>
    <row r="29" customFormat="false" ht="15" hidden="false" customHeight="true" outlineLevel="0" collapsed="false">
      <c r="B29" s="14" t="s">
        <v>345</v>
      </c>
      <c r="C29" s="14"/>
      <c r="D29" s="36" t="n">
        <v>448</v>
      </c>
      <c r="E29" s="35" t="n">
        <v>6368</v>
      </c>
      <c r="F29" s="35" t="n">
        <v>14.2142857142857</v>
      </c>
      <c r="G29" s="14" t="s">
        <v>324</v>
      </c>
      <c r="H29" s="36"/>
      <c r="I29" s="14"/>
    </row>
    <row r="30" customFormat="false" ht="15" hidden="false" customHeight="true" outlineLevel="0" collapsed="false">
      <c r="B30" s="14" t="s">
        <v>346</v>
      </c>
      <c r="C30" s="14"/>
      <c r="D30" s="36" t="n">
        <v>444.5</v>
      </c>
      <c r="E30" s="35" t="n">
        <v>5778.5</v>
      </c>
      <c r="F30" s="35" t="n">
        <v>13</v>
      </c>
      <c r="G30" s="14" t="s">
        <v>324</v>
      </c>
      <c r="H30" s="36"/>
      <c r="I30" s="14"/>
    </row>
    <row r="31" customFormat="false" ht="15" hidden="false" customHeight="true" outlineLevel="0" collapsed="false">
      <c r="B31" s="14" t="s">
        <v>347</v>
      </c>
      <c r="C31" s="14"/>
      <c r="D31" s="36" t="n">
        <v>412</v>
      </c>
      <c r="E31" s="35" t="n">
        <v>7940.5</v>
      </c>
      <c r="F31" s="35" t="n">
        <v>19.2730582524272</v>
      </c>
      <c r="G31" s="14" t="s">
        <v>322</v>
      </c>
      <c r="H31" s="36"/>
      <c r="I31" s="14"/>
    </row>
    <row r="32" customFormat="false" ht="15" hidden="false" customHeight="true" outlineLevel="0" collapsed="false">
      <c r="B32" s="14" t="s">
        <v>348</v>
      </c>
      <c r="C32" s="14"/>
      <c r="D32" s="36" t="n">
        <v>411.5</v>
      </c>
      <c r="E32" s="35" t="n">
        <v>8323</v>
      </c>
      <c r="F32" s="35" t="n">
        <v>20.2260024301337</v>
      </c>
      <c r="G32" s="14" t="s">
        <v>322</v>
      </c>
      <c r="H32" s="36"/>
      <c r="I32" s="14"/>
    </row>
    <row r="33" customFormat="false" ht="15" hidden="false" customHeight="true" outlineLevel="0" collapsed="false">
      <c r="B33" s="14" t="s">
        <v>349</v>
      </c>
      <c r="C33" s="14"/>
      <c r="D33" s="36" t="n">
        <v>397</v>
      </c>
      <c r="E33" s="35" t="n">
        <v>5955</v>
      </c>
      <c r="F33" s="35" t="n">
        <v>15</v>
      </c>
      <c r="G33" s="14" t="s">
        <v>324</v>
      </c>
      <c r="H33" s="36"/>
      <c r="I33" s="14"/>
    </row>
    <row r="34" customFormat="false" ht="15" hidden="false" customHeight="true" outlineLevel="0" collapsed="false">
      <c r="B34" s="14" t="s">
        <v>350</v>
      </c>
      <c r="C34" s="14"/>
      <c r="D34" s="36" t="n">
        <v>366</v>
      </c>
      <c r="E34" s="35" t="n">
        <v>5856</v>
      </c>
      <c r="F34" s="35" t="n">
        <v>16</v>
      </c>
      <c r="G34" s="14" t="s">
        <v>324</v>
      </c>
      <c r="H34" s="36"/>
      <c r="I34" s="14"/>
    </row>
    <row r="35" customFormat="false" ht="15" hidden="false" customHeight="true" outlineLevel="0" collapsed="false">
      <c r="B35" s="14" t="s">
        <v>351</v>
      </c>
      <c r="C35" s="14"/>
      <c r="D35" s="36" t="n">
        <v>365.5</v>
      </c>
      <c r="E35" s="35" t="n">
        <v>6024.5</v>
      </c>
      <c r="F35" s="35" t="n">
        <v>16.4829001367989</v>
      </c>
      <c r="G35" s="14" t="s">
        <v>324</v>
      </c>
      <c r="H35" s="36"/>
      <c r="I35" s="14"/>
    </row>
    <row r="36" customFormat="false" ht="15" hidden="false" customHeight="true" outlineLevel="0" collapsed="false">
      <c r="B36" s="14" t="s">
        <v>352</v>
      </c>
      <c r="C36" s="14"/>
      <c r="D36" s="36" t="n">
        <v>361</v>
      </c>
      <c r="E36" s="35" t="n">
        <v>6498</v>
      </c>
      <c r="F36" s="35" t="n">
        <v>18</v>
      </c>
      <c r="G36" s="14" t="s">
        <v>322</v>
      </c>
      <c r="H36" s="36"/>
      <c r="I36" s="14"/>
    </row>
    <row r="37" customFormat="false" ht="15" hidden="false" customHeight="true" outlineLevel="0" collapsed="false">
      <c r="B37" s="14" t="s">
        <v>353</v>
      </c>
      <c r="C37" s="14"/>
      <c r="D37" s="36" t="n">
        <v>359.5</v>
      </c>
      <c r="E37" s="35" t="n">
        <v>13363.5</v>
      </c>
      <c r="F37" s="35" t="n">
        <v>37.1724617524339</v>
      </c>
      <c r="G37" s="14" t="s">
        <v>320</v>
      </c>
      <c r="H37" s="36"/>
      <c r="I37" s="14"/>
    </row>
    <row r="38" customFormat="false" ht="15" hidden="false" customHeight="true" outlineLevel="0" collapsed="false">
      <c r="B38" s="14" t="s">
        <v>354</v>
      </c>
      <c r="C38" s="14"/>
      <c r="D38" s="36" t="n">
        <v>348</v>
      </c>
      <c r="E38" s="35" t="n">
        <v>10788</v>
      </c>
      <c r="F38" s="35" t="n">
        <v>31</v>
      </c>
      <c r="G38" s="14" t="s">
        <v>320</v>
      </c>
      <c r="H38" s="36"/>
      <c r="I38" s="14"/>
    </row>
    <row r="39" customFormat="false" ht="15" hidden="false" customHeight="true" outlineLevel="0" collapsed="false">
      <c r="B39" s="14" t="s">
        <v>355</v>
      </c>
      <c r="C39" s="14"/>
      <c r="D39" s="36" t="n">
        <v>341.5</v>
      </c>
      <c r="E39" s="35" t="n">
        <v>5464</v>
      </c>
      <c r="F39" s="35" t="n">
        <v>16</v>
      </c>
      <c r="G39" s="14" t="s">
        <v>324</v>
      </c>
      <c r="H39" s="36"/>
      <c r="I39" s="14"/>
    </row>
    <row r="40" customFormat="false" ht="15" hidden="false" customHeight="true" outlineLevel="0" collapsed="false">
      <c r="B40" s="14" t="s">
        <v>356</v>
      </c>
      <c r="C40" s="14"/>
      <c r="D40" s="36" t="n">
        <v>297</v>
      </c>
      <c r="E40" s="35" t="n">
        <v>5049</v>
      </c>
      <c r="F40" s="35" t="n">
        <v>17</v>
      </c>
      <c r="G40" s="14" t="s">
        <v>324</v>
      </c>
      <c r="H40" s="36"/>
      <c r="I40" s="14"/>
    </row>
    <row r="41" customFormat="false" ht="15" hidden="false" customHeight="true" outlineLevel="0" collapsed="false">
      <c r="B41" s="14" t="s">
        <v>357</v>
      </c>
      <c r="C41" s="14"/>
      <c r="D41" s="36" t="n">
        <v>286.5</v>
      </c>
      <c r="E41" s="35" t="n">
        <v>3724.5</v>
      </c>
      <c r="F41" s="35" t="n">
        <v>13</v>
      </c>
      <c r="G41" s="14" t="s">
        <v>324</v>
      </c>
      <c r="H41" s="36"/>
      <c r="I41" s="14"/>
    </row>
    <row r="42" customFormat="false" ht="15" hidden="false" customHeight="true" outlineLevel="0" collapsed="false">
      <c r="B42" s="14" t="s">
        <v>358</v>
      </c>
      <c r="C42" s="14"/>
      <c r="D42" s="36" t="n">
        <v>279.5</v>
      </c>
      <c r="E42" s="35" t="n">
        <v>11102.5</v>
      </c>
      <c r="F42" s="35" t="n">
        <v>39.7227191413238</v>
      </c>
      <c r="G42" s="14" t="s">
        <v>320</v>
      </c>
      <c r="H42" s="36"/>
      <c r="I42" s="14"/>
    </row>
    <row r="43" customFormat="false" ht="15" hidden="false" customHeight="true" outlineLevel="0" collapsed="false">
      <c r="B43" s="14" t="s">
        <v>359</v>
      </c>
      <c r="C43" s="14"/>
      <c r="D43" s="36" t="n">
        <v>274</v>
      </c>
      <c r="E43" s="35" t="n">
        <v>4384</v>
      </c>
      <c r="F43" s="35" t="n">
        <v>16</v>
      </c>
      <c r="G43" s="14" t="s">
        <v>324</v>
      </c>
      <c r="H43" s="36"/>
      <c r="I43" s="14"/>
    </row>
    <row r="44" customFormat="false" ht="15" hidden="false" customHeight="true" outlineLevel="0" collapsed="false">
      <c r="B44" s="14" t="s">
        <v>360</v>
      </c>
      <c r="C44" s="14"/>
      <c r="D44" s="36" t="n">
        <v>199.5</v>
      </c>
      <c r="E44" s="35" t="n">
        <v>2793</v>
      </c>
      <c r="F44" s="35" t="n">
        <v>14</v>
      </c>
      <c r="G44" s="14" t="s">
        <v>324</v>
      </c>
      <c r="H44" s="36"/>
      <c r="I44" s="14"/>
    </row>
    <row r="45" customFormat="false" ht="15" hidden="false" customHeight="true" outlineLevel="0" collapsed="false">
      <c r="B45" s="14" t="s">
        <v>361</v>
      </c>
      <c r="C45" s="14"/>
      <c r="D45" s="36" t="n">
        <v>192.5</v>
      </c>
      <c r="E45" s="35" t="n">
        <v>2502.5</v>
      </c>
      <c r="F45" s="35" t="n">
        <v>13</v>
      </c>
      <c r="G45" s="14" t="s">
        <v>324</v>
      </c>
      <c r="H45" s="36"/>
      <c r="I45" s="14"/>
    </row>
    <row r="46" customFormat="false" ht="15" hidden="false" customHeight="true" outlineLevel="0" collapsed="false">
      <c r="B46" s="14" t="s">
        <v>362</v>
      </c>
      <c r="C46" s="14"/>
      <c r="D46" s="36" t="n">
        <v>176</v>
      </c>
      <c r="E46" s="35" t="n">
        <v>2464</v>
      </c>
      <c r="F46" s="35" t="n">
        <v>14</v>
      </c>
      <c r="G46" s="14" t="s">
        <v>324</v>
      </c>
      <c r="H46" s="36"/>
      <c r="I46" s="14"/>
    </row>
    <row r="47" customFormat="false" ht="15" hidden="false" customHeight="true" outlineLevel="0" collapsed="false">
      <c r="B47" s="14" t="s">
        <v>363</v>
      </c>
      <c r="C47" s="14"/>
      <c r="D47" s="36" t="n">
        <v>176</v>
      </c>
      <c r="E47" s="35" t="n">
        <v>4032</v>
      </c>
      <c r="F47" s="35" t="n">
        <v>22.9090909090909</v>
      </c>
      <c r="G47" s="14" t="s">
        <v>322</v>
      </c>
      <c r="H47" s="36"/>
      <c r="I47" s="14"/>
    </row>
    <row r="48" customFormat="false" ht="15" hidden="false" customHeight="true" outlineLevel="0" collapsed="false">
      <c r="B48" s="14" t="s">
        <v>364</v>
      </c>
      <c r="C48" s="14"/>
      <c r="D48" s="36" t="n">
        <v>173</v>
      </c>
      <c r="E48" s="35" t="n">
        <v>4844</v>
      </c>
      <c r="F48" s="35" t="n">
        <v>28</v>
      </c>
      <c r="G48" s="14" t="s">
        <v>322</v>
      </c>
      <c r="H48" s="36"/>
      <c r="I48" s="14"/>
    </row>
    <row r="49" customFormat="false" ht="15" hidden="false" customHeight="true" outlineLevel="0" collapsed="false">
      <c r="B49" s="14" t="s">
        <v>365</v>
      </c>
      <c r="C49" s="14"/>
      <c r="D49" s="36" t="n">
        <v>144</v>
      </c>
      <c r="E49" s="35" t="n">
        <v>2016</v>
      </c>
      <c r="F49" s="35" t="n">
        <v>14</v>
      </c>
      <c r="G49" s="14" t="s">
        <v>324</v>
      </c>
      <c r="H49" s="36"/>
      <c r="I49" s="14"/>
    </row>
    <row r="50" customFormat="false" ht="15" hidden="false" customHeight="true" outlineLevel="0" collapsed="false">
      <c r="B50" s="14" t="s">
        <v>366</v>
      </c>
      <c r="C50" s="14"/>
      <c r="D50" s="36" t="n">
        <v>144</v>
      </c>
      <c r="E50" s="35" t="n">
        <v>4464</v>
      </c>
      <c r="F50" s="35" t="n">
        <v>31</v>
      </c>
      <c r="G50" s="14" t="s">
        <v>320</v>
      </c>
      <c r="H50" s="36"/>
      <c r="I50" s="14"/>
    </row>
    <row r="51" customFormat="false" ht="15" hidden="false" customHeight="true" outlineLevel="0" collapsed="false">
      <c r="B51" s="14" t="s">
        <v>367</v>
      </c>
      <c r="C51" s="14"/>
      <c r="D51" s="36" t="n">
        <v>140</v>
      </c>
      <c r="E51" s="35" t="n">
        <v>1820</v>
      </c>
      <c r="F51" s="35" t="n">
        <v>13</v>
      </c>
      <c r="G51" s="14" t="s">
        <v>324</v>
      </c>
      <c r="H51" s="36"/>
      <c r="I51" s="14"/>
    </row>
    <row r="52" customFormat="false" ht="15" hidden="false" customHeight="true" outlineLevel="0" collapsed="false">
      <c r="B52" s="14" t="s">
        <v>368</v>
      </c>
      <c r="C52" s="14"/>
      <c r="D52" s="36" t="n">
        <v>110</v>
      </c>
      <c r="E52" s="35" t="n">
        <v>1430</v>
      </c>
      <c r="F52" s="35" t="n">
        <v>13</v>
      </c>
      <c r="G52" s="14" t="s">
        <v>324</v>
      </c>
      <c r="H52" s="36"/>
      <c r="I52" s="14"/>
    </row>
    <row r="53" customFormat="false" ht="15" hidden="false" customHeight="true" outlineLevel="0" collapsed="false">
      <c r="B53" s="14" t="s">
        <v>369</v>
      </c>
      <c r="C53" s="14"/>
      <c r="D53" s="36" t="n">
        <v>108</v>
      </c>
      <c r="E53" s="35" t="n">
        <v>1836</v>
      </c>
      <c r="F53" s="35" t="n">
        <v>17</v>
      </c>
      <c r="G53" s="14" t="s">
        <v>324</v>
      </c>
      <c r="H53" s="36"/>
      <c r="I53" s="14"/>
    </row>
    <row r="54" customFormat="false" ht="15" hidden="false" customHeight="true" outlineLevel="0" collapsed="false">
      <c r="B54" s="14" t="s">
        <v>370</v>
      </c>
      <c r="C54" s="14"/>
      <c r="D54" s="36" t="n">
        <v>95</v>
      </c>
      <c r="E54" s="35" t="n">
        <v>1406</v>
      </c>
      <c r="F54" s="35" t="n">
        <v>14.8</v>
      </c>
      <c r="G54" s="14" t="s">
        <v>324</v>
      </c>
      <c r="H54" s="36"/>
      <c r="I54" s="14"/>
    </row>
    <row r="55" customFormat="false" ht="15" hidden="false" customHeight="true" outlineLevel="0" collapsed="false">
      <c r="B55" s="14" t="s">
        <v>371</v>
      </c>
      <c r="C55" s="14"/>
      <c r="D55" s="36" t="n">
        <v>88</v>
      </c>
      <c r="E55" s="35" t="n">
        <v>1232</v>
      </c>
      <c r="F55" s="35" t="n">
        <v>14</v>
      </c>
      <c r="G55" s="14" t="s">
        <v>324</v>
      </c>
      <c r="H55" s="36"/>
      <c r="I55" s="14"/>
    </row>
    <row r="56" customFormat="false" ht="15" hidden="false" customHeight="true" outlineLevel="0" collapsed="false">
      <c r="B56" s="14" t="s">
        <v>372</v>
      </c>
      <c r="C56" s="14"/>
      <c r="D56" s="36" t="n">
        <v>80</v>
      </c>
      <c r="E56" s="35" t="n">
        <v>1040</v>
      </c>
      <c r="F56" s="35" t="n">
        <v>13</v>
      </c>
      <c r="G56" s="14" t="s">
        <v>324</v>
      </c>
      <c r="H56" s="36"/>
      <c r="I56" s="14"/>
    </row>
    <row r="57" customFormat="false" ht="15" hidden="false" customHeight="true" outlineLevel="0" collapsed="false">
      <c r="B57" s="14" t="s">
        <v>373</v>
      </c>
      <c r="C57" s="14"/>
      <c r="D57" s="36" t="n">
        <v>56</v>
      </c>
      <c r="E57" s="35" t="n">
        <v>784</v>
      </c>
      <c r="F57" s="35" t="n">
        <v>14</v>
      </c>
      <c r="G57" s="14" t="s">
        <v>324</v>
      </c>
      <c r="H57" s="36"/>
      <c r="I57" s="14"/>
    </row>
    <row r="58" customFormat="false" ht="15" hidden="false" customHeight="true" outlineLevel="0" collapsed="false">
      <c r="B58" s="14" t="s">
        <v>374</v>
      </c>
      <c r="C58" s="14"/>
      <c r="D58" s="36" t="n">
        <v>46</v>
      </c>
      <c r="E58" s="35" t="n">
        <v>736</v>
      </c>
      <c r="F58" s="35" t="n">
        <v>16</v>
      </c>
      <c r="G58" s="14" t="s">
        <v>324</v>
      </c>
      <c r="H58" s="36"/>
      <c r="I58" s="14"/>
    </row>
    <row r="59" customFormat="false" ht="15" hidden="false" customHeight="true" outlineLevel="0" collapsed="false">
      <c r="B59" s="14" t="s">
        <v>375</v>
      </c>
      <c r="C59" s="14"/>
      <c r="D59" s="36" t="n">
        <v>40</v>
      </c>
      <c r="E59" s="35" t="n">
        <v>520</v>
      </c>
      <c r="F59" s="35" t="n">
        <v>13</v>
      </c>
      <c r="G59" s="14" t="s">
        <v>324</v>
      </c>
      <c r="H59" s="36"/>
      <c r="I59" s="14"/>
    </row>
    <row r="60" customFormat="false" ht="15" hidden="false" customHeight="true" outlineLevel="0" collapsed="false">
      <c r="B60" s="14" t="s">
        <v>376</v>
      </c>
      <c r="C60" s="14"/>
      <c r="D60" s="36" t="n">
        <v>24</v>
      </c>
      <c r="E60" s="35" t="n">
        <v>640</v>
      </c>
      <c r="F60" s="35" t="n">
        <v>26.6666666666667</v>
      </c>
      <c r="G60" s="14" t="s">
        <v>322</v>
      </c>
      <c r="H60" s="36"/>
      <c r="I60" s="14"/>
    </row>
    <row r="61" customFormat="false" ht="15" hidden="false" customHeight="true" outlineLevel="0" collapsed="false">
      <c r="B61" s="14" t="s">
        <v>377</v>
      </c>
      <c r="C61" s="14"/>
      <c r="D61" s="36" t="n">
        <v>8</v>
      </c>
      <c r="E61" s="35" t="n">
        <v>112</v>
      </c>
      <c r="F61" s="35" t="n">
        <v>14</v>
      </c>
      <c r="G61" s="14" t="s">
        <v>324</v>
      </c>
      <c r="H61" s="36"/>
      <c r="I61" s="14"/>
    </row>
    <row r="62" customFormat="false" ht="15" hidden="false" customHeight="true" outlineLevel="0" collapsed="false">
      <c r="B62" s="14" t="s">
        <v>378</v>
      </c>
      <c r="C62" s="14"/>
      <c r="D62" s="36" t="n">
        <v>7.5</v>
      </c>
      <c r="E62" s="35" t="n">
        <v>230</v>
      </c>
      <c r="F62" s="35" t="n">
        <v>30.6666666666667</v>
      </c>
      <c r="G62" s="14" t="s">
        <v>320</v>
      </c>
      <c r="H62" s="36"/>
      <c r="I62" s="14"/>
    </row>
    <row r="63" customFormat="false" ht="15" hidden="false" customHeight="true" outlineLevel="0" collapsed="false">
      <c r="B63" s="14" t="s">
        <v>379</v>
      </c>
      <c r="C63" s="14"/>
      <c r="D63" s="36" t="n">
        <v>39280</v>
      </c>
      <c r="E63" s="35" t="n">
        <v>745546</v>
      </c>
      <c r="F63" s="35" t="n">
        <v>19.59</v>
      </c>
      <c r="G63" s="14"/>
      <c r="H63" s="36"/>
      <c r="I63" s="14"/>
    </row>
    <row r="64" customFormat="false" ht="15" hidden="false" customHeight="true" outlineLevel="0" collapsed="false">
      <c r="B64" s="14" t="s">
        <v>380</v>
      </c>
      <c r="C64" s="14"/>
      <c r="D64" s="36"/>
      <c r="E64" s="35"/>
      <c r="F64" s="35"/>
      <c r="G64" s="14"/>
      <c r="H64" s="36"/>
      <c r="I64" s="14"/>
    </row>
    <row r="65" customFormat="false" ht="39.75" hidden="false" customHeight="true" outlineLevel="0" collapsed="false">
      <c r="B65" s="14" t="s">
        <v>381</v>
      </c>
      <c r="C65" s="14"/>
      <c r="D65" s="36"/>
      <c r="E65" s="35"/>
      <c r="F65" s="35"/>
      <c r="G65" s="14"/>
      <c r="H65" s="36"/>
      <c r="I65" s="14"/>
    </row>
    <row r="66" customFormat="false" ht="30" hidden="false" customHeight="true" outlineLevel="0" collapsed="false">
      <c r="B66" s="14" t="s">
        <v>382</v>
      </c>
      <c r="C66" s="14"/>
      <c r="D66" s="36"/>
      <c r="E66" s="35"/>
      <c r="F66" s="35"/>
      <c r="G66" s="14"/>
      <c r="H66" s="36"/>
      <c r="I66" s="14"/>
    </row>
    <row r="67" customFormat="false" ht="30" hidden="false" customHeight="true" outlineLevel="0" collapsed="false">
      <c r="B67" s="14" t="s">
        <v>383</v>
      </c>
      <c r="C67" s="14"/>
      <c r="D67" s="36"/>
      <c r="E67" s="35"/>
      <c r="F67" s="35"/>
      <c r="G67" s="14"/>
      <c r="H67" s="36"/>
      <c r="I67" s="14"/>
    </row>
    <row r="68" customFormat="false" ht="20.25" hidden="false" customHeight="true" outlineLevel="0" collapsed="false">
      <c r="B68" s="14" t="s">
        <v>384</v>
      </c>
      <c r="C68" s="14"/>
      <c r="D68" s="36"/>
      <c r="E68" s="35"/>
      <c r="F68" s="35"/>
      <c r="G68" s="14"/>
      <c r="H68" s="36"/>
      <c r="I68" s="14"/>
    </row>
    <row r="69" customFormat="false" ht="49.5" hidden="false" customHeight="true" outlineLevel="0" collapsed="false">
      <c r="B69" s="14" t="s">
        <v>385</v>
      </c>
      <c r="C69" s="14"/>
      <c r="D69" s="36"/>
      <c r="E69" s="35"/>
      <c r="F69" s="35"/>
      <c r="G69" s="14"/>
      <c r="H69" s="36"/>
      <c r="I69" s="14"/>
    </row>
    <row r="70" customFormat="false" ht="39.75" hidden="false" customHeight="true" outlineLevel="0" collapsed="false">
      <c r="B70" s="14" t="s">
        <v>386</v>
      </c>
      <c r="C70" s="14"/>
      <c r="D70" s="36"/>
      <c r="E70" s="35"/>
      <c r="F70" s="35"/>
      <c r="G70" s="14"/>
      <c r="H70" s="36"/>
      <c r="I70" s="14"/>
    </row>
    <row r="71" customFormat="false" ht="39.75" hidden="false" customHeight="true" outlineLevel="0" collapsed="false">
      <c r="B71" s="14" t="s">
        <v>387</v>
      </c>
      <c r="C71" s="14"/>
      <c r="D71" s="36"/>
      <c r="E71" s="35"/>
      <c r="F71" s="35"/>
      <c r="G71" s="14"/>
      <c r="H71" s="36"/>
      <c r="I71" s="14"/>
    </row>
    <row r="72" customFormat="false" ht="39.75" hidden="false" customHeight="true" outlineLevel="0" collapsed="false">
      <c r="B72" s="14" t="s">
        <v>388</v>
      </c>
      <c r="C72" s="14"/>
      <c r="D72" s="36"/>
      <c r="E72" s="35"/>
      <c r="F72" s="35"/>
      <c r="G72" s="14"/>
      <c r="H72" s="36"/>
      <c r="I72" s="14"/>
    </row>
    <row r="73" customFormat="false" ht="30" hidden="false" customHeight="true" outlineLevel="0" collapsed="false">
      <c r="B73" s="14" t="s">
        <v>389</v>
      </c>
      <c r="C73" s="14"/>
      <c r="D73" s="36"/>
      <c r="E73" s="35"/>
      <c r="F73" s="35"/>
      <c r="G73" s="14"/>
      <c r="H73" s="36"/>
      <c r="I73" s="14"/>
    </row>
    <row r="74" customFormat="false" ht="39.75" hidden="false" customHeight="true" outlineLevel="0" collapsed="false">
      <c r="B74" s="14" t="s">
        <v>390</v>
      </c>
      <c r="C74" s="14"/>
      <c r="D74" s="36"/>
      <c r="E74" s="35"/>
      <c r="F74" s="35"/>
      <c r="G74" s="14"/>
      <c r="H74" s="36"/>
      <c r="I74" s="14"/>
    </row>
    <row r="75" customFormat="false" ht="20.25" hidden="false" customHeight="true" outlineLevel="0" collapsed="false">
      <c r="B75" s="14" t="s">
        <v>391</v>
      </c>
      <c r="C75" s="14"/>
      <c r="D75" s="36"/>
      <c r="E75" s="35"/>
      <c r="F75" s="35"/>
      <c r="G75" s="14"/>
      <c r="H75" s="36"/>
      <c r="I75" s="14"/>
    </row>
    <row r="76" customFormat="false" ht="20.25" hidden="false" customHeight="true" outlineLevel="0" collapsed="false">
      <c r="B76" s="14" t="s">
        <v>392</v>
      </c>
      <c r="C76" s="14"/>
      <c r="D76" s="36"/>
      <c r="E76" s="35"/>
      <c r="F76" s="35"/>
      <c r="G76" s="14"/>
      <c r="H76" s="36"/>
      <c r="I76" s="14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6"/>
  </cols>
  <sheetData>
    <row r="1" customFormat="false" ht="27.75" hidden="false" customHeight="true" outlineLevel="0" collapsed="false">
      <c r="A1" s="2" t="s">
        <v>393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5" customFormat="false" ht="15" hidden="false" customHeight="true" outlineLevel="0" collapsed="false">
      <c r="B5" s="33" t="s">
        <v>317</v>
      </c>
      <c r="C5" s="33" t="s">
        <v>394</v>
      </c>
      <c r="D5" s="33" t="s">
        <v>183</v>
      </c>
      <c r="E5" s="33" t="s">
        <v>315</v>
      </c>
      <c r="F5" s="33" t="s">
        <v>395</v>
      </c>
      <c r="G5" s="33" t="s">
        <v>396</v>
      </c>
    </row>
    <row r="6" customFormat="false" ht="15" hidden="false" customHeight="true" outlineLevel="0" collapsed="false">
      <c r="B6" s="14" t="s">
        <v>320</v>
      </c>
      <c r="C6" s="36" t="n">
        <v>8</v>
      </c>
      <c r="D6" s="36" t="n">
        <v>5293</v>
      </c>
      <c r="E6" s="35" t="n">
        <v>179058</v>
      </c>
      <c r="F6" s="17" t="n">
        <v>0.139261987765573</v>
      </c>
      <c r="G6" s="35"/>
    </row>
    <row r="7" customFormat="false" ht="15" hidden="false" customHeight="true" outlineLevel="0" collapsed="false">
      <c r="B7" s="14" t="s">
        <v>322</v>
      </c>
      <c r="C7" s="36" t="n">
        <v>10</v>
      </c>
      <c r="D7" s="36" t="n">
        <v>8988.5</v>
      </c>
      <c r="E7" s="35" t="n">
        <v>213758.5</v>
      </c>
      <c r="F7" s="17" t="n">
        <v>0.236492797474183</v>
      </c>
      <c r="G7" s="35"/>
    </row>
    <row r="8" customFormat="false" ht="15" hidden="false" customHeight="true" outlineLevel="0" collapsed="false">
      <c r="B8" s="14" t="s">
        <v>324</v>
      </c>
      <c r="C8" s="36" t="n">
        <v>39</v>
      </c>
      <c r="D8" s="36" t="n">
        <v>23726</v>
      </c>
      <c r="E8" s="35" t="n">
        <v>352729.5</v>
      </c>
      <c r="F8" s="17" t="n">
        <v>0.624245214760245</v>
      </c>
      <c r="G8" s="35"/>
    </row>
    <row r="9" customFormat="false" ht="15" hidden="false" customHeight="true" outlineLevel="0" collapsed="false">
      <c r="B9" s="14" t="s">
        <v>397</v>
      </c>
      <c r="C9" s="36"/>
      <c r="D9" s="36"/>
      <c r="E9" s="35"/>
      <c r="F9" s="17"/>
      <c r="G9" s="35"/>
    </row>
    <row r="10" customFormat="false" ht="15" hidden="false" customHeight="true" outlineLevel="0" collapsed="false">
      <c r="B10" s="14" t="s">
        <v>398</v>
      </c>
      <c r="C10" s="36" t="n">
        <v>19.59</v>
      </c>
      <c r="D10" s="36" t="s">
        <v>399</v>
      </c>
      <c r="E10" s="35"/>
      <c r="F10" s="17"/>
      <c r="G10" s="35"/>
    </row>
    <row r="11" customFormat="false" ht="15" hidden="false" customHeight="true" outlineLevel="0" collapsed="false">
      <c r="B11" s="14" t="s">
        <v>400</v>
      </c>
      <c r="C11" s="36" t="n">
        <v>30.1</v>
      </c>
      <c r="D11" s="36" t="s">
        <v>401</v>
      </c>
      <c r="E11" s="35"/>
      <c r="F11" s="17"/>
      <c r="G11" s="35"/>
    </row>
    <row r="12" customFormat="false" ht="15" hidden="false" customHeight="true" outlineLevel="0" collapsed="false">
      <c r="B12" s="14" t="s">
        <v>402</v>
      </c>
      <c r="C12" s="36" t="n">
        <v>40.25</v>
      </c>
      <c r="D12" s="36" t="s">
        <v>403</v>
      </c>
      <c r="E12" s="35"/>
      <c r="F12" s="17"/>
      <c r="G12" s="35"/>
    </row>
    <row r="13" customFormat="false" ht="15" hidden="false" customHeight="true" outlineLevel="0" collapsed="false">
      <c r="B13" s="14" t="s">
        <v>404</v>
      </c>
      <c r="C13" s="36" t="n">
        <v>1.337</v>
      </c>
      <c r="D13" s="36" t="s">
        <v>405</v>
      </c>
      <c r="E13" s="35"/>
      <c r="F13" s="17"/>
      <c r="G13" s="35"/>
    </row>
    <row r="14" customFormat="false" ht="15" hidden="false" customHeight="true" outlineLevel="0" collapsed="false">
      <c r="B14" s="14" t="s">
        <v>406</v>
      </c>
      <c r="C14" s="36" t="n">
        <v>58</v>
      </c>
      <c r="D14" s="36" t="s">
        <v>407</v>
      </c>
      <c r="E14" s="35"/>
      <c r="F14" s="17"/>
      <c r="G14" s="35"/>
    </row>
    <row r="15" customFormat="false" ht="15" hidden="false" customHeight="true" outlineLevel="0" collapsed="false">
      <c r="B15" s="14" t="s">
        <v>408</v>
      </c>
      <c r="C15" s="36" t="n">
        <v>677.24</v>
      </c>
      <c r="D15" s="36" t="s">
        <v>409</v>
      </c>
      <c r="E15" s="35"/>
      <c r="F15" s="17"/>
      <c r="G15" s="35"/>
    </row>
    <row r="16" customFormat="false" ht="15" hidden="false" customHeight="true" outlineLevel="0" collapsed="false">
      <c r="B16" s="14" t="s">
        <v>410</v>
      </c>
      <c r="C16" s="36" t="s">
        <v>411</v>
      </c>
      <c r="D16" s="36"/>
      <c r="E16" s="35"/>
      <c r="F16" s="17"/>
      <c r="G16" s="35"/>
    </row>
    <row r="17" customFormat="false" ht="39.75" hidden="false" customHeight="true" outlineLevel="0" collapsed="false">
      <c r="B17" s="14" t="s">
        <v>381</v>
      </c>
      <c r="C17" s="36"/>
      <c r="D17" s="36"/>
      <c r="E17" s="35"/>
      <c r="F17" s="17"/>
      <c r="G17" s="35"/>
    </row>
    <row r="18" customFormat="false" ht="30" hidden="false" customHeight="true" outlineLevel="0" collapsed="false">
      <c r="B18" s="14" t="s">
        <v>382</v>
      </c>
      <c r="C18" s="36"/>
      <c r="D18" s="36"/>
      <c r="E18" s="35"/>
      <c r="F18" s="17"/>
      <c r="G18" s="35"/>
    </row>
    <row r="19" customFormat="false" ht="30" hidden="false" customHeight="true" outlineLevel="0" collapsed="false">
      <c r="B19" s="14" t="s">
        <v>383</v>
      </c>
      <c r="C19" s="36"/>
      <c r="D19" s="36"/>
      <c r="E19" s="35"/>
      <c r="F19" s="17"/>
      <c r="G19" s="35"/>
    </row>
    <row r="20" customFormat="false" ht="20.25" hidden="false" customHeight="true" outlineLevel="0" collapsed="false">
      <c r="B20" s="14" t="s">
        <v>384</v>
      </c>
      <c r="C20" s="36"/>
      <c r="D20" s="36"/>
      <c r="E20" s="35"/>
      <c r="F20" s="17"/>
      <c r="G20" s="35"/>
    </row>
    <row r="21" customFormat="false" ht="49.5" hidden="false" customHeight="true" outlineLevel="0" collapsed="false">
      <c r="B21" s="14" t="s">
        <v>385</v>
      </c>
      <c r="C21" s="36"/>
      <c r="D21" s="36"/>
      <c r="E21" s="35"/>
      <c r="F21" s="17"/>
      <c r="G21" s="35"/>
    </row>
    <row r="22" customFormat="false" ht="39.75" hidden="false" customHeight="true" outlineLevel="0" collapsed="false">
      <c r="B22" s="14" t="s">
        <v>386</v>
      </c>
      <c r="C22" s="36"/>
      <c r="D22" s="36"/>
      <c r="E22" s="35"/>
      <c r="F22" s="17"/>
      <c r="G22" s="35"/>
    </row>
    <row r="23" customFormat="false" ht="39.75" hidden="false" customHeight="true" outlineLevel="0" collapsed="false">
      <c r="B23" s="14" t="s">
        <v>387</v>
      </c>
      <c r="C23" s="36"/>
      <c r="D23" s="36"/>
      <c r="E23" s="35"/>
      <c r="F23" s="17"/>
      <c r="G23" s="35"/>
    </row>
    <row r="24" customFormat="false" ht="39.75" hidden="false" customHeight="true" outlineLevel="0" collapsed="false">
      <c r="B24" s="14" t="s">
        <v>388</v>
      </c>
      <c r="C24" s="36"/>
      <c r="D24" s="36"/>
      <c r="E24" s="35"/>
      <c r="F24" s="17"/>
      <c r="G24" s="35"/>
    </row>
    <row r="25" customFormat="false" ht="30" hidden="false" customHeight="true" outlineLevel="0" collapsed="false">
      <c r="B25" s="14" t="s">
        <v>389</v>
      </c>
      <c r="C25" s="36"/>
      <c r="D25" s="36"/>
      <c r="E25" s="35"/>
      <c r="F25" s="17"/>
      <c r="G25" s="35"/>
    </row>
    <row r="26" customFormat="false" ht="39.75" hidden="false" customHeight="true" outlineLevel="0" collapsed="false">
      <c r="B26" s="14" t="s">
        <v>390</v>
      </c>
      <c r="C26" s="36"/>
      <c r="D26" s="36"/>
      <c r="E26" s="35"/>
      <c r="F26" s="17"/>
      <c r="G26" s="35"/>
    </row>
    <row r="27" customFormat="false" ht="20.25" hidden="false" customHeight="true" outlineLevel="0" collapsed="false">
      <c r="B27" s="14" t="s">
        <v>391</v>
      </c>
      <c r="C27" s="36"/>
      <c r="D27" s="36"/>
      <c r="E27" s="35"/>
      <c r="F27" s="17"/>
      <c r="G27" s="35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24"/>
    <col collapsed="false" customWidth="true" hidden="false" outlineLevel="0" max="6" min="4" style="1" width="12"/>
  </cols>
  <sheetData>
    <row r="1" customFormat="false" ht="27.75" hidden="false" customHeight="true" outlineLevel="0" collapsed="false">
      <c r="A1" s="2" t="s">
        <v>412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5" customFormat="false" ht="20.25" hidden="false" customHeight="true" outlineLevel="0" collapsed="false">
      <c r="B5" s="33" t="s">
        <v>413</v>
      </c>
      <c r="C5" s="33" t="s">
        <v>414</v>
      </c>
      <c r="D5" s="33" t="s">
        <v>183</v>
      </c>
      <c r="E5" s="33" t="s">
        <v>415</v>
      </c>
      <c r="F5" s="33" t="s">
        <v>416</v>
      </c>
    </row>
    <row r="6" customFormat="false" ht="15" hidden="false" customHeight="true" outlineLevel="0" collapsed="false">
      <c r="B6" s="14" t="s">
        <v>187</v>
      </c>
      <c r="C6" s="14" t="s">
        <v>186</v>
      </c>
      <c r="D6" s="36" t="n">
        <v>301</v>
      </c>
      <c r="E6" s="17" t="n">
        <v>0.00776794239851351</v>
      </c>
      <c r="F6" s="36" t="n">
        <v>1.04513888888889</v>
      </c>
    </row>
    <row r="7" customFormat="false" ht="15" hidden="false" customHeight="true" outlineLevel="0" collapsed="false">
      <c r="B7" s="14" t="s">
        <v>417</v>
      </c>
      <c r="C7" s="14" t="s">
        <v>188</v>
      </c>
      <c r="D7" s="36" t="n">
        <v>434</v>
      </c>
      <c r="E7" s="17" t="n">
        <v>0.0112002890397172</v>
      </c>
      <c r="F7" s="36" t="n">
        <v>1.50694444444444</v>
      </c>
    </row>
    <row r="8" customFormat="false" ht="15" hidden="false" customHeight="true" outlineLevel="0" collapsed="false">
      <c r="B8" s="14" t="s">
        <v>418</v>
      </c>
      <c r="C8" s="14" t="s">
        <v>190</v>
      </c>
      <c r="D8" s="36" t="n">
        <v>775</v>
      </c>
      <c r="E8" s="17" t="n">
        <v>0.0200005161423521</v>
      </c>
      <c r="F8" s="36" t="n">
        <v>2.69097222222222</v>
      </c>
    </row>
    <row r="9" customFormat="false" ht="15" hidden="false" customHeight="true" outlineLevel="0" collapsed="false">
      <c r="B9" s="14" t="s">
        <v>419</v>
      </c>
      <c r="C9" s="14" t="s">
        <v>192</v>
      </c>
      <c r="D9" s="36" t="n">
        <v>6414</v>
      </c>
      <c r="E9" s="17" t="n">
        <v>0.165526852305866</v>
      </c>
      <c r="F9" s="36" t="n">
        <v>22.2708333333333</v>
      </c>
    </row>
    <row r="10" customFormat="false" ht="15" hidden="false" customHeight="true" outlineLevel="0" collapsed="false">
      <c r="B10" s="14" t="s">
        <v>420</v>
      </c>
      <c r="C10" s="14" t="s">
        <v>194</v>
      </c>
      <c r="D10" s="36" t="n">
        <v>776.5</v>
      </c>
      <c r="E10" s="17" t="n">
        <v>0.0200392268187566</v>
      </c>
      <c r="F10" s="36" t="n">
        <v>2.69618055555556</v>
      </c>
    </row>
    <row r="11" customFormat="false" ht="15" hidden="false" customHeight="true" outlineLevel="0" collapsed="false">
      <c r="B11" s="14" t="s">
        <v>421</v>
      </c>
      <c r="C11" s="14" t="s">
        <v>196</v>
      </c>
      <c r="D11" s="36" t="n">
        <v>144</v>
      </c>
      <c r="E11" s="17" t="n">
        <v>0.00371622493483703</v>
      </c>
      <c r="F11" s="36" t="n">
        <v>0.5</v>
      </c>
    </row>
    <row r="12" customFormat="false" ht="15" hidden="false" customHeight="true" outlineLevel="0" collapsed="false">
      <c r="B12" s="14" t="s">
        <v>422</v>
      </c>
      <c r="C12" s="14" t="s">
        <v>198</v>
      </c>
      <c r="D12" s="36" t="n">
        <v>18980.5</v>
      </c>
      <c r="E12" s="17" t="n">
        <v>0.489831995664404</v>
      </c>
      <c r="F12" s="36" t="n">
        <v>65.9045138888889</v>
      </c>
    </row>
    <row r="13" customFormat="false" ht="15" hidden="false" customHeight="true" outlineLevel="0" collapsed="false">
      <c r="B13" s="14" t="s">
        <v>423</v>
      </c>
      <c r="C13" s="14" t="s">
        <v>200</v>
      </c>
      <c r="D13" s="36" t="n">
        <v>3322</v>
      </c>
      <c r="E13" s="17" t="n">
        <v>0.085731244677282</v>
      </c>
      <c r="F13" s="36" t="n">
        <v>11.5347222222222</v>
      </c>
    </row>
    <row r="14" customFormat="false" ht="15" hidden="false" customHeight="true" outlineLevel="0" collapsed="false">
      <c r="B14" s="14" t="s">
        <v>424</v>
      </c>
      <c r="C14" s="14" t="s">
        <v>202</v>
      </c>
      <c r="D14" s="36" t="n">
        <v>1515.5</v>
      </c>
      <c r="E14" s="17" t="n">
        <v>0.0391106867273994</v>
      </c>
      <c r="F14" s="36" t="n">
        <v>5.26215277777778</v>
      </c>
    </row>
    <row r="15" customFormat="false" ht="15" hidden="false" customHeight="true" outlineLevel="0" collapsed="false">
      <c r="B15" s="14" t="s">
        <v>425</v>
      </c>
      <c r="C15" s="14" t="s">
        <v>204</v>
      </c>
      <c r="D15" s="36" t="n">
        <v>4519</v>
      </c>
      <c r="E15" s="17" t="n">
        <v>0.116622364448115</v>
      </c>
      <c r="F15" s="36" t="n">
        <v>15.6909722222222</v>
      </c>
    </row>
    <row r="16" customFormat="false" ht="15" hidden="false" customHeight="true" outlineLevel="0" collapsed="false">
      <c r="B16" s="14" t="s">
        <v>426</v>
      </c>
      <c r="C16" s="14" t="s">
        <v>206</v>
      </c>
      <c r="D16" s="36" t="n">
        <v>1567.5</v>
      </c>
      <c r="E16" s="17" t="n">
        <v>0.0404526568427572</v>
      </c>
      <c r="F16" s="36" t="n">
        <v>5.44270833333333</v>
      </c>
    </row>
    <row r="17" customFormat="false" ht="15" hidden="false" customHeight="true" outlineLevel="0" collapsed="false">
      <c r="B17" s="14" t="s">
        <v>427</v>
      </c>
      <c r="C17" s="14"/>
      <c r="D17" s="36"/>
      <c r="E17" s="17"/>
      <c r="F17" s="36"/>
    </row>
    <row r="18" customFormat="false" ht="15" hidden="false" customHeight="true" outlineLevel="0" collapsed="false">
      <c r="B18" s="14" t="s">
        <v>428</v>
      </c>
      <c r="C18" s="14" t="s">
        <v>429</v>
      </c>
      <c r="D18" s="36"/>
      <c r="E18" s="17"/>
      <c r="F18" s="36"/>
    </row>
    <row r="19" customFormat="false" ht="15" hidden="false" customHeight="true" outlineLevel="0" collapsed="false">
      <c r="B19" s="14" t="s">
        <v>430</v>
      </c>
      <c r="C19" s="14" t="n">
        <v>136.39</v>
      </c>
      <c r="D19" s="36"/>
      <c r="E19" s="17"/>
      <c r="F19" s="36"/>
    </row>
    <row r="20" customFormat="false" ht="15" hidden="false" customHeight="true" outlineLevel="0" collapsed="false">
      <c r="B20" s="14" t="s">
        <v>431</v>
      </c>
      <c r="C20" s="14" t="n">
        <v>25.12</v>
      </c>
      <c r="D20" s="36"/>
      <c r="E20" s="17"/>
      <c r="F20" s="36"/>
    </row>
    <row r="21" customFormat="false" ht="15" hidden="false" customHeight="true" outlineLevel="0" collapsed="false">
      <c r="B21" s="14" t="s">
        <v>432</v>
      </c>
      <c r="C21" s="14" t="n">
        <v>72.61</v>
      </c>
      <c r="D21" s="36"/>
      <c r="E21" s="17"/>
      <c r="F21" s="36"/>
    </row>
    <row r="22" customFormat="false" ht="15" hidden="false" customHeight="true" outlineLevel="0" collapsed="false">
      <c r="B22" s="14" t="s">
        <v>433</v>
      </c>
      <c r="C22" s="14" t="n">
        <v>21.9</v>
      </c>
      <c r="D22" s="36"/>
      <c r="E22" s="17"/>
      <c r="F22" s="36"/>
    </row>
    <row r="23" customFormat="false" ht="15" hidden="false" customHeight="true" outlineLevel="0" collapsed="false">
      <c r="B23" s="14" t="s">
        <v>434</v>
      </c>
      <c r="C23" s="14" t="n">
        <v>13.0909090909091</v>
      </c>
      <c r="D23" s="36"/>
      <c r="E23" s="17"/>
      <c r="F23" s="36"/>
    </row>
    <row r="24" customFormat="false" ht="15" hidden="false" customHeight="true" outlineLevel="0" collapsed="false">
      <c r="B24" s="14" t="s">
        <v>435</v>
      </c>
      <c r="C24" s="14" t="n">
        <v>71.0909090909091</v>
      </c>
      <c r="D24" s="36"/>
      <c r="E24" s="17"/>
      <c r="F24" s="36"/>
    </row>
    <row r="25" customFormat="false" ht="15" hidden="false" customHeight="true" outlineLevel="0" collapsed="false">
      <c r="B25" s="14" t="s">
        <v>436</v>
      </c>
      <c r="C25" s="14" t="n">
        <v>1785</v>
      </c>
      <c r="D25" s="36"/>
      <c r="E25" s="17"/>
      <c r="F25" s="36"/>
    </row>
    <row r="26" customFormat="false" ht="15" hidden="false" customHeight="true" outlineLevel="0" collapsed="false">
      <c r="B26" s="14" t="s">
        <v>437</v>
      </c>
      <c r="C26" s="14" t="n">
        <v>129648</v>
      </c>
      <c r="D26" s="36"/>
      <c r="E26" s="17"/>
      <c r="F26" s="36"/>
    </row>
    <row r="27" customFormat="false" ht="15" hidden="false" customHeight="true" outlineLevel="0" collapsed="false">
      <c r="B27" s="14" t="s">
        <v>380</v>
      </c>
      <c r="C27" s="14"/>
      <c r="D27" s="36"/>
      <c r="E27" s="17"/>
      <c r="F27" s="36"/>
    </row>
    <row r="28" customFormat="false" ht="39.75" hidden="false" customHeight="true" outlineLevel="0" collapsed="false">
      <c r="B28" s="14" t="s">
        <v>381</v>
      </c>
      <c r="C28" s="14"/>
      <c r="D28" s="36"/>
      <c r="E28" s="17"/>
      <c r="F28" s="36"/>
    </row>
    <row r="29" customFormat="false" ht="30" hidden="false" customHeight="true" outlineLevel="0" collapsed="false">
      <c r="B29" s="14" t="s">
        <v>382</v>
      </c>
      <c r="C29" s="14"/>
      <c r="D29" s="36"/>
      <c r="E29" s="17"/>
      <c r="F29" s="36"/>
    </row>
    <row r="30" customFormat="false" ht="30" hidden="false" customHeight="true" outlineLevel="0" collapsed="false">
      <c r="B30" s="14" t="s">
        <v>383</v>
      </c>
      <c r="C30" s="14"/>
      <c r="D30" s="36"/>
      <c r="E30" s="17"/>
      <c r="F30" s="36"/>
    </row>
    <row r="31" customFormat="false" ht="20.25" hidden="false" customHeight="true" outlineLevel="0" collapsed="false">
      <c r="B31" s="14" t="s">
        <v>384</v>
      </c>
      <c r="C31" s="14"/>
      <c r="D31" s="36"/>
      <c r="E31" s="17"/>
      <c r="F31" s="36"/>
    </row>
    <row r="32" customFormat="false" ht="49.5" hidden="false" customHeight="true" outlineLevel="0" collapsed="false">
      <c r="B32" s="14" t="s">
        <v>385</v>
      </c>
      <c r="C32" s="14"/>
      <c r="D32" s="36"/>
      <c r="E32" s="17"/>
      <c r="F32" s="36"/>
    </row>
    <row r="33" customFormat="false" ht="39.75" hidden="false" customHeight="true" outlineLevel="0" collapsed="false">
      <c r="B33" s="14" t="s">
        <v>386</v>
      </c>
      <c r="C33" s="14"/>
      <c r="D33" s="36"/>
      <c r="E33" s="17"/>
      <c r="F33" s="36"/>
    </row>
    <row r="34" customFormat="false" ht="39.75" hidden="false" customHeight="true" outlineLevel="0" collapsed="false">
      <c r="B34" s="14" t="s">
        <v>387</v>
      </c>
      <c r="C34" s="14"/>
      <c r="D34" s="36"/>
      <c r="E34" s="17"/>
      <c r="F34" s="36"/>
    </row>
    <row r="35" customFormat="false" ht="39.75" hidden="false" customHeight="true" outlineLevel="0" collapsed="false">
      <c r="B35" s="14" t="s">
        <v>388</v>
      </c>
      <c r="C35" s="14"/>
      <c r="D35" s="36"/>
      <c r="E35" s="17"/>
      <c r="F35" s="36"/>
    </row>
    <row r="36" customFormat="false" ht="30" hidden="false" customHeight="true" outlineLevel="0" collapsed="false">
      <c r="B36" s="14" t="s">
        <v>389</v>
      </c>
      <c r="C36" s="14"/>
      <c r="D36" s="36"/>
      <c r="E36" s="17"/>
      <c r="F36" s="36"/>
    </row>
    <row r="37" customFormat="false" ht="39.75" hidden="false" customHeight="true" outlineLevel="0" collapsed="false">
      <c r="B37" s="14" t="s">
        <v>390</v>
      </c>
      <c r="C37" s="14"/>
      <c r="D37" s="36"/>
      <c r="E37" s="17"/>
      <c r="F37" s="36"/>
    </row>
    <row r="38" customFormat="false" ht="20.25" hidden="false" customHeight="true" outlineLevel="0" collapsed="false">
      <c r="B38" s="14" t="s">
        <v>391</v>
      </c>
      <c r="C38" s="14"/>
      <c r="D38" s="36"/>
      <c r="E38" s="17"/>
      <c r="F38" s="36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7" min="3" style="1" width="14"/>
    <col collapsed="false" customWidth="true" hidden="false" outlineLevel="0" max="8" min="8" style="1" width="16"/>
    <col collapsed="false" customWidth="true" hidden="false" outlineLevel="0" max="9" min="9" style="1" width="24"/>
  </cols>
  <sheetData>
    <row r="1" customFormat="false" ht="27.75" hidden="false" customHeight="true" outlineLevel="0" collapsed="false">
      <c r="A1" s="2" t="s">
        <v>438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5" customFormat="false" ht="15" hidden="false" customHeight="true" outlineLevel="0" collapsed="false">
      <c r="B5" s="40" t="s">
        <v>439</v>
      </c>
      <c r="C5" s="40" t="s">
        <v>440</v>
      </c>
      <c r="D5" s="40" t="s">
        <v>441</v>
      </c>
      <c r="E5" s="40" t="s">
        <v>442</v>
      </c>
      <c r="F5" s="40" t="s">
        <v>443</v>
      </c>
      <c r="G5" s="41"/>
      <c r="H5" s="41"/>
      <c r="I5" s="41"/>
    </row>
    <row r="6" customFormat="false" ht="15" hidden="false" customHeight="true" outlineLevel="0" collapsed="false">
      <c r="B6" s="62" t="s">
        <v>444</v>
      </c>
      <c r="C6" s="63" t="n">
        <v>66</v>
      </c>
      <c r="D6" s="62" t="s">
        <v>283</v>
      </c>
      <c r="E6" s="62" t="s">
        <v>282</v>
      </c>
      <c r="F6" s="62" t="s">
        <v>445</v>
      </c>
      <c r="G6" s="14"/>
      <c r="H6" s="35"/>
      <c r="I6" s="14"/>
    </row>
    <row r="7" customFormat="false" ht="15" hidden="false" customHeight="true" outlineLevel="0" collapsed="false">
      <c r="B7" s="62" t="s">
        <v>446</v>
      </c>
      <c r="C7" s="63" t="n">
        <v>76</v>
      </c>
      <c r="D7" s="62" t="s">
        <v>279</v>
      </c>
      <c r="E7" s="62" t="s">
        <v>447</v>
      </c>
      <c r="F7" s="62" t="s">
        <v>448</v>
      </c>
      <c r="G7" s="14"/>
      <c r="H7" s="35"/>
      <c r="I7" s="14"/>
    </row>
    <row r="8" customFormat="false" ht="15" hidden="false" customHeight="true" outlineLevel="0" collapsed="false">
      <c r="B8" s="62" t="s">
        <v>449</v>
      </c>
      <c r="C8" s="63" t="n">
        <v>72</v>
      </c>
      <c r="D8" s="62" t="s">
        <v>281</v>
      </c>
      <c r="E8" s="62" t="s">
        <v>450</v>
      </c>
      <c r="F8" s="62" t="s">
        <v>448</v>
      </c>
      <c r="G8" s="14"/>
      <c r="H8" s="35"/>
      <c r="I8" s="14"/>
    </row>
    <row r="9" customFormat="false" ht="15" hidden="false" customHeight="true" outlineLevel="0" collapsed="false">
      <c r="B9" s="62" t="s">
        <v>451</v>
      </c>
      <c r="C9" s="63" t="s">
        <v>452</v>
      </c>
      <c r="D9" s="62" t="s">
        <v>452</v>
      </c>
      <c r="E9" s="62" t="s">
        <v>284</v>
      </c>
      <c r="F9" s="62" t="s">
        <v>453</v>
      </c>
      <c r="G9" s="14"/>
      <c r="H9" s="35"/>
      <c r="I9" s="14"/>
    </row>
    <row r="10" customFormat="false" ht="15" hidden="false" customHeight="true" outlineLevel="0" collapsed="false">
      <c r="B10" s="62" t="s">
        <v>454</v>
      </c>
      <c r="C10" s="63" t="s">
        <v>452</v>
      </c>
      <c r="D10" s="62" t="s">
        <v>452</v>
      </c>
      <c r="E10" s="62" t="s">
        <v>455</v>
      </c>
      <c r="F10" s="62" t="s">
        <v>456</v>
      </c>
      <c r="G10" s="14"/>
      <c r="H10" s="35"/>
      <c r="I10" s="14"/>
    </row>
    <row r="11" customFormat="false" ht="15" hidden="false" customHeight="true" outlineLevel="0" collapsed="false">
      <c r="B11" s="62" t="s">
        <v>457</v>
      </c>
      <c r="C11" s="63" t="s">
        <v>452</v>
      </c>
      <c r="D11" s="62" t="s">
        <v>452</v>
      </c>
      <c r="E11" s="62" t="s">
        <v>458</v>
      </c>
      <c r="F11" s="62" t="s">
        <v>459</v>
      </c>
      <c r="G11" s="14"/>
      <c r="H11" s="35"/>
      <c r="I11" s="14"/>
    </row>
    <row r="12" customFormat="false" ht="15" hidden="false" customHeight="true" outlineLevel="0" collapsed="false">
      <c r="B12" s="62" t="s">
        <v>460</v>
      </c>
      <c r="C12" s="63" t="s">
        <v>452</v>
      </c>
      <c r="D12" s="62" t="s">
        <v>461</v>
      </c>
      <c r="E12" s="62" t="s">
        <v>462</v>
      </c>
      <c r="F12" s="62"/>
      <c r="G12" s="14"/>
      <c r="H12" s="35"/>
      <c r="I12" s="14"/>
    </row>
    <row r="13" customFormat="false" ht="15" hidden="false" customHeight="true" outlineLevel="0" collapsed="false">
      <c r="B13" s="14"/>
      <c r="C13" s="64"/>
      <c r="D13" s="14"/>
      <c r="E13" s="14"/>
      <c r="F13" s="14"/>
      <c r="G13" s="14"/>
      <c r="H13" s="35"/>
      <c r="I13" s="14"/>
    </row>
    <row r="14" customFormat="false" ht="15" hidden="false" customHeight="true" outlineLevel="0" collapsed="false">
      <c r="B14" s="65" t="s">
        <v>463</v>
      </c>
      <c r="C14" s="65"/>
      <c r="D14" s="65"/>
      <c r="E14" s="65"/>
      <c r="F14" s="65"/>
      <c r="G14" s="14"/>
      <c r="H14" s="35"/>
      <c r="I14" s="14"/>
    </row>
    <row r="15" customFormat="false" ht="15" hidden="false" customHeight="true" outlineLevel="0" collapsed="false">
      <c r="B15" s="66" t="s">
        <v>464</v>
      </c>
      <c r="C15" s="66"/>
      <c r="D15" s="66"/>
      <c r="E15" s="66"/>
      <c r="F15" s="66"/>
      <c r="G15" s="14"/>
      <c r="H15" s="35"/>
      <c r="I15" s="14"/>
    </row>
    <row r="16" customFormat="false" ht="15" hidden="false" customHeight="true" outlineLevel="0" collapsed="false">
      <c r="B16" s="14"/>
      <c r="C16" s="64"/>
      <c r="D16" s="14"/>
      <c r="E16" s="14"/>
      <c r="F16" s="14"/>
      <c r="G16" s="14"/>
      <c r="H16" s="35"/>
      <c r="I16" s="14"/>
    </row>
    <row r="17" customFormat="false" ht="15" hidden="false" customHeight="true" outlineLevel="0" collapsed="false">
      <c r="B17" s="14"/>
      <c r="C17" s="64"/>
      <c r="D17" s="14"/>
      <c r="E17" s="14"/>
      <c r="F17" s="14"/>
      <c r="G17" s="14"/>
      <c r="H17" s="35"/>
      <c r="I17" s="14"/>
    </row>
    <row r="18" customFormat="false" ht="15" hidden="false" customHeight="true" outlineLevel="0" collapsed="false">
      <c r="B18" s="14"/>
      <c r="C18" s="64"/>
      <c r="D18" s="14"/>
      <c r="E18" s="14"/>
      <c r="F18" s="14"/>
      <c r="G18" s="14"/>
      <c r="H18" s="35"/>
      <c r="I18" s="14"/>
    </row>
    <row r="19" customFormat="false" ht="15" hidden="false" customHeight="true" outlineLevel="0" collapsed="false">
      <c r="B19" s="14"/>
      <c r="C19" s="64"/>
      <c r="D19" s="14"/>
      <c r="E19" s="14"/>
      <c r="F19" s="14"/>
      <c r="G19" s="14"/>
      <c r="H19" s="35"/>
      <c r="I19" s="14"/>
    </row>
    <row r="20" customFormat="false" ht="15" hidden="false" customHeight="true" outlineLevel="0" collapsed="false">
      <c r="B20" s="14"/>
      <c r="C20" s="64"/>
      <c r="D20" s="14"/>
      <c r="E20" s="14"/>
      <c r="F20" s="14"/>
      <c r="G20" s="14"/>
      <c r="H20" s="35"/>
      <c r="I20" s="14"/>
    </row>
    <row r="21" customFormat="false" ht="15" hidden="false" customHeight="true" outlineLevel="0" collapsed="false">
      <c r="B21" s="14"/>
      <c r="C21" s="64"/>
      <c r="D21" s="14"/>
      <c r="E21" s="14"/>
      <c r="F21" s="14"/>
      <c r="G21" s="14"/>
      <c r="H21" s="35"/>
      <c r="I21" s="14"/>
    </row>
    <row r="22" customFormat="false" ht="15" hidden="false" customHeight="true" outlineLevel="0" collapsed="false">
      <c r="B22" s="14"/>
      <c r="C22" s="64"/>
      <c r="D22" s="14"/>
      <c r="E22" s="14"/>
      <c r="F22" s="14"/>
      <c r="G22" s="14"/>
      <c r="H22" s="35"/>
      <c r="I22" s="14"/>
    </row>
    <row r="23" customFormat="false" ht="15" hidden="false" customHeight="true" outlineLevel="0" collapsed="false">
      <c r="B23" s="14"/>
      <c r="C23" s="64"/>
      <c r="D23" s="14"/>
      <c r="E23" s="14"/>
      <c r="F23" s="14"/>
      <c r="G23" s="14"/>
      <c r="H23" s="35"/>
      <c r="I23" s="14"/>
    </row>
    <row r="24" customFormat="false" ht="15" hidden="false" customHeight="true" outlineLevel="0" collapsed="false">
      <c r="B24" s="14"/>
      <c r="C24" s="64"/>
      <c r="D24" s="14"/>
      <c r="E24" s="14"/>
      <c r="F24" s="14"/>
      <c r="G24" s="14"/>
      <c r="H24" s="35"/>
      <c r="I24" s="14"/>
    </row>
    <row r="25" customFormat="false" ht="15" hidden="false" customHeight="true" outlineLevel="0" collapsed="false">
      <c r="B25" s="14"/>
      <c r="C25" s="64"/>
      <c r="D25" s="14"/>
      <c r="E25" s="14"/>
      <c r="F25" s="14"/>
      <c r="G25" s="14"/>
      <c r="H25" s="35"/>
      <c r="I25" s="14"/>
    </row>
    <row r="26" customFormat="false" ht="15" hidden="false" customHeight="true" outlineLevel="0" collapsed="false">
      <c r="B26" s="14"/>
      <c r="C26" s="64"/>
      <c r="D26" s="14"/>
      <c r="E26" s="14"/>
      <c r="F26" s="14"/>
      <c r="G26" s="14"/>
      <c r="H26" s="35"/>
      <c r="I26" s="14"/>
    </row>
    <row r="27" customFormat="false" ht="30" hidden="false" customHeight="true" outlineLevel="0" collapsed="false">
      <c r="B27" s="14"/>
      <c r="C27" s="64"/>
      <c r="D27" s="14"/>
      <c r="E27" s="14"/>
      <c r="F27" s="14"/>
      <c r="G27" s="14"/>
      <c r="H27" s="35"/>
      <c r="I27" s="14"/>
    </row>
    <row r="28" customFormat="false" ht="15" hidden="false" customHeight="true" outlineLevel="0" collapsed="false">
      <c r="B28" s="14"/>
      <c r="C28" s="64"/>
      <c r="D28" s="14"/>
      <c r="E28" s="14"/>
      <c r="F28" s="14"/>
      <c r="G28" s="14"/>
      <c r="H28" s="35"/>
      <c r="I28" s="14"/>
    </row>
    <row r="29" customFormat="false" ht="39.75" hidden="false" customHeight="true" outlineLevel="0" collapsed="false">
      <c r="B29" s="14"/>
      <c r="C29" s="64"/>
      <c r="D29" s="14"/>
      <c r="E29" s="14"/>
      <c r="F29" s="14"/>
      <c r="G29" s="14"/>
      <c r="H29" s="35"/>
      <c r="I29" s="14"/>
    </row>
    <row r="30" customFormat="false" ht="30" hidden="false" customHeight="true" outlineLevel="0" collapsed="false">
      <c r="B30" s="14"/>
      <c r="C30" s="64"/>
      <c r="D30" s="14"/>
      <c r="E30" s="14"/>
      <c r="F30" s="14"/>
      <c r="G30" s="14"/>
      <c r="H30" s="35"/>
      <c r="I30" s="14"/>
    </row>
    <row r="31" customFormat="false" ht="30" hidden="false" customHeight="true" outlineLevel="0" collapsed="false">
      <c r="B31" s="14"/>
      <c r="C31" s="64"/>
      <c r="D31" s="14"/>
      <c r="E31" s="14"/>
      <c r="F31" s="14"/>
      <c r="G31" s="14"/>
      <c r="H31" s="35"/>
      <c r="I31" s="14"/>
    </row>
    <row r="32" customFormat="false" ht="20.25" hidden="false" customHeight="true" outlineLevel="0" collapsed="false">
      <c r="B32" s="14"/>
      <c r="C32" s="64"/>
      <c r="D32" s="14"/>
      <c r="E32" s="14"/>
      <c r="F32" s="14"/>
      <c r="G32" s="14"/>
      <c r="H32" s="35"/>
      <c r="I32" s="14"/>
    </row>
    <row r="33" customFormat="false" ht="49.5" hidden="false" customHeight="true" outlineLevel="0" collapsed="false">
      <c r="B33" s="14"/>
      <c r="C33" s="64"/>
      <c r="D33" s="14"/>
      <c r="E33" s="14"/>
      <c r="F33" s="14"/>
      <c r="G33" s="14"/>
      <c r="H33" s="35"/>
      <c r="I33" s="14"/>
    </row>
    <row r="34" customFormat="false" ht="39.75" hidden="false" customHeight="true" outlineLevel="0" collapsed="false">
      <c r="B34" s="14"/>
      <c r="C34" s="64"/>
      <c r="D34" s="14"/>
      <c r="E34" s="14"/>
      <c r="F34" s="14"/>
      <c r="G34" s="14"/>
      <c r="H34" s="35"/>
      <c r="I34" s="14"/>
    </row>
    <row r="35" customFormat="false" ht="39.75" hidden="false" customHeight="true" outlineLevel="0" collapsed="false">
      <c r="B35" s="14"/>
      <c r="C35" s="64"/>
      <c r="D35" s="14"/>
      <c r="E35" s="14"/>
      <c r="F35" s="14"/>
      <c r="G35" s="14"/>
      <c r="H35" s="35"/>
      <c r="I35" s="14"/>
    </row>
    <row r="36" customFormat="false" ht="39.75" hidden="false" customHeight="true" outlineLevel="0" collapsed="false">
      <c r="B36" s="14"/>
      <c r="C36" s="64"/>
      <c r="D36" s="14"/>
      <c r="E36" s="14"/>
      <c r="F36" s="14"/>
      <c r="G36" s="14"/>
      <c r="H36" s="35"/>
      <c r="I36" s="14"/>
    </row>
    <row r="37" customFormat="false" ht="30" hidden="false" customHeight="true" outlineLevel="0" collapsed="false">
      <c r="B37" s="14"/>
      <c r="C37" s="64"/>
      <c r="D37" s="14"/>
      <c r="E37" s="14"/>
      <c r="F37" s="14"/>
      <c r="G37" s="14"/>
      <c r="H37" s="35"/>
      <c r="I37" s="14"/>
    </row>
    <row r="38" customFormat="false" ht="39.75" hidden="false" customHeight="true" outlineLevel="0" collapsed="false">
      <c r="B38" s="14"/>
      <c r="C38" s="64"/>
      <c r="D38" s="14"/>
      <c r="E38" s="14"/>
      <c r="F38" s="14"/>
      <c r="G38" s="14"/>
      <c r="H38" s="35"/>
      <c r="I38" s="14"/>
    </row>
    <row r="39" customFormat="false" ht="20.25" hidden="false" customHeight="true" outlineLevel="0" collapsed="false">
      <c r="B39" s="14"/>
      <c r="C39" s="64"/>
      <c r="D39" s="14"/>
      <c r="E39" s="14"/>
      <c r="F39" s="14"/>
      <c r="G39" s="14"/>
      <c r="H39" s="35"/>
      <c r="I39" s="14"/>
    </row>
    <row r="40" customFormat="false" ht="30" hidden="false" customHeight="true" outlineLevel="0" collapsed="false">
      <c r="B40" s="14"/>
      <c r="C40" s="64"/>
      <c r="D40" s="14"/>
      <c r="E40" s="14"/>
      <c r="F40" s="14"/>
      <c r="G40" s="14"/>
      <c r="H40" s="35"/>
      <c r="I40" s="14"/>
    </row>
    <row r="41" customFormat="false" ht="30" hidden="false" customHeight="true" outlineLevel="0" collapsed="false">
      <c r="B41" s="14"/>
      <c r="C41" s="64"/>
      <c r="D41" s="14"/>
      <c r="E41" s="14"/>
      <c r="F41" s="14"/>
      <c r="G41" s="14"/>
      <c r="H41" s="35"/>
      <c r="I41" s="14"/>
    </row>
  </sheetData>
  <mergeCells count="4">
    <mergeCell ref="A1:J1"/>
    <mergeCell ref="A2:J2"/>
    <mergeCell ref="B14:F1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8" min="4" style="1" width="14"/>
    <col collapsed="false" customWidth="true" hidden="false" outlineLevel="0" max="9" min="9" style="1" width="12"/>
    <col collapsed="false" customWidth="true" hidden="false" outlineLevel="0" max="10" min="10" style="1" width="24"/>
  </cols>
  <sheetData>
    <row r="1" customFormat="false" ht="27.75" hidden="false" customHeight="true" outlineLevel="0" collapsed="false">
      <c r="A1" s="2" t="s">
        <v>465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5" customFormat="false" ht="15" hidden="false" customHeight="true" outlineLevel="0" collapsed="false">
      <c r="B5" s="40" t="s">
        <v>466</v>
      </c>
      <c r="C5" s="40" t="s">
        <v>467</v>
      </c>
      <c r="D5" s="40" t="s">
        <v>468</v>
      </c>
      <c r="E5" s="40" t="s">
        <v>469</v>
      </c>
      <c r="F5" s="40" t="s">
        <v>470</v>
      </c>
      <c r="G5" s="40" t="s">
        <v>471</v>
      </c>
      <c r="H5" s="40" t="s">
        <v>472</v>
      </c>
      <c r="I5" s="41"/>
      <c r="J5" s="41"/>
    </row>
    <row r="6" customFormat="false" ht="15" hidden="false" customHeight="true" outlineLevel="0" collapsed="false">
      <c r="B6" s="47" t="n">
        <v>4</v>
      </c>
      <c r="C6" s="67" t="s">
        <v>473</v>
      </c>
      <c r="D6" s="48" t="n">
        <v>33600</v>
      </c>
      <c r="E6" s="48" t="n">
        <v>0</v>
      </c>
      <c r="F6" s="48" t="n">
        <v>33600</v>
      </c>
      <c r="G6" s="48" t="n">
        <v>146751</v>
      </c>
      <c r="H6" s="48" t="s">
        <v>474</v>
      </c>
      <c r="I6" s="17"/>
      <c r="J6" s="14"/>
    </row>
    <row r="7" customFormat="false" ht="15" hidden="false" customHeight="true" outlineLevel="0" collapsed="false">
      <c r="B7" s="47" t="n">
        <v>9</v>
      </c>
      <c r="C7" s="67" t="s">
        <v>475</v>
      </c>
      <c r="D7" s="48" t="n">
        <v>159218</v>
      </c>
      <c r="E7" s="48" t="n">
        <v>0</v>
      </c>
      <c r="F7" s="48" t="n">
        <v>159218</v>
      </c>
      <c r="G7" s="48" t="n">
        <v>827139</v>
      </c>
      <c r="H7" s="48" t="s">
        <v>476</v>
      </c>
      <c r="I7" s="17"/>
      <c r="J7" s="14"/>
    </row>
    <row r="8" customFormat="false" ht="15" hidden="false" customHeight="false" outlineLevel="0" collapsed="false">
      <c r="B8" s="68" t="n">
        <v>10</v>
      </c>
      <c r="C8" s="68" t="s">
        <v>477</v>
      </c>
      <c r="D8" s="68" t="n">
        <v>202569</v>
      </c>
      <c r="E8" s="68" t="n">
        <v>0</v>
      </c>
      <c r="F8" s="68" t="n">
        <v>202569</v>
      </c>
      <c r="G8" s="68" t="n">
        <v>1029708</v>
      </c>
      <c r="H8" s="68" t="s">
        <v>478</v>
      </c>
    </row>
    <row r="9" customFormat="false" ht="15" hidden="false" customHeight="false" outlineLevel="0" collapsed="false">
      <c r="B9" s="68" t="n">
        <v>12</v>
      </c>
      <c r="C9" s="68" t="s">
        <v>479</v>
      </c>
      <c r="D9" s="68" t="n">
        <v>193214</v>
      </c>
      <c r="E9" s="68" t="n">
        <v>0</v>
      </c>
      <c r="F9" s="68" t="n">
        <v>193214</v>
      </c>
      <c r="G9" s="68" t="n">
        <v>1604888</v>
      </c>
      <c r="H9" s="68" t="s">
        <v>480</v>
      </c>
    </row>
    <row r="10" customFormat="false" ht="15" hidden="false" customHeight="false" outlineLevel="0" collapsed="false">
      <c r="B10" s="68" t="n">
        <v>13</v>
      </c>
      <c r="C10" s="68" t="s">
        <v>481</v>
      </c>
      <c r="D10" s="68" t="n">
        <v>119208</v>
      </c>
      <c r="E10" s="68" t="n">
        <v>0</v>
      </c>
      <c r="F10" s="68" t="n">
        <v>119208</v>
      </c>
      <c r="G10" s="68" t="n">
        <v>1731896</v>
      </c>
      <c r="H10" s="68" t="s">
        <v>482</v>
      </c>
    </row>
    <row r="11" customFormat="false" ht="15" hidden="false" customHeight="false" outlineLevel="0" collapsed="false">
      <c r="B11" s="68" t="n">
        <v>15</v>
      </c>
      <c r="C11" s="68" t="s">
        <v>483</v>
      </c>
      <c r="D11" s="68" t="n">
        <v>291977</v>
      </c>
      <c r="E11" s="68" t="n">
        <v>0</v>
      </c>
      <c r="F11" s="68" t="n">
        <v>291977</v>
      </c>
      <c r="G11" s="68" t="n">
        <v>2234401</v>
      </c>
      <c r="H11" s="68" t="s">
        <v>484</v>
      </c>
    </row>
    <row r="12" customFormat="false" ht="15" hidden="false" customHeight="false" outlineLevel="0" collapsed="false">
      <c r="B12" s="68" t="n">
        <v>18</v>
      </c>
      <c r="C12" s="68" t="s">
        <v>485</v>
      </c>
      <c r="D12" s="68" t="n">
        <v>129074</v>
      </c>
      <c r="E12" s="68" t="n">
        <v>0</v>
      </c>
      <c r="F12" s="68" t="n">
        <v>129074</v>
      </c>
      <c r="G12" s="68" t="n">
        <v>2662685</v>
      </c>
      <c r="H12" s="68" t="s">
        <v>486</v>
      </c>
    </row>
    <row r="13" customFormat="false" ht="15" hidden="false" customHeight="false" outlineLevel="0" collapsed="false">
      <c r="B13" s="68" t="n">
        <v>19</v>
      </c>
      <c r="C13" s="68" t="s">
        <v>487</v>
      </c>
      <c r="D13" s="68" t="n">
        <v>81921</v>
      </c>
      <c r="E13" s="68" t="n">
        <v>0</v>
      </c>
      <c r="F13" s="68" t="n">
        <v>81921</v>
      </c>
      <c r="G13" s="68" t="n">
        <v>2744606</v>
      </c>
      <c r="H13" s="68" t="s">
        <v>488</v>
      </c>
    </row>
    <row r="14" customFormat="false" ht="15" hidden="false" customHeight="false" outlineLevel="0" collapsed="false">
      <c r="B14" s="68" t="n">
        <v>20</v>
      </c>
      <c r="C14" s="68" t="s">
        <v>489</v>
      </c>
      <c r="D14" s="68" t="n">
        <v>75825</v>
      </c>
      <c r="E14" s="68" t="n">
        <v>0</v>
      </c>
      <c r="F14" s="68" t="n">
        <v>75825</v>
      </c>
      <c r="G14" s="68" t="n">
        <v>2820431</v>
      </c>
      <c r="H14" s="68" t="s">
        <v>490</v>
      </c>
    </row>
    <row r="15" customFormat="false" ht="15" hidden="false" customHeight="false" outlineLevel="0" collapsed="false">
      <c r="B15" s="68" t="n">
        <v>23</v>
      </c>
      <c r="C15" s="68" t="s">
        <v>491</v>
      </c>
      <c r="D15" s="68" t="n">
        <v>14578</v>
      </c>
      <c r="E15" s="68" t="n">
        <v>142517.05</v>
      </c>
      <c r="F15" s="68" t="n">
        <v>-127939.05</v>
      </c>
      <c r="G15" s="68" t="n">
        <v>2858341</v>
      </c>
      <c r="H15" s="68" t="s">
        <v>258</v>
      </c>
    </row>
    <row r="17" customFormat="false" ht="15" hidden="false" customHeight="false" outlineLevel="0" collapsed="false">
      <c r="B17" s="24" t="s">
        <v>492</v>
      </c>
      <c r="C17" s="24"/>
      <c r="D17" s="24"/>
      <c r="E17" s="24"/>
      <c r="F17" s="24"/>
      <c r="G17" s="24"/>
      <c r="H17" s="24"/>
    </row>
    <row r="18" customFormat="false" ht="15" hidden="false" customHeight="false" outlineLevel="0" collapsed="false">
      <c r="B18" s="31" t="s">
        <v>120</v>
      </c>
      <c r="C18" s="68" t="n">
        <v>3119000</v>
      </c>
    </row>
    <row r="19" customFormat="false" ht="15" hidden="false" customHeight="false" outlineLevel="0" collapsed="false">
      <c r="B19" s="31" t="s">
        <v>122</v>
      </c>
      <c r="C19" s="68" t="n">
        <v>-260659</v>
      </c>
    </row>
    <row r="20" customFormat="false" ht="15" hidden="false" customHeight="false" outlineLevel="0" collapsed="false">
      <c r="B20" s="31" t="s">
        <v>124</v>
      </c>
      <c r="C20" s="68" t="n">
        <v>2858341</v>
      </c>
    </row>
    <row r="21" customFormat="false" ht="15" hidden="false" customHeight="false" outlineLevel="0" collapsed="false">
      <c r="B21" s="31" t="s">
        <v>469</v>
      </c>
      <c r="C21" s="68" t="n">
        <v>142517</v>
      </c>
    </row>
    <row r="22" customFormat="false" ht="15" hidden="false" customHeight="false" outlineLevel="0" collapsed="false">
      <c r="B22" s="31" t="s">
        <v>493</v>
      </c>
      <c r="C22" s="68" t="n">
        <v>2715824</v>
      </c>
    </row>
  </sheetData>
  <mergeCells count="3">
    <mergeCell ref="A1:J1"/>
    <mergeCell ref="A2:J2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6" min="3" style="1" width="22"/>
  </cols>
  <sheetData>
    <row r="1" customFormat="false" ht="27.75" hidden="false" customHeight="true" outlineLevel="0" collapsed="false">
      <c r="A1" s="2" t="s">
        <v>494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10" customFormat="false" ht="15" hidden="false" customHeight="true" outlineLevel="0" collapsed="false">
      <c r="B10" s="40" t="s">
        <v>273</v>
      </c>
      <c r="C10" s="40" t="s">
        <v>495</v>
      </c>
      <c r="D10" s="40" t="s">
        <v>496</v>
      </c>
      <c r="E10" s="33" t="s">
        <v>497</v>
      </c>
      <c r="F10" s="33" t="s">
        <v>184</v>
      </c>
    </row>
    <row r="11" customFormat="false" ht="39.75" hidden="false" customHeight="true" outlineLevel="0" collapsed="false">
      <c r="B11" s="69" t="n">
        <v>1</v>
      </c>
      <c r="C11" s="46" t="s">
        <v>498</v>
      </c>
      <c r="D11" s="62" t="s">
        <v>499</v>
      </c>
      <c r="E11" s="14"/>
      <c r="F11" s="14"/>
    </row>
    <row r="12" customFormat="false" ht="30" hidden="false" customHeight="true" outlineLevel="0" collapsed="false">
      <c r="B12" s="70" t="n">
        <v>2</v>
      </c>
      <c r="C12" s="42" t="s">
        <v>500</v>
      </c>
      <c r="D12" s="71" t="s">
        <v>501</v>
      </c>
      <c r="E12" s="14"/>
      <c r="F12" s="14"/>
    </row>
    <row r="13" customFormat="false" ht="68.65" hidden="false" customHeight="false" outlineLevel="0" collapsed="false">
      <c r="B13" s="31" t="n">
        <v>3</v>
      </c>
      <c r="C13" s="31" t="s">
        <v>502</v>
      </c>
      <c r="D13" s="62" t="s">
        <v>503</v>
      </c>
    </row>
    <row r="14" customFormat="false" ht="68.65" hidden="false" customHeight="false" outlineLevel="0" collapsed="false">
      <c r="B14" s="72" t="n">
        <v>4</v>
      </c>
      <c r="C14" s="72" t="s">
        <v>504</v>
      </c>
      <c r="D14" s="71" t="s">
        <v>505</v>
      </c>
    </row>
    <row r="15" customFormat="false" ht="57.45" hidden="false" customHeight="false" outlineLevel="0" collapsed="false">
      <c r="B15" s="31" t="n">
        <v>5</v>
      </c>
      <c r="C15" s="31" t="s">
        <v>506</v>
      </c>
      <c r="D15" s="62" t="s">
        <v>507</v>
      </c>
    </row>
    <row r="16" customFormat="false" ht="68.65" hidden="false" customHeight="false" outlineLevel="0" collapsed="false">
      <c r="B16" s="72" t="n">
        <v>6</v>
      </c>
      <c r="C16" s="72" t="s">
        <v>508</v>
      </c>
      <c r="D16" s="71" t="s">
        <v>509</v>
      </c>
    </row>
    <row r="17" customFormat="false" ht="57.45" hidden="false" customHeight="false" outlineLevel="0" collapsed="false">
      <c r="B17" s="31" t="n">
        <v>7</v>
      </c>
      <c r="C17" s="31" t="s">
        <v>510</v>
      </c>
      <c r="D17" s="62" t="s">
        <v>511</v>
      </c>
    </row>
    <row r="18" customFormat="false" ht="46.25" hidden="false" customHeight="false" outlineLevel="0" collapsed="false">
      <c r="B18" s="72" t="n">
        <v>8</v>
      </c>
      <c r="C18" s="72" t="s">
        <v>512</v>
      </c>
      <c r="D18" s="71" t="s">
        <v>513</v>
      </c>
    </row>
    <row r="19" customFormat="false" ht="46.25" hidden="false" customHeight="false" outlineLevel="0" collapsed="false">
      <c r="B19" s="31" t="n">
        <v>9</v>
      </c>
      <c r="C19" s="31" t="s">
        <v>514</v>
      </c>
      <c r="D19" s="62" t="s">
        <v>515</v>
      </c>
    </row>
    <row r="20" customFormat="false" ht="46.25" hidden="false" customHeight="false" outlineLevel="0" collapsed="false">
      <c r="B20" s="72" t="n">
        <v>10</v>
      </c>
      <c r="C20" s="72" t="s">
        <v>516</v>
      </c>
      <c r="D20" s="71" t="s">
        <v>517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32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50"/>
  </cols>
  <sheetData>
    <row r="1" customFormat="false" ht="27.75" hidden="false" customHeight="true" outlineLevel="0" collapsed="false">
      <c r="A1" s="2" t="s">
        <v>518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B4" s="73" t="s">
        <v>519</v>
      </c>
      <c r="C4" s="73"/>
      <c r="D4" s="73"/>
      <c r="E4" s="73"/>
      <c r="F4" s="73"/>
    </row>
    <row r="5" customFormat="false" ht="15" hidden="false" customHeight="true" outlineLevel="0" collapsed="false">
      <c r="B5" s="74" t="s">
        <v>520</v>
      </c>
      <c r="C5" s="74"/>
      <c r="D5" s="74"/>
      <c r="E5" s="74"/>
      <c r="F5" s="74"/>
    </row>
    <row r="7" customFormat="false" ht="15" hidden="false" customHeight="true" outlineLevel="0" collapsed="false">
      <c r="B7" s="18" t="s">
        <v>521</v>
      </c>
      <c r="C7" s="18" t="s">
        <v>522</v>
      </c>
      <c r="D7" s="18" t="s">
        <v>523</v>
      </c>
      <c r="E7" s="18" t="s">
        <v>524</v>
      </c>
      <c r="F7" s="18" t="s">
        <v>525</v>
      </c>
    </row>
    <row r="8" customFormat="false" ht="15" hidden="false" customHeight="true" outlineLevel="0" collapsed="false">
      <c r="B8" s="55" t="s">
        <v>108</v>
      </c>
      <c r="C8" s="75" t="s">
        <v>526</v>
      </c>
      <c r="D8" s="76" t="s">
        <v>527</v>
      </c>
      <c r="E8" s="77" t="s">
        <v>528</v>
      </c>
      <c r="F8" s="78" t="s">
        <v>529</v>
      </c>
    </row>
    <row r="9" customFormat="false" ht="15" hidden="false" customHeight="true" outlineLevel="0" collapsed="false">
      <c r="B9" s="55" t="s">
        <v>10</v>
      </c>
      <c r="C9" s="75" t="s">
        <v>530</v>
      </c>
      <c r="D9" s="76" t="s">
        <v>11</v>
      </c>
      <c r="E9" s="77" t="s">
        <v>528</v>
      </c>
      <c r="F9" s="78" t="s">
        <v>531</v>
      </c>
    </row>
    <row r="10" customFormat="false" ht="15" hidden="false" customHeight="true" outlineLevel="0" collapsed="false">
      <c r="B10" s="55" t="s">
        <v>532</v>
      </c>
      <c r="C10" s="75" t="s">
        <v>532</v>
      </c>
      <c r="D10" s="76" t="s">
        <v>14</v>
      </c>
      <c r="E10" s="77" t="s">
        <v>528</v>
      </c>
      <c r="F10" s="78" t="s">
        <v>533</v>
      </c>
    </row>
    <row r="11" customFormat="false" ht="15" hidden="false" customHeight="true" outlineLevel="0" collapsed="false">
      <c r="B11" s="55" t="s">
        <v>110</v>
      </c>
      <c r="C11" s="75" t="s">
        <v>534</v>
      </c>
      <c r="D11" s="76" t="s">
        <v>535</v>
      </c>
      <c r="E11" s="77" t="s">
        <v>528</v>
      </c>
      <c r="F11" s="78" t="s">
        <v>536</v>
      </c>
    </row>
    <row r="12" customFormat="false" ht="15" hidden="false" customHeight="true" outlineLevel="0" collapsed="false">
      <c r="B12" s="55" t="s">
        <v>537</v>
      </c>
      <c r="C12" s="75" t="s">
        <v>538</v>
      </c>
      <c r="D12" s="76" t="n">
        <v>22</v>
      </c>
      <c r="E12" s="77" t="s">
        <v>528</v>
      </c>
      <c r="F12" s="78" t="s">
        <v>539</v>
      </c>
    </row>
    <row r="13" customFormat="false" ht="15" hidden="false" customHeight="true" outlineLevel="0" collapsed="false">
      <c r="B13" s="55" t="s">
        <v>15</v>
      </c>
      <c r="C13" s="75" t="s">
        <v>540</v>
      </c>
      <c r="D13" s="76" t="s">
        <v>16</v>
      </c>
      <c r="E13" s="77" t="s">
        <v>528</v>
      </c>
      <c r="F13" s="78" t="s">
        <v>541</v>
      </c>
    </row>
    <row r="14" customFormat="false" ht="15" hidden="false" customHeight="true" outlineLevel="0" collapsed="false">
      <c r="B14" s="55" t="s">
        <v>542</v>
      </c>
      <c r="C14" s="75" t="s">
        <v>543</v>
      </c>
      <c r="D14" s="76" t="s">
        <v>121</v>
      </c>
      <c r="E14" s="79" t="s">
        <v>544</v>
      </c>
      <c r="F14" s="78" t="s">
        <v>545</v>
      </c>
    </row>
    <row r="15" customFormat="false" ht="15" hidden="false" customHeight="true" outlineLevel="0" collapsed="false">
      <c r="B15" s="55" t="s">
        <v>546</v>
      </c>
      <c r="C15" s="75" t="s">
        <v>547</v>
      </c>
      <c r="D15" s="76" t="s">
        <v>125</v>
      </c>
      <c r="E15" s="79" t="s">
        <v>544</v>
      </c>
      <c r="F15" s="78" t="s">
        <v>548</v>
      </c>
    </row>
    <row r="16" customFormat="false" ht="15" hidden="false" customHeight="true" outlineLevel="0" collapsed="false">
      <c r="B16" s="55" t="s">
        <v>549</v>
      </c>
      <c r="C16" s="75" t="s">
        <v>550</v>
      </c>
      <c r="D16" s="76" t="s">
        <v>551</v>
      </c>
      <c r="E16" s="79" t="s">
        <v>544</v>
      </c>
      <c r="F16" s="78" t="s">
        <v>552</v>
      </c>
    </row>
    <row r="17" customFormat="false" ht="15" hidden="false" customHeight="true" outlineLevel="0" collapsed="false">
      <c r="B17" s="55" t="s">
        <v>553</v>
      </c>
      <c r="C17" s="75" t="s">
        <v>553</v>
      </c>
      <c r="D17" s="76" t="s">
        <v>34</v>
      </c>
      <c r="E17" s="79" t="s">
        <v>544</v>
      </c>
      <c r="F17" s="78" t="s">
        <v>554</v>
      </c>
    </row>
    <row r="18" customFormat="false" ht="15" hidden="false" customHeight="true" outlineLevel="0" collapsed="false">
      <c r="B18" s="55" t="s">
        <v>128</v>
      </c>
      <c r="C18" s="75" t="s">
        <v>555</v>
      </c>
      <c r="D18" s="76" t="s">
        <v>35</v>
      </c>
      <c r="E18" s="79" t="s">
        <v>544</v>
      </c>
      <c r="F18" s="78" t="s">
        <v>556</v>
      </c>
    </row>
    <row r="19" customFormat="false" ht="15" hidden="false" customHeight="true" outlineLevel="0" collapsed="false">
      <c r="B19" s="55" t="s">
        <v>557</v>
      </c>
      <c r="C19" s="75" t="s">
        <v>558</v>
      </c>
      <c r="D19" s="76" t="s">
        <v>130</v>
      </c>
      <c r="E19" s="79" t="s">
        <v>544</v>
      </c>
      <c r="F19" s="78" t="s">
        <v>559</v>
      </c>
    </row>
    <row r="20" customFormat="false" ht="15" hidden="false" customHeight="true" outlineLevel="0" collapsed="false">
      <c r="B20" s="55" t="s">
        <v>127</v>
      </c>
      <c r="C20" s="75" t="s">
        <v>560</v>
      </c>
      <c r="D20" s="76" t="s">
        <v>36</v>
      </c>
      <c r="E20" s="79" t="s">
        <v>544</v>
      </c>
      <c r="F20" s="78" t="s">
        <v>561</v>
      </c>
    </row>
    <row r="21" customFormat="false" ht="15" hidden="false" customHeight="true" outlineLevel="0" collapsed="false">
      <c r="B21" s="55" t="s">
        <v>562</v>
      </c>
      <c r="C21" s="75" t="s">
        <v>563</v>
      </c>
      <c r="D21" s="76" t="s">
        <v>564</v>
      </c>
      <c r="E21" s="79" t="s">
        <v>544</v>
      </c>
      <c r="F21" s="78" t="s">
        <v>565</v>
      </c>
    </row>
    <row r="22" customFormat="false" ht="15" hidden="false" customHeight="true" outlineLevel="0" collapsed="false">
      <c r="B22" s="55" t="s">
        <v>566</v>
      </c>
      <c r="C22" s="75" t="s">
        <v>567</v>
      </c>
      <c r="D22" s="76" t="s">
        <v>568</v>
      </c>
      <c r="E22" s="79" t="s">
        <v>544</v>
      </c>
      <c r="F22" s="78" t="s">
        <v>569</v>
      </c>
    </row>
    <row r="23" customFormat="false" ht="15" hidden="false" customHeight="true" outlineLevel="0" collapsed="false">
      <c r="B23" s="55" t="s">
        <v>131</v>
      </c>
      <c r="C23" s="75" t="s">
        <v>570</v>
      </c>
      <c r="D23" s="76" t="s">
        <v>571</v>
      </c>
      <c r="E23" s="79" t="s">
        <v>544</v>
      </c>
      <c r="F23" s="78" t="s">
        <v>572</v>
      </c>
    </row>
    <row r="24" customFormat="false" ht="15" hidden="false" customHeight="true" outlineLevel="0" collapsed="false">
      <c r="B24" s="55" t="s">
        <v>573</v>
      </c>
      <c r="C24" s="75" t="s">
        <v>574</v>
      </c>
      <c r="D24" s="76" t="s">
        <v>575</v>
      </c>
      <c r="E24" s="79" t="s">
        <v>544</v>
      </c>
      <c r="F24" s="78" t="s">
        <v>576</v>
      </c>
    </row>
    <row r="25" customFormat="false" ht="15" hidden="false" customHeight="true" outlineLevel="0" collapsed="false">
      <c r="B25" s="55" t="s">
        <v>577</v>
      </c>
      <c r="C25" s="75" t="s">
        <v>578</v>
      </c>
      <c r="D25" s="76" t="s">
        <v>579</v>
      </c>
      <c r="E25" s="79" t="s">
        <v>544</v>
      </c>
      <c r="F25" s="78" t="s">
        <v>580</v>
      </c>
    </row>
    <row r="26" customFormat="false" ht="15" hidden="false" customHeight="true" outlineLevel="0" collapsed="false">
      <c r="B26" s="55" t="s">
        <v>581</v>
      </c>
      <c r="C26" s="75" t="s">
        <v>582</v>
      </c>
      <c r="D26" s="76" t="s">
        <v>583</v>
      </c>
      <c r="E26" s="79" t="s">
        <v>544</v>
      </c>
      <c r="F26" s="78" t="s">
        <v>584</v>
      </c>
    </row>
    <row r="27" customFormat="false" ht="15" hidden="false" customHeight="true" outlineLevel="0" collapsed="false">
      <c r="B27" s="55" t="s">
        <v>585</v>
      </c>
      <c r="C27" s="75" t="s">
        <v>586</v>
      </c>
      <c r="D27" s="76" t="s">
        <v>587</v>
      </c>
      <c r="E27" s="80" t="s">
        <v>49</v>
      </c>
      <c r="F27" s="78" t="s">
        <v>588</v>
      </c>
    </row>
    <row r="28" customFormat="false" ht="15" hidden="false" customHeight="true" outlineLevel="0" collapsed="false">
      <c r="B28" s="55" t="s">
        <v>589</v>
      </c>
      <c r="C28" s="75" t="s">
        <v>314</v>
      </c>
      <c r="D28" s="76" t="s">
        <v>37</v>
      </c>
      <c r="E28" s="80" t="s">
        <v>49</v>
      </c>
      <c r="F28" s="78" t="s">
        <v>590</v>
      </c>
    </row>
    <row r="29" customFormat="false" ht="15" hidden="false" customHeight="true" outlineLevel="0" collapsed="false">
      <c r="B29" s="55" t="s">
        <v>406</v>
      </c>
      <c r="C29" s="75" t="s">
        <v>591</v>
      </c>
      <c r="D29" s="76" t="s">
        <v>592</v>
      </c>
      <c r="E29" s="81" t="s">
        <v>593</v>
      </c>
      <c r="F29" s="78" t="s">
        <v>594</v>
      </c>
    </row>
    <row r="30" customFormat="false" ht="15" hidden="false" customHeight="true" outlineLevel="0" collapsed="false">
      <c r="B30" s="55" t="s">
        <v>595</v>
      </c>
      <c r="C30" s="75" t="s">
        <v>396</v>
      </c>
      <c r="D30" s="76" t="s">
        <v>596</v>
      </c>
      <c r="E30" s="80" t="s">
        <v>49</v>
      </c>
      <c r="F30" s="78" t="s">
        <v>597</v>
      </c>
    </row>
    <row r="31" customFormat="false" ht="15" hidden="false" customHeight="true" outlineLevel="0" collapsed="false">
      <c r="B31" s="55" t="s">
        <v>598</v>
      </c>
      <c r="C31" s="75" t="s">
        <v>599</v>
      </c>
      <c r="D31" s="76" t="s">
        <v>600</v>
      </c>
      <c r="E31" s="80" t="s">
        <v>49</v>
      </c>
      <c r="F31" s="78" t="s">
        <v>601</v>
      </c>
    </row>
    <row r="32" customFormat="false" ht="15" hidden="false" customHeight="true" outlineLevel="0" collapsed="false">
      <c r="B32" s="55" t="s">
        <v>404</v>
      </c>
      <c r="C32" s="75" t="s">
        <v>602</v>
      </c>
      <c r="D32" s="76" t="s">
        <v>603</v>
      </c>
      <c r="E32" s="80" t="s">
        <v>49</v>
      </c>
      <c r="F32" s="78" t="s">
        <v>604</v>
      </c>
    </row>
    <row r="33" customFormat="false" ht="15" hidden="false" customHeight="true" outlineLevel="0" collapsed="false">
      <c r="B33" s="55" t="s">
        <v>605</v>
      </c>
      <c r="C33" s="75" t="s">
        <v>416</v>
      </c>
      <c r="D33" s="76" t="s">
        <v>606</v>
      </c>
      <c r="E33" s="80" t="s">
        <v>49</v>
      </c>
      <c r="F33" s="78" t="s">
        <v>607</v>
      </c>
    </row>
    <row r="34" customFormat="false" ht="15" hidden="false" customHeight="true" outlineLevel="0" collapsed="false">
      <c r="B34" s="55" t="s">
        <v>608</v>
      </c>
      <c r="C34" s="75" t="s">
        <v>609</v>
      </c>
      <c r="D34" s="76" t="s">
        <v>610</v>
      </c>
      <c r="E34" s="80" t="s">
        <v>49</v>
      </c>
      <c r="F34" s="78" t="s">
        <v>611</v>
      </c>
    </row>
    <row r="35" customFormat="false" ht="15" hidden="false" customHeight="true" outlineLevel="0" collapsed="false">
      <c r="B35" s="55" t="s">
        <v>612</v>
      </c>
      <c r="C35" s="75" t="s">
        <v>613</v>
      </c>
      <c r="D35" s="76" t="s">
        <v>614</v>
      </c>
      <c r="E35" s="82" t="s">
        <v>615</v>
      </c>
      <c r="F35" s="78" t="s">
        <v>616</v>
      </c>
    </row>
    <row r="36" customFormat="false" ht="15" hidden="false" customHeight="true" outlineLevel="0" collapsed="false">
      <c r="B36" s="55" t="s">
        <v>617</v>
      </c>
      <c r="C36" s="75" t="s">
        <v>618</v>
      </c>
      <c r="D36" s="76" t="s">
        <v>619</v>
      </c>
      <c r="E36" s="83" t="s">
        <v>50</v>
      </c>
      <c r="F36" s="78" t="s">
        <v>620</v>
      </c>
    </row>
    <row r="37" customFormat="false" ht="15" hidden="false" customHeight="true" outlineLevel="0" collapsed="false">
      <c r="B37" s="55" t="s">
        <v>621</v>
      </c>
      <c r="C37" s="75" t="s">
        <v>622</v>
      </c>
      <c r="D37" s="76" t="s">
        <v>623</v>
      </c>
      <c r="E37" s="83" t="s">
        <v>50</v>
      </c>
      <c r="F37" s="78" t="s">
        <v>624</v>
      </c>
    </row>
    <row r="38" customFormat="false" ht="15" hidden="false" customHeight="true" outlineLevel="0" collapsed="false">
      <c r="B38" s="55" t="s">
        <v>625</v>
      </c>
      <c r="C38" s="75" t="s">
        <v>626</v>
      </c>
      <c r="D38" s="76" t="s">
        <v>627</v>
      </c>
      <c r="E38" s="82" t="s">
        <v>615</v>
      </c>
      <c r="F38" s="78" t="s">
        <v>628</v>
      </c>
    </row>
    <row r="39" customFormat="false" ht="15" hidden="false" customHeight="true" outlineLevel="0" collapsed="false">
      <c r="B39" s="55" t="s">
        <v>629</v>
      </c>
      <c r="C39" s="75" t="s">
        <v>630</v>
      </c>
      <c r="D39" s="76" t="s">
        <v>631</v>
      </c>
      <c r="E39" s="83" t="s">
        <v>50</v>
      </c>
      <c r="F39" s="78" t="s">
        <v>632</v>
      </c>
    </row>
    <row r="40" customFormat="false" ht="15" hidden="false" customHeight="true" outlineLevel="0" collapsed="false">
      <c r="B40" s="55" t="s">
        <v>633</v>
      </c>
      <c r="C40" s="75" t="s">
        <v>634</v>
      </c>
      <c r="D40" s="76" t="s">
        <v>635</v>
      </c>
      <c r="E40" s="83" t="s">
        <v>50</v>
      </c>
      <c r="F40" s="78" t="s">
        <v>636</v>
      </c>
    </row>
    <row r="41" customFormat="false" ht="15" hidden="false" customHeight="true" outlineLevel="0" collapsed="false">
      <c r="B41" s="55" t="s">
        <v>637</v>
      </c>
      <c r="C41" s="75" t="s">
        <v>638</v>
      </c>
      <c r="D41" s="76" t="s">
        <v>309</v>
      </c>
      <c r="E41" s="83" t="s">
        <v>50</v>
      </c>
      <c r="F41" s="78" t="s">
        <v>639</v>
      </c>
    </row>
    <row r="42" customFormat="false" ht="15" hidden="false" customHeight="true" outlineLevel="0" collapsed="false">
      <c r="B42" s="55" t="s">
        <v>640</v>
      </c>
      <c r="C42" s="75" t="s">
        <v>641</v>
      </c>
      <c r="D42" s="76" t="s">
        <v>642</v>
      </c>
      <c r="E42" s="84" t="s">
        <v>643</v>
      </c>
      <c r="F42" s="78" t="s">
        <v>644</v>
      </c>
    </row>
    <row r="43" customFormat="false" ht="15" hidden="false" customHeight="true" outlineLevel="0" collapsed="false">
      <c r="B43" s="55" t="s">
        <v>645</v>
      </c>
      <c r="C43" s="75" t="s">
        <v>646</v>
      </c>
      <c r="D43" s="76" t="s">
        <v>647</v>
      </c>
      <c r="E43" s="84" t="s">
        <v>643</v>
      </c>
      <c r="F43" s="78" t="s">
        <v>648</v>
      </c>
    </row>
    <row r="44" customFormat="false" ht="15" hidden="false" customHeight="true" outlineLevel="0" collapsed="false">
      <c r="B44" s="55" t="s">
        <v>649</v>
      </c>
      <c r="C44" s="75" t="s">
        <v>650</v>
      </c>
      <c r="D44" s="76" t="s">
        <v>651</v>
      </c>
      <c r="E44" s="84" t="s">
        <v>643</v>
      </c>
      <c r="F44" s="78" t="s">
        <v>652</v>
      </c>
    </row>
    <row r="46" customFormat="false" ht="15" hidden="false" customHeight="true" outlineLevel="0" collapsed="false">
      <c r="B46" s="85" t="s">
        <v>380</v>
      </c>
    </row>
    <row r="47" customFormat="false" ht="15" hidden="false" customHeight="true" outlineLevel="0" collapsed="false">
      <c r="B47" s="86" t="s">
        <v>653</v>
      </c>
      <c r="C47" s="86"/>
      <c r="D47" s="86"/>
      <c r="E47" s="86"/>
      <c r="F47" s="86"/>
    </row>
    <row r="48" customFormat="false" ht="15" hidden="false" customHeight="true" outlineLevel="0" collapsed="false">
      <c r="B48" s="86" t="s">
        <v>654</v>
      </c>
      <c r="C48" s="86"/>
      <c r="D48" s="86"/>
      <c r="E48" s="86"/>
      <c r="F48" s="86"/>
    </row>
    <row r="49" customFormat="false" ht="15" hidden="false" customHeight="true" outlineLevel="0" collapsed="false">
      <c r="B49" s="86" t="s">
        <v>655</v>
      </c>
      <c r="C49" s="86"/>
      <c r="D49" s="86"/>
      <c r="E49" s="86"/>
      <c r="F49" s="86"/>
    </row>
    <row r="50" customFormat="false" ht="15" hidden="false" customHeight="true" outlineLevel="0" collapsed="false">
      <c r="B50" s="86" t="s">
        <v>656</v>
      </c>
      <c r="C50" s="86"/>
      <c r="D50" s="86"/>
      <c r="E50" s="86"/>
      <c r="F50" s="86"/>
    </row>
    <row r="51" customFormat="false" ht="15" hidden="false" customHeight="true" outlineLevel="0" collapsed="false">
      <c r="B51" s="86" t="s">
        <v>657</v>
      </c>
      <c r="C51" s="86"/>
      <c r="D51" s="86"/>
      <c r="E51" s="86"/>
      <c r="F51" s="86"/>
    </row>
  </sheetData>
  <mergeCells count="9">
    <mergeCell ref="A1:J1"/>
    <mergeCell ref="A2:J2"/>
    <mergeCell ref="B4:F4"/>
    <mergeCell ref="B5:F5"/>
    <mergeCell ref="B47:F47"/>
    <mergeCell ref="B48:F48"/>
    <mergeCell ref="B49:F49"/>
    <mergeCell ref="B50:F50"/>
    <mergeCell ref="B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18"/>
    <col collapsed="false" customWidth="true" hidden="false" outlineLevel="0" max="4" min="4" style="1" width="12"/>
    <col collapsed="false" customWidth="true" hidden="false" outlineLevel="0" max="7" min="5" style="1" width="60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1" min="10" style="1" width="24"/>
  </cols>
  <sheetData>
    <row r="1" customFormat="false" ht="27.75" hidden="false" customHeight="true" outlineLevel="0" collapsed="false">
      <c r="A1" s="2" t="s">
        <v>658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5" customFormat="false" ht="15" hidden="false" customHeight="true" outlineLevel="0" collapsed="false">
      <c r="B5" s="40" t="s">
        <v>659</v>
      </c>
      <c r="C5" s="40" t="s">
        <v>660</v>
      </c>
      <c r="D5" s="40" t="s">
        <v>467</v>
      </c>
      <c r="E5" s="40" t="s">
        <v>661</v>
      </c>
      <c r="F5" s="40" t="s">
        <v>662</v>
      </c>
      <c r="G5" s="40" t="s">
        <v>663</v>
      </c>
      <c r="H5" s="41"/>
      <c r="I5" s="41"/>
      <c r="J5" s="41"/>
      <c r="K5" s="41"/>
    </row>
    <row r="6" customFormat="false" ht="39.75" hidden="false" customHeight="true" outlineLevel="0" collapsed="false">
      <c r="B6" s="62" t="s">
        <v>664</v>
      </c>
      <c r="C6" s="62" t="s">
        <v>665</v>
      </c>
      <c r="D6" s="63" t="s">
        <v>666</v>
      </c>
      <c r="E6" s="62" t="s">
        <v>667</v>
      </c>
      <c r="F6" s="62" t="s">
        <v>668</v>
      </c>
      <c r="G6" s="62" t="n">
        <v>37931</v>
      </c>
      <c r="H6" s="35"/>
      <c r="I6" s="36"/>
      <c r="J6" s="14"/>
      <c r="K6" s="14"/>
    </row>
    <row r="7" customFormat="false" ht="39.75" hidden="false" customHeight="true" outlineLevel="0" collapsed="false">
      <c r="B7" s="62" t="s">
        <v>669</v>
      </c>
      <c r="C7" s="62" t="s">
        <v>670</v>
      </c>
      <c r="D7" s="63" t="s">
        <v>671</v>
      </c>
      <c r="E7" s="62" t="s">
        <v>672</v>
      </c>
      <c r="F7" s="62" t="s">
        <v>668</v>
      </c>
      <c r="G7" s="62" t="n">
        <v>31418</v>
      </c>
      <c r="H7" s="35"/>
      <c r="I7" s="36"/>
      <c r="J7" s="14"/>
      <c r="K7" s="14"/>
    </row>
    <row r="8" customFormat="false" ht="39.75" hidden="false" customHeight="true" outlineLevel="0" collapsed="false">
      <c r="B8" s="62" t="s">
        <v>673</v>
      </c>
      <c r="C8" s="62" t="s">
        <v>665</v>
      </c>
      <c r="D8" s="63" t="s">
        <v>674</v>
      </c>
      <c r="E8" s="62" t="s">
        <v>675</v>
      </c>
      <c r="F8" s="62" t="s">
        <v>668</v>
      </c>
      <c r="G8" s="62" t="n">
        <v>5085</v>
      </c>
      <c r="H8" s="35"/>
      <c r="I8" s="36"/>
      <c r="J8" s="14"/>
      <c r="K8" s="14"/>
    </row>
    <row r="9" customFormat="false" ht="49.5" hidden="false" customHeight="true" outlineLevel="0" collapsed="false">
      <c r="B9" s="62" t="s">
        <v>676</v>
      </c>
      <c r="C9" s="62" t="s">
        <v>670</v>
      </c>
      <c r="D9" s="63" t="s">
        <v>677</v>
      </c>
      <c r="E9" s="62" t="s">
        <v>678</v>
      </c>
      <c r="F9" s="62" t="s">
        <v>668</v>
      </c>
      <c r="G9" s="62" t="n">
        <v>4756</v>
      </c>
      <c r="H9" s="35"/>
      <c r="I9" s="36"/>
      <c r="J9" s="14"/>
      <c r="K9" s="14"/>
    </row>
    <row r="10" customFormat="false" ht="39.75" hidden="false" customHeight="true" outlineLevel="0" collapsed="false">
      <c r="B10" s="62" t="s">
        <v>679</v>
      </c>
      <c r="C10" s="62" t="s">
        <v>670</v>
      </c>
      <c r="D10" s="63" t="s">
        <v>680</v>
      </c>
      <c r="E10" s="62" t="s">
        <v>681</v>
      </c>
      <c r="F10" s="62" t="s">
        <v>668</v>
      </c>
      <c r="G10" s="62" t="n">
        <v>2852</v>
      </c>
      <c r="H10" s="35"/>
      <c r="I10" s="36"/>
      <c r="J10" s="14"/>
      <c r="K10" s="14"/>
    </row>
    <row r="11" customFormat="false" ht="39.75" hidden="false" customHeight="true" outlineLevel="0" collapsed="false">
      <c r="B11" s="62" t="s">
        <v>682</v>
      </c>
      <c r="C11" s="62" t="s">
        <v>670</v>
      </c>
      <c r="D11" s="63" t="s">
        <v>683</v>
      </c>
      <c r="E11" s="62" t="s">
        <v>684</v>
      </c>
      <c r="F11" s="62" t="s">
        <v>668</v>
      </c>
      <c r="G11" s="62" t="n">
        <v>22671</v>
      </c>
      <c r="H11" s="35"/>
      <c r="I11" s="36"/>
      <c r="J11" s="14"/>
      <c r="K11" s="14"/>
    </row>
    <row r="12" customFormat="false" ht="39.75" hidden="false" customHeight="true" outlineLevel="0" collapsed="false">
      <c r="B12" s="62" t="s">
        <v>685</v>
      </c>
      <c r="C12" s="62" t="s">
        <v>670</v>
      </c>
      <c r="D12" s="63" t="s">
        <v>489</v>
      </c>
      <c r="E12" s="62" t="s">
        <v>686</v>
      </c>
      <c r="F12" s="62" t="s">
        <v>668</v>
      </c>
      <c r="G12" s="62" t="n">
        <v>9131</v>
      </c>
      <c r="H12" s="35"/>
      <c r="I12" s="36"/>
      <c r="J12" s="14"/>
      <c r="K12" s="14"/>
    </row>
    <row r="13" customFormat="false" ht="39.75" hidden="false" customHeight="true" outlineLevel="0" collapsed="false">
      <c r="B13" s="62" t="s">
        <v>687</v>
      </c>
      <c r="C13" s="62" t="s">
        <v>670</v>
      </c>
      <c r="D13" s="63" t="s">
        <v>688</v>
      </c>
      <c r="E13" s="62" t="s">
        <v>689</v>
      </c>
      <c r="F13" s="62" t="s">
        <v>690</v>
      </c>
      <c r="G13" s="62" t="n">
        <v>4210</v>
      </c>
      <c r="H13" s="35"/>
      <c r="I13" s="36"/>
      <c r="J13" s="14"/>
      <c r="K13" s="14"/>
    </row>
    <row r="14" customFormat="false" ht="59.25" hidden="false" customHeight="true" outlineLevel="0" collapsed="false">
      <c r="B14" s="62" t="s">
        <v>691</v>
      </c>
      <c r="C14" s="62" t="s">
        <v>670</v>
      </c>
      <c r="D14" s="63" t="s">
        <v>491</v>
      </c>
      <c r="E14" s="62" t="s">
        <v>692</v>
      </c>
      <c r="F14" s="62" t="s">
        <v>668</v>
      </c>
      <c r="G14" s="62" t="n">
        <v>15963</v>
      </c>
      <c r="H14" s="35"/>
      <c r="I14" s="36"/>
      <c r="J14" s="14"/>
      <c r="K14" s="14"/>
    </row>
    <row r="15" customFormat="false" ht="39.75" hidden="false" customHeight="true" outlineLevel="0" collapsed="false">
      <c r="B15" s="62" t="s">
        <v>693</v>
      </c>
      <c r="C15" s="62" t="s">
        <v>694</v>
      </c>
      <c r="D15" s="63" t="s">
        <v>695</v>
      </c>
      <c r="E15" s="62" t="s">
        <v>696</v>
      </c>
      <c r="F15" s="62" t="s">
        <v>697</v>
      </c>
      <c r="G15" s="62" t="n">
        <v>-6655</v>
      </c>
      <c r="H15" s="35"/>
      <c r="I15" s="36"/>
      <c r="J15" s="14"/>
      <c r="K15" s="14"/>
    </row>
    <row r="16" customFormat="false" ht="39.75" hidden="false" customHeight="true" outlineLevel="0" collapsed="false">
      <c r="B16" s="62" t="s">
        <v>698</v>
      </c>
      <c r="C16" s="62" t="s">
        <v>699</v>
      </c>
      <c r="D16" s="63" t="s">
        <v>700</v>
      </c>
      <c r="E16" s="62" t="s">
        <v>701</v>
      </c>
      <c r="F16" s="62" t="s">
        <v>702</v>
      </c>
      <c r="G16" s="62" t="n">
        <v>0</v>
      </c>
      <c r="H16" s="35"/>
      <c r="I16" s="36"/>
      <c r="J16" s="14"/>
      <c r="K16" s="14"/>
    </row>
    <row r="17" customFormat="false" ht="49.5" hidden="false" customHeight="true" outlineLevel="0" collapsed="false">
      <c r="B17" s="62" t="s">
        <v>703</v>
      </c>
      <c r="C17" s="62" t="s">
        <v>699</v>
      </c>
      <c r="D17" s="63" t="s">
        <v>704</v>
      </c>
      <c r="E17" s="62" t="s">
        <v>705</v>
      </c>
      <c r="F17" s="62" t="s">
        <v>702</v>
      </c>
      <c r="G17" s="62" t="n">
        <v>0</v>
      </c>
      <c r="H17" s="35"/>
      <c r="I17" s="36"/>
      <c r="J17" s="14"/>
      <c r="K17" s="14"/>
    </row>
    <row r="18" customFormat="false" ht="78.75" hidden="false" customHeight="true" outlineLevel="0" collapsed="false">
      <c r="B18" s="62" t="s">
        <v>706</v>
      </c>
      <c r="C18" s="62" t="s">
        <v>699</v>
      </c>
      <c r="D18" s="63" t="s">
        <v>704</v>
      </c>
      <c r="E18" s="62" t="s">
        <v>707</v>
      </c>
      <c r="F18" s="62" t="s">
        <v>697</v>
      </c>
      <c r="G18" s="62" t="n">
        <v>0</v>
      </c>
      <c r="H18" s="35"/>
      <c r="I18" s="36"/>
      <c r="J18" s="14"/>
      <c r="K18" s="14"/>
    </row>
    <row r="20" customFormat="false" ht="15" hidden="false" customHeight="false" outlineLevel="0" collapsed="false">
      <c r="B20" s="24" t="s">
        <v>146</v>
      </c>
      <c r="C20" s="24"/>
      <c r="D20" s="24"/>
      <c r="E20" s="24"/>
      <c r="F20" s="24"/>
      <c r="G20" s="24"/>
    </row>
    <row r="21" customFormat="false" ht="15" hidden="false" customHeight="false" outlineLevel="0" collapsed="false">
      <c r="B21" s="31" t="s">
        <v>708</v>
      </c>
      <c r="C21" s="68" t="n">
        <v>13</v>
      </c>
    </row>
    <row r="22" customFormat="false" ht="15" hidden="false" customHeight="false" outlineLevel="0" collapsed="false">
      <c r="B22" s="31" t="s">
        <v>709</v>
      </c>
      <c r="C22" s="68" t="n">
        <v>127362</v>
      </c>
    </row>
    <row r="23" customFormat="false" ht="15" hidden="false" customHeight="false" outlineLevel="0" collapsed="false">
      <c r="B23" s="31" t="s">
        <v>710</v>
      </c>
      <c r="C23" s="68" t="n">
        <v>7</v>
      </c>
    </row>
    <row r="24" customFormat="false" ht="15" hidden="false" customHeight="false" outlineLevel="0" collapsed="false">
      <c r="B24" s="31" t="s">
        <v>711</v>
      </c>
      <c r="C24" s="68" t="n">
        <v>2</v>
      </c>
    </row>
    <row r="25" customFormat="false" ht="15" hidden="false" customHeight="false" outlineLevel="0" collapsed="false">
      <c r="B25" s="31" t="s">
        <v>712</v>
      </c>
      <c r="C25" s="68" t="n">
        <v>1</v>
      </c>
    </row>
    <row r="26" customFormat="false" ht="15" hidden="false" customHeight="false" outlineLevel="0" collapsed="false">
      <c r="B26" s="31" t="s">
        <v>713</v>
      </c>
      <c r="C26" s="68" t="n">
        <v>3</v>
      </c>
    </row>
  </sheetData>
  <mergeCells count="3">
    <mergeCell ref="A1:J1"/>
    <mergeCell ref="A2:J2"/>
    <mergeCell ref="B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5" min="2" style="1" width="24"/>
    <col collapsed="false" customWidth="true" hidden="false" outlineLevel="0" max="6" min="6" style="1" width="16"/>
    <col collapsed="false" customWidth="true" hidden="false" outlineLevel="0" max="8" min="7" style="1" width="24"/>
  </cols>
  <sheetData>
    <row r="1" customFormat="false" ht="27.75" hidden="false" customHeight="true" outlineLevel="0" collapsed="false">
      <c r="A1" s="2" t="s">
        <v>714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5" customFormat="false" ht="15" hidden="false" customHeight="true" outlineLevel="0" collapsed="false">
      <c r="B5" s="58" t="s">
        <v>715</v>
      </c>
      <c r="C5" s="58"/>
      <c r="D5" s="58"/>
      <c r="E5" s="58"/>
      <c r="F5" s="58"/>
      <c r="G5" s="41"/>
      <c r="H5" s="41"/>
    </row>
    <row r="6" customFormat="false" ht="39.75" hidden="false" customHeight="true" outlineLevel="0" collapsed="false">
      <c r="B6" s="40" t="s">
        <v>716</v>
      </c>
      <c r="C6" s="40" t="s">
        <v>717</v>
      </c>
      <c r="D6" s="40" t="s">
        <v>663</v>
      </c>
      <c r="E6" s="40" t="s">
        <v>718</v>
      </c>
      <c r="F6" s="35"/>
      <c r="G6" s="14"/>
      <c r="H6" s="14"/>
    </row>
    <row r="7" customFormat="false" ht="39.75" hidden="false" customHeight="true" outlineLevel="0" collapsed="false">
      <c r="B7" s="47" t="s">
        <v>719</v>
      </c>
      <c r="C7" s="47" t="n">
        <v>2</v>
      </c>
      <c r="D7" s="47" t="n">
        <v>69349</v>
      </c>
      <c r="E7" s="47" t="s">
        <v>720</v>
      </c>
      <c r="F7" s="35"/>
      <c r="G7" s="14"/>
      <c r="H7" s="14"/>
    </row>
    <row r="8" customFormat="false" ht="39.75" hidden="false" customHeight="true" outlineLevel="0" collapsed="false">
      <c r="B8" s="47" t="s">
        <v>721</v>
      </c>
      <c r="C8" s="47" t="n">
        <v>5</v>
      </c>
      <c r="D8" s="47" t="n">
        <v>20949</v>
      </c>
      <c r="E8" s="47" t="s">
        <v>720</v>
      </c>
      <c r="F8" s="35"/>
      <c r="G8" s="14"/>
      <c r="H8" s="14"/>
    </row>
    <row r="9" customFormat="false" ht="49.5" hidden="false" customHeight="true" outlineLevel="0" collapsed="false">
      <c r="B9" s="47" t="s">
        <v>722</v>
      </c>
      <c r="C9" s="47" t="n">
        <v>2</v>
      </c>
      <c r="D9" s="47" t="n">
        <v>27756</v>
      </c>
      <c r="E9" s="47" t="s">
        <v>723</v>
      </c>
      <c r="F9" s="35"/>
      <c r="G9" s="14"/>
      <c r="H9" s="14"/>
    </row>
    <row r="10" customFormat="false" ht="39.75" hidden="false" customHeight="true" outlineLevel="0" collapsed="false">
      <c r="B10" s="47" t="s">
        <v>724</v>
      </c>
      <c r="C10" s="47" t="n">
        <v>1</v>
      </c>
      <c r="D10" s="47" t="n">
        <v>-6655</v>
      </c>
      <c r="E10" s="47" t="s">
        <v>725</v>
      </c>
      <c r="F10" s="35"/>
      <c r="G10" s="14"/>
      <c r="H10" s="14"/>
    </row>
    <row r="11" customFormat="false" ht="39.75" hidden="false" customHeight="true" outlineLevel="0" collapsed="false">
      <c r="B11" s="47" t="s">
        <v>726</v>
      </c>
      <c r="C11" s="47" t="n">
        <v>3</v>
      </c>
      <c r="D11" s="47" t="n">
        <v>15963</v>
      </c>
      <c r="E11" s="47" t="s">
        <v>727</v>
      </c>
      <c r="F11" s="35"/>
      <c r="G11" s="14"/>
      <c r="H11" s="14"/>
    </row>
    <row r="12" customFormat="false" ht="39.75" hidden="false" customHeight="true" outlineLevel="0" collapsed="false">
      <c r="B12" s="14"/>
      <c r="C12" s="14"/>
      <c r="D12" s="14"/>
      <c r="E12" s="14"/>
      <c r="F12" s="35"/>
      <c r="G12" s="14"/>
      <c r="H12" s="14"/>
    </row>
    <row r="13" customFormat="false" ht="39.75" hidden="false" customHeight="true" outlineLevel="0" collapsed="false">
      <c r="B13" s="14"/>
      <c r="C13" s="14"/>
      <c r="D13" s="14"/>
      <c r="E13" s="14"/>
      <c r="F13" s="35"/>
      <c r="G13" s="14"/>
      <c r="H13" s="14"/>
    </row>
    <row r="14" customFormat="false" ht="59.25" hidden="false" customHeight="true" outlineLevel="0" collapsed="false">
      <c r="B14" s="61" t="s">
        <v>728</v>
      </c>
      <c r="C14" s="61"/>
      <c r="D14" s="61"/>
      <c r="E14" s="61"/>
      <c r="F14" s="35"/>
      <c r="G14" s="14"/>
      <c r="H14" s="14"/>
    </row>
    <row r="15" customFormat="false" ht="15" hidden="false" customHeight="false" outlineLevel="0" collapsed="false">
      <c r="B15" s="26" t="s">
        <v>729</v>
      </c>
      <c r="C15" s="26" t="s">
        <v>717</v>
      </c>
      <c r="D15" s="26" t="s">
        <v>730</v>
      </c>
    </row>
    <row r="16" customFormat="false" ht="15" hidden="false" customHeight="false" outlineLevel="0" collapsed="false">
      <c r="B16" s="68" t="s">
        <v>720</v>
      </c>
      <c r="C16" s="68" t="n">
        <v>7</v>
      </c>
      <c r="D16" s="68" t="n">
        <v>90298</v>
      </c>
    </row>
    <row r="17" customFormat="false" ht="15" hidden="false" customHeight="false" outlineLevel="0" collapsed="false">
      <c r="B17" s="68" t="s">
        <v>727</v>
      </c>
      <c r="C17" s="68" t="n">
        <v>3</v>
      </c>
      <c r="D17" s="68" t="n">
        <v>15963</v>
      </c>
    </row>
    <row r="18" customFormat="false" ht="15" hidden="false" customHeight="false" outlineLevel="0" collapsed="false">
      <c r="B18" s="68" t="s">
        <v>723</v>
      </c>
      <c r="C18" s="68" t="n">
        <v>2</v>
      </c>
      <c r="D18" s="68" t="n">
        <v>27756</v>
      </c>
    </row>
    <row r="19" customFormat="false" ht="15" hidden="false" customHeight="false" outlineLevel="0" collapsed="false">
      <c r="B19" s="68" t="s">
        <v>725</v>
      </c>
      <c r="C19" s="68" t="n">
        <v>1</v>
      </c>
      <c r="D19" s="68" t="n">
        <v>-6655</v>
      </c>
    </row>
  </sheetData>
  <mergeCells count="4">
    <mergeCell ref="A1:J1"/>
    <mergeCell ref="A2:J2"/>
    <mergeCell ref="B5:F5"/>
    <mergeCell ref="B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8" min="2" style="1" width="5"/>
  </cols>
  <sheetData>
    <row r="1" customFormat="false" ht="27.75" hidden="false" customHeight="true" outlineLevel="0" collapsed="false">
      <c r="A1" s="2" t="s">
        <v>731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5" customFormat="false" ht="15" hidden="false" customHeight="true" outlineLevel="0" collapsed="false">
      <c r="B5" s="40" t="s">
        <v>273</v>
      </c>
      <c r="C5" s="40" t="s">
        <v>732</v>
      </c>
      <c r="D5" s="40" t="s">
        <v>733</v>
      </c>
      <c r="E5" s="40" t="s">
        <v>734</v>
      </c>
      <c r="F5" s="40" t="s">
        <v>735</v>
      </c>
      <c r="G5" s="41"/>
      <c r="H5" s="41"/>
    </row>
    <row r="6" customFormat="false" ht="20.25" hidden="false" customHeight="true" outlineLevel="0" collapsed="false">
      <c r="B6" s="47" t="n">
        <v>1</v>
      </c>
      <c r="C6" s="47" t="s">
        <v>736</v>
      </c>
      <c r="D6" s="47" t="s">
        <v>156</v>
      </c>
      <c r="E6" s="47" t="s">
        <v>737</v>
      </c>
      <c r="F6" s="87" t="s">
        <v>738</v>
      </c>
      <c r="G6" s="14"/>
      <c r="H6" s="14"/>
    </row>
    <row r="7" customFormat="false" ht="15" hidden="false" customHeight="false" outlineLevel="0" collapsed="false">
      <c r="B7" s="68" t="n">
        <v>2</v>
      </c>
      <c r="C7" s="68" t="s">
        <v>739</v>
      </c>
      <c r="D7" s="68" t="s">
        <v>740</v>
      </c>
      <c r="E7" s="68" t="s">
        <v>741</v>
      </c>
      <c r="F7" s="88" t="s">
        <v>738</v>
      </c>
    </row>
    <row r="8" customFormat="false" ht="15" hidden="false" customHeight="false" outlineLevel="0" collapsed="false">
      <c r="B8" s="68" t="n">
        <v>3</v>
      </c>
      <c r="C8" s="68" t="s">
        <v>742</v>
      </c>
      <c r="D8" s="68" t="s">
        <v>743</v>
      </c>
      <c r="E8" s="68" t="s">
        <v>744</v>
      </c>
      <c r="F8" s="31" t="s">
        <v>745</v>
      </c>
    </row>
    <row r="9" customFormat="false" ht="15" hidden="false" customHeight="false" outlineLevel="0" collapsed="false">
      <c r="B9" s="68" t="n">
        <v>4</v>
      </c>
      <c r="C9" s="68" t="s">
        <v>746</v>
      </c>
      <c r="D9" s="68" t="s">
        <v>747</v>
      </c>
      <c r="E9" s="68" t="s">
        <v>748</v>
      </c>
      <c r="F9" s="31" t="s">
        <v>749</v>
      </c>
    </row>
    <row r="10" customFormat="false" ht="15" hidden="false" customHeight="false" outlineLevel="0" collapsed="false">
      <c r="B10" s="68" t="n">
        <v>5</v>
      </c>
      <c r="C10" s="68" t="s">
        <v>750</v>
      </c>
      <c r="D10" s="68" t="s">
        <v>154</v>
      </c>
      <c r="E10" s="68" t="s">
        <v>751</v>
      </c>
      <c r="F10" s="31" t="s">
        <v>749</v>
      </c>
    </row>
    <row r="11" customFormat="false" ht="15" hidden="false" customHeight="false" outlineLevel="0" collapsed="false">
      <c r="B11" s="68" t="n">
        <v>6</v>
      </c>
      <c r="C11" s="68" t="s">
        <v>752</v>
      </c>
      <c r="D11" s="68" t="s">
        <v>150</v>
      </c>
      <c r="E11" s="68" t="s">
        <v>751</v>
      </c>
      <c r="F11" s="31" t="s">
        <v>753</v>
      </c>
    </row>
    <row r="12" customFormat="false" ht="15" hidden="false" customHeight="false" outlineLevel="0" collapsed="false">
      <c r="B12" s="68" t="n">
        <v>7</v>
      </c>
      <c r="C12" s="68" t="s">
        <v>754</v>
      </c>
      <c r="D12" s="68" t="s">
        <v>747</v>
      </c>
      <c r="E12" s="68" t="s">
        <v>755</v>
      </c>
      <c r="F12" s="31" t="s">
        <v>749</v>
      </c>
    </row>
    <row r="13" customFormat="false" ht="15" hidden="false" customHeight="false" outlineLevel="0" collapsed="false">
      <c r="B13" s="68" t="n">
        <v>8</v>
      </c>
      <c r="C13" s="68" t="s">
        <v>756</v>
      </c>
      <c r="D13" s="68" t="s">
        <v>757</v>
      </c>
      <c r="E13" s="68" t="s">
        <v>758</v>
      </c>
      <c r="F13" s="31" t="s">
        <v>753</v>
      </c>
    </row>
    <row r="14" customFormat="false" ht="15" hidden="false" customHeight="false" outlineLevel="0" collapsed="false">
      <c r="B14" s="68" t="n">
        <v>9</v>
      </c>
      <c r="C14" s="68" t="s">
        <v>759</v>
      </c>
      <c r="D14" s="68" t="s">
        <v>760</v>
      </c>
      <c r="E14" s="68" t="s">
        <v>761</v>
      </c>
      <c r="F14" s="31" t="s">
        <v>762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24"/>
    <col collapsed="false" customWidth="true" hidden="false" outlineLevel="0" max="4" min="4" style="1" width="18"/>
    <col collapsed="false" customWidth="true" hidden="false" outlineLevel="0" max="8" min="5" style="1" width="24"/>
  </cols>
  <sheetData>
    <row r="1" customFormat="false" ht="27.75" hidden="false" customHeight="true" outlineLevel="0" collapsed="false">
      <c r="A1" s="2" t="s">
        <v>763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5" customFormat="false" ht="15" hidden="false" customHeight="true" outlineLevel="0" collapsed="false">
      <c r="B5" s="33" t="s">
        <v>764</v>
      </c>
      <c r="C5" s="33" t="s">
        <v>765</v>
      </c>
      <c r="D5" s="33" t="s">
        <v>766</v>
      </c>
      <c r="E5" s="33" t="s">
        <v>767</v>
      </c>
      <c r="F5" s="33" t="s">
        <v>768</v>
      </c>
      <c r="G5" s="33" t="s">
        <v>769</v>
      </c>
      <c r="H5" s="33" t="s">
        <v>184</v>
      </c>
    </row>
    <row r="6" customFormat="false" ht="15" hidden="false" customHeight="true" outlineLevel="0" collapsed="false">
      <c r="B6" s="14" t="s">
        <v>526</v>
      </c>
      <c r="C6" s="14" t="s">
        <v>108</v>
      </c>
      <c r="D6" s="14" t="s">
        <v>6</v>
      </c>
      <c r="E6" s="14"/>
      <c r="F6" s="14"/>
      <c r="G6" s="14"/>
      <c r="H6" s="14"/>
    </row>
    <row r="7" customFormat="false" ht="20.25" hidden="false" customHeight="true" outlineLevel="0" collapsed="false">
      <c r="B7" s="14" t="s">
        <v>770</v>
      </c>
      <c r="C7" s="14" t="s">
        <v>109</v>
      </c>
      <c r="D7" s="14" t="s">
        <v>8</v>
      </c>
      <c r="E7" s="14"/>
      <c r="F7" s="14"/>
      <c r="G7" s="14"/>
      <c r="H7" s="14"/>
    </row>
    <row r="8" customFormat="false" ht="39.75" hidden="false" customHeight="true" outlineLevel="0" collapsed="false">
      <c r="B8" s="14" t="s">
        <v>530</v>
      </c>
      <c r="C8" s="14" t="s">
        <v>10</v>
      </c>
      <c r="D8" s="14" t="s">
        <v>11</v>
      </c>
      <c r="E8" s="14"/>
      <c r="F8" s="14"/>
      <c r="G8" s="14"/>
      <c r="H8" s="14"/>
    </row>
    <row r="9" customFormat="false" ht="20.25" hidden="false" customHeight="true" outlineLevel="0" collapsed="false">
      <c r="B9" s="14" t="s">
        <v>532</v>
      </c>
      <c r="C9" s="14" t="s">
        <v>112</v>
      </c>
      <c r="D9" s="14" t="s">
        <v>14</v>
      </c>
      <c r="E9" s="14"/>
      <c r="F9" s="14"/>
      <c r="G9" s="14"/>
      <c r="H9" s="14"/>
    </row>
    <row r="10" customFormat="false" ht="20.25" hidden="false" customHeight="true" outlineLevel="0" collapsed="false">
      <c r="B10" s="14" t="s">
        <v>534</v>
      </c>
      <c r="C10" s="14" t="s">
        <v>110</v>
      </c>
      <c r="D10" s="14" t="s">
        <v>111</v>
      </c>
      <c r="E10" s="14"/>
      <c r="F10" s="14"/>
      <c r="G10" s="14"/>
      <c r="H10" s="14"/>
    </row>
    <row r="11" customFormat="false" ht="15" hidden="false" customHeight="true" outlineLevel="0" collapsed="false">
      <c r="B11" s="14" t="s">
        <v>538</v>
      </c>
      <c r="C11" s="14" t="s">
        <v>537</v>
      </c>
      <c r="D11" s="14" t="n">
        <v>22</v>
      </c>
      <c r="E11" s="14"/>
      <c r="F11" s="14"/>
      <c r="G11" s="14"/>
      <c r="H11" s="14"/>
    </row>
    <row r="12" customFormat="false" ht="15" hidden="false" customHeight="true" outlineLevel="0" collapsed="false">
      <c r="B12" s="14" t="s">
        <v>771</v>
      </c>
      <c r="C12" s="14" t="s">
        <v>772</v>
      </c>
      <c r="D12" s="14" t="n">
        <v>288</v>
      </c>
      <c r="E12" s="14"/>
      <c r="F12" s="14"/>
      <c r="G12" s="14"/>
      <c r="H12" s="14"/>
    </row>
    <row r="13" customFormat="false" ht="15" hidden="false" customHeight="true" outlineLevel="0" collapsed="false">
      <c r="B13" s="14" t="s">
        <v>773</v>
      </c>
      <c r="C13" s="14" t="s">
        <v>135</v>
      </c>
      <c r="D13" s="14" t="n">
        <v>1564</v>
      </c>
      <c r="E13" s="14"/>
      <c r="F13" s="14"/>
      <c r="G13" s="14"/>
      <c r="H13" s="14"/>
    </row>
    <row r="14" customFormat="false" ht="15" hidden="false" customHeight="true" outlineLevel="0" collapsed="false">
      <c r="B14" s="14" t="s">
        <v>543</v>
      </c>
      <c r="C14" s="14" t="s">
        <v>542</v>
      </c>
      <c r="D14" s="14" t="n">
        <v>3119000</v>
      </c>
      <c r="E14" s="14"/>
      <c r="F14" s="14"/>
      <c r="G14" s="14"/>
      <c r="H14" s="14"/>
    </row>
    <row r="15" customFormat="false" ht="15" hidden="false" customHeight="true" outlineLevel="0" collapsed="false">
      <c r="B15" s="14" t="s">
        <v>547</v>
      </c>
      <c r="C15" s="14" t="s">
        <v>546</v>
      </c>
      <c r="D15" s="14" t="n">
        <v>2858341</v>
      </c>
      <c r="E15" s="14"/>
      <c r="F15" s="14"/>
      <c r="G15" s="14"/>
      <c r="H15" s="14"/>
    </row>
    <row r="16" customFormat="false" ht="15" hidden="false" customHeight="true" outlineLevel="0" collapsed="false">
      <c r="B16" s="14" t="s">
        <v>550</v>
      </c>
      <c r="C16" s="14" t="s">
        <v>549</v>
      </c>
      <c r="D16" s="14" t="n">
        <v>-260659</v>
      </c>
      <c r="E16" s="14"/>
      <c r="F16" s="14"/>
      <c r="G16" s="14"/>
      <c r="H16" s="14"/>
    </row>
    <row r="17" customFormat="false" ht="15" hidden="false" customHeight="true" outlineLevel="0" collapsed="false">
      <c r="B17" s="14" t="s">
        <v>774</v>
      </c>
      <c r="C17" s="14" t="s">
        <v>775</v>
      </c>
      <c r="D17" s="14" t="n">
        <v>2852262.93</v>
      </c>
      <c r="E17" s="14"/>
      <c r="F17" s="14"/>
      <c r="G17" s="14"/>
      <c r="H17" s="14"/>
    </row>
    <row r="18" customFormat="false" ht="15" hidden="false" customHeight="true" outlineLevel="0" collapsed="false">
      <c r="B18" s="14" t="s">
        <v>555</v>
      </c>
      <c r="C18" s="14" t="s">
        <v>128</v>
      </c>
      <c r="D18" s="14" t="n">
        <v>860178.11</v>
      </c>
      <c r="E18" s="14"/>
      <c r="F18" s="14"/>
      <c r="G18" s="14"/>
      <c r="H18" s="14"/>
    </row>
    <row r="19" customFormat="false" ht="15" hidden="false" customHeight="true" outlineLevel="0" collapsed="false">
      <c r="B19" s="14" t="s">
        <v>558</v>
      </c>
      <c r="C19" s="14" t="s">
        <v>557</v>
      </c>
      <c r="D19" s="14" t="n">
        <v>0.3016</v>
      </c>
      <c r="E19" s="14"/>
      <c r="F19" s="14"/>
      <c r="G19" s="14"/>
      <c r="H19" s="14"/>
    </row>
    <row r="20" customFormat="false" ht="15" hidden="false" customHeight="true" outlineLevel="0" collapsed="false">
      <c r="B20" s="14" t="s">
        <v>560</v>
      </c>
      <c r="C20" s="14" t="s">
        <v>127</v>
      </c>
      <c r="D20" s="14" t="n">
        <v>1992084.82</v>
      </c>
      <c r="E20" s="14"/>
      <c r="F20" s="14"/>
      <c r="G20" s="14"/>
      <c r="H20" s="14"/>
    </row>
    <row r="21" customFormat="false" ht="15" hidden="false" customHeight="true" outlineLevel="0" collapsed="false">
      <c r="B21" s="14" t="s">
        <v>586</v>
      </c>
      <c r="C21" s="14" t="s">
        <v>585</v>
      </c>
      <c r="D21" s="14" t="n">
        <v>780619.01</v>
      </c>
      <c r="E21" s="14"/>
      <c r="F21" s="14"/>
      <c r="G21" s="14"/>
      <c r="H21" s="14"/>
    </row>
    <row r="22" customFormat="false" ht="15" hidden="false" customHeight="true" outlineLevel="0" collapsed="false">
      <c r="B22" s="14" t="s">
        <v>618</v>
      </c>
      <c r="C22" s="14" t="s">
        <v>617</v>
      </c>
      <c r="D22" s="14" t="n">
        <v>762828.23</v>
      </c>
      <c r="E22" s="14"/>
      <c r="F22" s="14"/>
      <c r="G22" s="14"/>
      <c r="H22" s="14"/>
    </row>
    <row r="23" customFormat="false" ht="15" hidden="false" customHeight="true" outlineLevel="0" collapsed="false">
      <c r="B23" s="14" t="s">
        <v>563</v>
      </c>
      <c r="C23" s="14" t="s">
        <v>562</v>
      </c>
      <c r="D23" s="14" t="n">
        <v>50025.19</v>
      </c>
      <c r="E23" s="14"/>
      <c r="F23" s="14"/>
      <c r="G23" s="14"/>
      <c r="H23" s="14"/>
    </row>
    <row r="24" customFormat="false" ht="15" hidden="false" customHeight="true" outlineLevel="0" collapsed="false">
      <c r="B24" s="14" t="s">
        <v>567</v>
      </c>
      <c r="C24" s="14" t="s">
        <v>566</v>
      </c>
      <c r="D24" s="14" t="n">
        <v>398612.39</v>
      </c>
      <c r="E24" s="14"/>
      <c r="F24" s="14"/>
      <c r="G24" s="14"/>
      <c r="H24" s="14"/>
    </row>
    <row r="25" customFormat="false" ht="15" hidden="false" customHeight="true" outlineLevel="0" collapsed="false">
      <c r="B25" s="14" t="s">
        <v>776</v>
      </c>
      <c r="C25" s="14" t="s">
        <v>777</v>
      </c>
      <c r="D25" s="14" t="n">
        <v>142917.05</v>
      </c>
      <c r="E25" s="14"/>
      <c r="F25" s="14"/>
      <c r="G25" s="14"/>
      <c r="H25" s="14"/>
    </row>
    <row r="26" customFormat="false" ht="15" hidden="false" customHeight="true" outlineLevel="0" collapsed="false">
      <c r="B26" s="14" t="s">
        <v>778</v>
      </c>
      <c r="C26" s="14" t="s">
        <v>779</v>
      </c>
      <c r="D26" s="14" t="n">
        <v>39280</v>
      </c>
      <c r="E26" s="14"/>
      <c r="F26" s="14"/>
      <c r="G26" s="14"/>
      <c r="H26" s="14"/>
    </row>
    <row r="27" customFormat="false" ht="15" hidden="false" customHeight="true" outlineLevel="0" collapsed="false">
      <c r="B27" s="14" t="s">
        <v>591</v>
      </c>
      <c r="C27" s="14" t="s">
        <v>406</v>
      </c>
      <c r="D27" s="14" t="n">
        <v>58</v>
      </c>
      <c r="E27" s="14"/>
      <c r="F27" s="14"/>
      <c r="G27" s="14"/>
      <c r="H27" s="14"/>
    </row>
    <row r="28" customFormat="false" ht="15" hidden="false" customHeight="true" outlineLevel="0" collapsed="false">
      <c r="B28" s="14" t="s">
        <v>780</v>
      </c>
      <c r="C28" s="14" t="s">
        <v>781</v>
      </c>
      <c r="D28" s="14" t="n">
        <v>19.59</v>
      </c>
      <c r="E28" s="14"/>
      <c r="F28" s="14"/>
      <c r="G28" s="14"/>
      <c r="H28" s="14"/>
    </row>
    <row r="29" customFormat="false" ht="15" hidden="false" customHeight="true" outlineLevel="0" collapsed="false">
      <c r="B29" s="14" t="s">
        <v>782</v>
      </c>
      <c r="C29" s="14" t="s">
        <v>783</v>
      </c>
      <c r="D29" s="14" t="n">
        <v>30.1</v>
      </c>
      <c r="E29" s="14"/>
      <c r="F29" s="14"/>
      <c r="G29" s="14"/>
      <c r="H29" s="14"/>
    </row>
    <row r="30" customFormat="false" ht="15" hidden="false" customHeight="true" outlineLevel="0" collapsed="false">
      <c r="B30" s="14" t="s">
        <v>599</v>
      </c>
      <c r="C30" s="14" t="s">
        <v>598</v>
      </c>
      <c r="D30" s="14" t="n">
        <v>40.25</v>
      </c>
      <c r="E30" s="14"/>
      <c r="F30" s="14"/>
      <c r="G30" s="14"/>
      <c r="H30" s="14"/>
    </row>
    <row r="31" customFormat="false" ht="15" hidden="false" customHeight="true" outlineLevel="0" collapsed="false">
      <c r="B31" s="14" t="s">
        <v>602</v>
      </c>
      <c r="C31" s="14" t="s">
        <v>404</v>
      </c>
      <c r="D31" s="14" t="n">
        <v>1.337</v>
      </c>
      <c r="E31" s="14"/>
      <c r="F31" s="14"/>
      <c r="G31" s="14"/>
      <c r="H31" s="14"/>
    </row>
    <row r="32" customFormat="false" ht="15" hidden="false" customHeight="true" outlineLevel="0" collapsed="false">
      <c r="B32" s="14" t="s">
        <v>784</v>
      </c>
      <c r="C32" s="14" t="s">
        <v>785</v>
      </c>
      <c r="D32" s="14" t="n">
        <v>279</v>
      </c>
      <c r="E32" s="14"/>
      <c r="F32" s="14"/>
      <c r="G32" s="14"/>
      <c r="H32" s="14"/>
    </row>
    <row r="33" customFormat="false" ht="15" hidden="false" customHeight="true" outlineLevel="0" collapsed="false">
      <c r="B33" s="14" t="s">
        <v>786</v>
      </c>
      <c r="C33" s="14" t="s">
        <v>787</v>
      </c>
      <c r="D33" s="14" t="n">
        <v>9</v>
      </c>
      <c r="E33" s="14"/>
      <c r="F33" s="14"/>
      <c r="G33" s="14"/>
      <c r="H33" s="14"/>
    </row>
    <row r="34" customFormat="false" ht="15" hidden="false" customHeight="true" outlineLevel="0" collapsed="false">
      <c r="B34" s="14" t="s">
        <v>788</v>
      </c>
      <c r="C34" s="14" t="s">
        <v>750</v>
      </c>
      <c r="D34" s="14" t="n">
        <v>1</v>
      </c>
      <c r="E34" s="14"/>
      <c r="F34" s="14"/>
      <c r="G34" s="14"/>
      <c r="H34" s="14"/>
    </row>
    <row r="35" customFormat="false" ht="15" hidden="false" customHeight="true" outlineLevel="0" collapsed="false">
      <c r="B35" s="14" t="s">
        <v>789</v>
      </c>
      <c r="C35" s="14" t="s">
        <v>790</v>
      </c>
      <c r="D35" s="14" t="n">
        <v>2</v>
      </c>
      <c r="E35" s="14"/>
      <c r="F35" s="14"/>
      <c r="G35" s="14"/>
      <c r="H35" s="14"/>
    </row>
    <row r="36" customFormat="false" ht="15" hidden="false" customHeight="true" outlineLevel="0" collapsed="false">
      <c r="B36" s="14" t="s">
        <v>791</v>
      </c>
      <c r="C36" s="14" t="s">
        <v>792</v>
      </c>
      <c r="D36" s="14" t="n">
        <v>56</v>
      </c>
      <c r="E36" s="14"/>
      <c r="F36" s="14"/>
      <c r="G36" s="14"/>
      <c r="H36" s="14"/>
    </row>
    <row r="37" customFormat="false" ht="15" hidden="false" customHeight="true" outlineLevel="0" collapsed="false">
      <c r="B37" s="14" t="s">
        <v>793</v>
      </c>
      <c r="C37" s="14" t="s">
        <v>794</v>
      </c>
      <c r="D37" s="14" t="n">
        <v>206</v>
      </c>
      <c r="E37" s="14"/>
      <c r="F37" s="14"/>
      <c r="G37" s="14"/>
      <c r="H37" s="14"/>
    </row>
    <row r="38" customFormat="false" ht="15" hidden="false" customHeight="true" outlineLevel="0" collapsed="false">
      <c r="B38" s="14" t="s">
        <v>795</v>
      </c>
      <c r="C38" s="14" t="s">
        <v>796</v>
      </c>
      <c r="D38" s="14" t="n">
        <v>13</v>
      </c>
      <c r="E38" s="14"/>
      <c r="F38" s="14"/>
      <c r="G38" s="14"/>
      <c r="H38" s="14"/>
    </row>
    <row r="39" customFormat="false" ht="15" hidden="false" customHeight="true" outlineLevel="0" collapsed="false">
      <c r="B39" s="14" t="s">
        <v>797</v>
      </c>
      <c r="C39" s="14" t="s">
        <v>798</v>
      </c>
      <c r="D39" s="14" t="n">
        <v>127362</v>
      </c>
      <c r="E39" s="14"/>
      <c r="F39" s="14"/>
      <c r="G39" s="14"/>
      <c r="H39" s="14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6" min="4" style="1" width="18"/>
    <col collapsed="false" customWidth="true" hidden="false" outlineLevel="0" max="8" min="7" style="1" width="24"/>
  </cols>
  <sheetData>
    <row r="1" customFormat="false" ht="27.75" hidden="false" customHeight="true" outlineLevel="0" collapsed="false">
      <c r="A1" s="2" t="s">
        <v>799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5" customFormat="false" ht="15" hidden="false" customHeight="true" outlineLevel="0" collapsed="false">
      <c r="B5" s="33" t="s">
        <v>800</v>
      </c>
      <c r="C5" s="33" t="s">
        <v>801</v>
      </c>
      <c r="D5" s="33" t="s">
        <v>802</v>
      </c>
      <c r="E5" s="33" t="s">
        <v>803</v>
      </c>
      <c r="F5" s="33" t="s">
        <v>804</v>
      </c>
      <c r="G5" s="33" t="s">
        <v>805</v>
      </c>
      <c r="H5" s="33" t="s">
        <v>806</v>
      </c>
    </row>
    <row r="6" customFormat="false" ht="15" hidden="false" customHeight="true" outlineLevel="0" collapsed="false">
      <c r="B6" s="36"/>
      <c r="C6" s="14" t="s">
        <v>807</v>
      </c>
      <c r="D6" s="14"/>
      <c r="E6" s="14"/>
      <c r="F6" s="14"/>
      <c r="G6" s="14"/>
      <c r="H6" s="14"/>
    </row>
    <row r="7" customFormat="false" ht="15" hidden="false" customHeight="true" outlineLevel="0" collapsed="false">
      <c r="B7" s="36"/>
      <c r="C7" s="14" t="s">
        <v>808</v>
      </c>
      <c r="D7" s="14" t="n">
        <v>780619.01</v>
      </c>
      <c r="E7" s="14"/>
      <c r="F7" s="14"/>
      <c r="G7" s="14" t="s">
        <v>809</v>
      </c>
      <c r="H7" s="14"/>
    </row>
    <row r="8" customFormat="false" ht="15" hidden="false" customHeight="true" outlineLevel="0" collapsed="false">
      <c r="B8" s="36"/>
      <c r="C8" s="14" t="s">
        <v>810</v>
      </c>
      <c r="D8" s="14" t="n">
        <v>762828.23</v>
      </c>
      <c r="E8" s="14"/>
      <c r="F8" s="14"/>
      <c r="G8" s="14" t="s">
        <v>809</v>
      </c>
      <c r="H8" s="14"/>
    </row>
    <row r="9" customFormat="false" ht="15" hidden="false" customHeight="true" outlineLevel="0" collapsed="false">
      <c r="B9" s="36"/>
      <c r="C9" s="14" t="s">
        <v>811</v>
      </c>
      <c r="D9" s="14" t="n">
        <v>50025.19</v>
      </c>
      <c r="E9" s="14"/>
      <c r="F9" s="14"/>
      <c r="G9" s="14" t="s">
        <v>809</v>
      </c>
      <c r="H9" s="14"/>
    </row>
    <row r="10" customFormat="false" ht="15" hidden="false" customHeight="true" outlineLevel="0" collapsed="false">
      <c r="B10" s="36"/>
      <c r="C10" s="14" t="s">
        <v>812</v>
      </c>
      <c r="D10" s="14" t="n">
        <v>398612.39</v>
      </c>
      <c r="E10" s="14"/>
      <c r="F10" s="14"/>
      <c r="G10" s="14" t="s">
        <v>809</v>
      </c>
      <c r="H10" s="14"/>
    </row>
    <row r="11" customFormat="false" ht="15" hidden="false" customHeight="true" outlineLevel="0" collapsed="false">
      <c r="B11" s="36"/>
      <c r="C11" s="14" t="s">
        <v>813</v>
      </c>
      <c r="D11" s="14" t="n">
        <v>1992084.82</v>
      </c>
      <c r="E11" s="14"/>
      <c r="F11" s="14"/>
      <c r="G11" s="14" t="s">
        <v>809</v>
      </c>
      <c r="H11" s="14"/>
    </row>
    <row r="12" customFormat="false" ht="15" hidden="false" customHeight="true" outlineLevel="0" collapsed="false">
      <c r="B12" s="36"/>
      <c r="C12" s="14" t="s">
        <v>814</v>
      </c>
      <c r="D12" s="14" t="n">
        <v>2852262.93</v>
      </c>
      <c r="E12" s="14"/>
      <c r="F12" s="14"/>
      <c r="G12" s="14" t="s">
        <v>815</v>
      </c>
      <c r="H12" s="14"/>
    </row>
    <row r="13" customFormat="false" ht="15" hidden="false" customHeight="true" outlineLevel="0" collapsed="false">
      <c r="B13" s="36"/>
      <c r="C13" s="14" t="s">
        <v>816</v>
      </c>
      <c r="D13" s="14" t="n">
        <v>860178.11</v>
      </c>
      <c r="E13" s="14"/>
      <c r="F13" s="14"/>
      <c r="G13" s="14" t="s">
        <v>815</v>
      </c>
      <c r="H13" s="14"/>
    </row>
    <row r="14" customFormat="false" ht="15" hidden="false" customHeight="true" outlineLevel="0" collapsed="false">
      <c r="B14" s="36"/>
      <c r="C14" s="14" t="s">
        <v>817</v>
      </c>
      <c r="D14" s="14"/>
      <c r="E14" s="14"/>
      <c r="F14" s="14"/>
      <c r="G14" s="14"/>
      <c r="H14" s="14"/>
    </row>
    <row r="15" customFormat="false" ht="20.25" hidden="false" customHeight="true" outlineLevel="0" collapsed="false">
      <c r="B15" s="36"/>
      <c r="C15" s="14" t="s">
        <v>818</v>
      </c>
      <c r="D15" s="14" t="n">
        <v>39280</v>
      </c>
      <c r="E15" s="14"/>
      <c r="F15" s="14"/>
      <c r="G15" s="14" t="s">
        <v>809</v>
      </c>
      <c r="H15" s="14"/>
    </row>
    <row r="16" customFormat="false" ht="20.25" hidden="false" customHeight="true" outlineLevel="0" collapsed="false">
      <c r="B16" s="36"/>
      <c r="C16" s="14" t="s">
        <v>819</v>
      </c>
      <c r="D16" s="14" t="n">
        <v>39280</v>
      </c>
      <c r="E16" s="14"/>
      <c r="F16" s="14"/>
      <c r="G16" s="14" t="s">
        <v>815</v>
      </c>
      <c r="H16" s="14"/>
    </row>
    <row r="17" customFormat="false" ht="15" hidden="false" customHeight="true" outlineLevel="0" collapsed="false">
      <c r="B17" s="36"/>
      <c r="C17" s="14" t="s">
        <v>820</v>
      </c>
      <c r="D17" s="14"/>
      <c r="E17" s="14"/>
      <c r="F17" s="14"/>
      <c r="G17" s="14"/>
      <c r="H17" s="14"/>
    </row>
    <row r="18" customFormat="false" ht="15" hidden="false" customHeight="true" outlineLevel="0" collapsed="false">
      <c r="B18" s="36"/>
      <c r="C18" s="14" t="s">
        <v>821</v>
      </c>
      <c r="D18" s="14" t="n">
        <v>2858341</v>
      </c>
      <c r="E18" s="14"/>
      <c r="F18" s="14"/>
      <c r="G18" s="14" t="s">
        <v>809</v>
      </c>
      <c r="H18" s="14"/>
    </row>
    <row r="19" customFormat="false" ht="15" hidden="false" customHeight="true" outlineLevel="0" collapsed="false">
      <c r="B19" s="36"/>
      <c r="C19" s="14" t="s">
        <v>777</v>
      </c>
      <c r="D19" s="14" t="n">
        <v>142917.05</v>
      </c>
      <c r="E19" s="14"/>
      <c r="F19" s="14"/>
      <c r="G19" s="14" t="s">
        <v>809</v>
      </c>
      <c r="H19" s="14"/>
    </row>
    <row r="20" customFormat="false" ht="15" hidden="false" customHeight="true" outlineLevel="0" collapsed="false">
      <c r="B20" s="36"/>
      <c r="C20" s="14" t="s">
        <v>127</v>
      </c>
      <c r="D20" s="14" t="n">
        <v>1992084.82</v>
      </c>
      <c r="E20" s="14"/>
      <c r="F20" s="14"/>
      <c r="G20" s="14" t="s">
        <v>809</v>
      </c>
      <c r="H20" s="14"/>
    </row>
    <row r="21" customFormat="false" ht="15" hidden="false" customHeight="true" outlineLevel="0" collapsed="false">
      <c r="B21" s="36"/>
      <c r="C21" s="14" t="s">
        <v>822</v>
      </c>
      <c r="D21" s="14"/>
      <c r="E21" s="14"/>
      <c r="F21" s="14"/>
      <c r="G21" s="14"/>
      <c r="H21" s="14"/>
    </row>
    <row r="22" customFormat="false" ht="20.25" hidden="false" customHeight="true" outlineLevel="0" collapsed="false">
      <c r="B22" s="36"/>
      <c r="C22" s="14" t="s">
        <v>823</v>
      </c>
      <c r="D22" s="14" t="n">
        <v>792735</v>
      </c>
      <c r="E22" s="14"/>
      <c r="F22" s="14"/>
      <c r="G22" s="14" t="s">
        <v>809</v>
      </c>
      <c r="H22" s="14"/>
    </row>
    <row r="23" customFormat="false" ht="15" hidden="false" customHeight="true" outlineLevel="0" collapsed="false">
      <c r="B23" s="36"/>
      <c r="C23" s="14" t="s">
        <v>380</v>
      </c>
      <c r="D23" s="14"/>
      <c r="E23" s="14"/>
      <c r="F23" s="14"/>
      <c r="G23" s="14"/>
      <c r="H23" s="14"/>
    </row>
    <row r="24" customFormat="false" ht="39.75" hidden="false" customHeight="true" outlineLevel="0" collapsed="false">
      <c r="B24" s="36"/>
      <c r="C24" s="14" t="s">
        <v>381</v>
      </c>
      <c r="D24" s="14"/>
      <c r="E24" s="14"/>
      <c r="F24" s="14"/>
      <c r="G24" s="14"/>
      <c r="H24" s="14"/>
    </row>
    <row r="25" customFormat="false" ht="30" hidden="false" customHeight="true" outlineLevel="0" collapsed="false">
      <c r="B25" s="36"/>
      <c r="C25" s="14" t="s">
        <v>382</v>
      </c>
      <c r="D25" s="14"/>
      <c r="E25" s="14"/>
      <c r="F25" s="14"/>
      <c r="G25" s="14"/>
      <c r="H25" s="14"/>
    </row>
    <row r="26" customFormat="false" ht="30" hidden="false" customHeight="true" outlineLevel="0" collapsed="false">
      <c r="B26" s="36"/>
      <c r="C26" s="14" t="s">
        <v>383</v>
      </c>
      <c r="D26" s="14"/>
      <c r="E26" s="14"/>
      <c r="F26" s="14"/>
      <c r="G26" s="14"/>
      <c r="H26" s="14"/>
    </row>
    <row r="27" customFormat="false" ht="20.25" hidden="false" customHeight="true" outlineLevel="0" collapsed="false">
      <c r="B27" s="36"/>
      <c r="C27" s="14" t="s">
        <v>384</v>
      </c>
      <c r="D27" s="14"/>
      <c r="E27" s="14"/>
      <c r="F27" s="14"/>
      <c r="G27" s="14"/>
      <c r="H27" s="14"/>
    </row>
    <row r="28" customFormat="false" ht="49.5" hidden="false" customHeight="true" outlineLevel="0" collapsed="false">
      <c r="B28" s="36"/>
      <c r="C28" s="14" t="s">
        <v>385</v>
      </c>
      <c r="D28" s="14"/>
      <c r="E28" s="14"/>
      <c r="F28" s="14"/>
      <c r="G28" s="14"/>
      <c r="H28" s="14"/>
    </row>
    <row r="29" customFormat="false" ht="39.75" hidden="false" customHeight="true" outlineLevel="0" collapsed="false">
      <c r="B29" s="36"/>
      <c r="C29" s="14" t="s">
        <v>386</v>
      </c>
      <c r="D29" s="14"/>
      <c r="E29" s="14"/>
      <c r="F29" s="14"/>
      <c r="G29" s="14"/>
      <c r="H29" s="14"/>
    </row>
    <row r="30" customFormat="false" ht="39.75" hidden="false" customHeight="true" outlineLevel="0" collapsed="false">
      <c r="B30" s="36"/>
      <c r="C30" s="14" t="s">
        <v>387</v>
      </c>
      <c r="D30" s="14"/>
      <c r="E30" s="14"/>
      <c r="F30" s="14"/>
      <c r="G30" s="14"/>
      <c r="H30" s="14"/>
    </row>
    <row r="31" customFormat="false" ht="39.75" hidden="false" customHeight="true" outlineLevel="0" collapsed="false">
      <c r="B31" s="36"/>
      <c r="C31" s="14" t="s">
        <v>388</v>
      </c>
      <c r="D31" s="14"/>
      <c r="E31" s="14"/>
      <c r="F31" s="14"/>
      <c r="G31" s="14"/>
      <c r="H31" s="14"/>
    </row>
    <row r="32" customFormat="false" ht="30" hidden="false" customHeight="true" outlineLevel="0" collapsed="false">
      <c r="B32" s="36"/>
      <c r="C32" s="14" t="s">
        <v>389</v>
      </c>
      <c r="D32" s="14"/>
      <c r="E32" s="14"/>
      <c r="F32" s="14"/>
      <c r="G32" s="14"/>
      <c r="H32" s="14"/>
    </row>
    <row r="33" customFormat="false" ht="39.75" hidden="false" customHeight="true" outlineLevel="0" collapsed="false">
      <c r="B33" s="36"/>
      <c r="C33" s="14" t="s">
        <v>390</v>
      </c>
      <c r="D33" s="14"/>
      <c r="E33" s="14"/>
      <c r="F33" s="14"/>
      <c r="G33" s="14"/>
      <c r="H33" s="14"/>
    </row>
    <row r="34" customFormat="false" ht="20.25" hidden="false" customHeight="true" outlineLevel="0" collapsed="false">
      <c r="B34" s="36"/>
      <c r="C34" s="14" t="s">
        <v>391</v>
      </c>
      <c r="D34" s="14"/>
      <c r="E34" s="14"/>
      <c r="F34" s="14"/>
      <c r="G34" s="14"/>
      <c r="H34" s="14"/>
    </row>
    <row r="35" customFormat="false" ht="30" hidden="false" customHeight="true" outlineLevel="0" collapsed="false">
      <c r="B35" s="36"/>
      <c r="C35" s="14" t="s">
        <v>824</v>
      </c>
      <c r="D35" s="14"/>
      <c r="E35" s="14"/>
      <c r="F35" s="14"/>
      <c r="G35" s="14"/>
      <c r="H35" s="14"/>
    </row>
    <row r="36" customFormat="false" ht="20.25" hidden="false" customHeight="true" outlineLevel="0" collapsed="false">
      <c r="B36" s="36"/>
      <c r="C36" s="14" t="s">
        <v>825</v>
      </c>
      <c r="D36" s="14"/>
      <c r="E36" s="14"/>
      <c r="F36" s="14"/>
      <c r="G36" s="14"/>
      <c r="H36" s="14"/>
    </row>
    <row r="37" customFormat="false" ht="15" hidden="false" customHeight="true" outlineLevel="0" collapsed="false">
      <c r="B37" s="36"/>
      <c r="C37" s="14" t="s">
        <v>826</v>
      </c>
      <c r="D37" s="14" t="n">
        <v>13</v>
      </c>
      <c r="E37" s="14"/>
      <c r="F37" s="14"/>
      <c r="G37" s="14" t="s">
        <v>809</v>
      </c>
      <c r="H37" s="14"/>
    </row>
    <row r="38" customFormat="false" ht="15" hidden="false" customHeight="true" outlineLevel="0" collapsed="false">
      <c r="B38" s="36"/>
      <c r="C38" s="14" t="s">
        <v>759</v>
      </c>
      <c r="D38" s="14" t="n">
        <v>127362</v>
      </c>
      <c r="E38" s="14"/>
      <c r="F38" s="14"/>
      <c r="G38" s="14" t="s">
        <v>809</v>
      </c>
      <c r="H38" s="14"/>
    </row>
    <row r="39" customFormat="false" ht="20.25" hidden="false" customHeight="true" outlineLevel="0" collapsed="false">
      <c r="B39" s="36"/>
      <c r="C39" s="14" t="s">
        <v>827</v>
      </c>
      <c r="D39" s="14"/>
      <c r="E39" s="14"/>
      <c r="F39" s="14"/>
      <c r="G39" s="14"/>
      <c r="H39" s="14"/>
    </row>
    <row r="40" customFormat="false" ht="15" hidden="false" customHeight="true" outlineLevel="0" collapsed="false">
      <c r="B40" s="36"/>
      <c r="C40" s="14" t="s">
        <v>828</v>
      </c>
      <c r="D40" s="14" t="n">
        <v>1</v>
      </c>
      <c r="E40" s="14"/>
      <c r="F40" s="14"/>
      <c r="G40" s="14" t="s">
        <v>809</v>
      </c>
      <c r="H40" s="14"/>
    </row>
    <row r="41" customFormat="false" ht="20.25" hidden="false" customHeight="true" outlineLevel="0" collapsed="false">
      <c r="B41" s="36"/>
      <c r="C41" s="14" t="s">
        <v>829</v>
      </c>
      <c r="D41" s="14"/>
      <c r="E41" s="14"/>
      <c r="F41" s="14"/>
      <c r="G41" s="14"/>
      <c r="H41" s="14"/>
    </row>
    <row r="42" customFormat="false" ht="15" hidden="false" customHeight="true" outlineLevel="0" collapsed="false">
      <c r="B42" s="36"/>
      <c r="C42" s="14" t="s">
        <v>830</v>
      </c>
      <c r="D42" s="14" t="n">
        <v>2858341</v>
      </c>
      <c r="E42" s="14"/>
      <c r="F42" s="14"/>
      <c r="G42" s="14" t="s">
        <v>809</v>
      </c>
      <c r="H42" s="14"/>
    </row>
    <row r="43" customFormat="false" ht="15" hidden="false" customHeight="true" outlineLevel="0" collapsed="false">
      <c r="B43" s="36"/>
      <c r="C43" s="14" t="s">
        <v>831</v>
      </c>
      <c r="D43" s="14" t="n">
        <v>288</v>
      </c>
      <c r="E43" s="14"/>
      <c r="F43" s="14"/>
      <c r="G43" s="14" t="s">
        <v>809</v>
      </c>
      <c r="H43" s="14"/>
    </row>
    <row r="44" customFormat="false" ht="15" hidden="false" customHeight="true" outlineLevel="0" collapsed="false">
      <c r="B44" s="36"/>
      <c r="C44" s="14" t="s">
        <v>832</v>
      </c>
      <c r="D44" s="14" t="n">
        <v>1564</v>
      </c>
      <c r="E44" s="14"/>
      <c r="F44" s="14"/>
      <c r="G44" s="14" t="s">
        <v>809</v>
      </c>
      <c r="H44" s="14"/>
    </row>
    <row r="45" customFormat="false" ht="15" hidden="false" customHeight="true" outlineLevel="0" collapsed="false">
      <c r="B45" s="36"/>
      <c r="C45" s="14" t="s">
        <v>833</v>
      </c>
      <c r="D45" s="14" t="n">
        <v>1934503.21</v>
      </c>
      <c r="E45" s="14"/>
      <c r="F45" s="14"/>
      <c r="G45" s="14" t="s">
        <v>834</v>
      </c>
      <c r="H45" s="14"/>
    </row>
    <row r="46" customFormat="false" ht="15" hidden="false" customHeight="true" outlineLevel="0" collapsed="false">
      <c r="B46" s="36"/>
      <c r="C46" s="14" t="s">
        <v>835</v>
      </c>
      <c r="D46" s="14" t="n">
        <v>279</v>
      </c>
      <c r="E46" s="14"/>
      <c r="F46" s="14"/>
      <c r="G46" s="14" t="s">
        <v>809</v>
      </c>
      <c r="H46" s="14"/>
    </row>
    <row r="47" customFormat="false" ht="20.25" hidden="false" customHeight="true" outlineLevel="0" collapsed="false">
      <c r="B47" s="36"/>
      <c r="C47" s="14" t="s">
        <v>836</v>
      </c>
      <c r="D47" s="14"/>
      <c r="E47" s="14"/>
      <c r="F47" s="14"/>
      <c r="G47" s="14"/>
      <c r="H47" s="14"/>
    </row>
    <row r="48" customFormat="false" ht="15" hidden="false" customHeight="true" outlineLevel="0" collapsed="false">
      <c r="B48" s="36"/>
      <c r="C48" s="14" t="s">
        <v>795</v>
      </c>
      <c r="D48" s="14" t="n">
        <v>13</v>
      </c>
      <c r="E48" s="14"/>
      <c r="F48" s="14"/>
      <c r="G48" s="14" t="s">
        <v>834</v>
      </c>
      <c r="H48" s="14"/>
    </row>
    <row r="49" customFormat="false" ht="15" hidden="false" customHeight="true" outlineLevel="0" collapsed="false">
      <c r="B49" s="36"/>
      <c r="C49" s="14" t="s">
        <v>380</v>
      </c>
      <c r="D49" s="14"/>
      <c r="E49" s="14"/>
      <c r="F49" s="14"/>
      <c r="G49" s="14"/>
      <c r="H49" s="14"/>
    </row>
    <row r="50" customFormat="false" ht="20.25" hidden="false" customHeight="true" outlineLevel="0" collapsed="false">
      <c r="B50" s="36"/>
      <c r="C50" s="14" t="s">
        <v>837</v>
      </c>
      <c r="D50" s="14"/>
      <c r="E50" s="14"/>
      <c r="F50" s="14"/>
      <c r="G50" s="14"/>
      <c r="H50" s="14"/>
    </row>
    <row r="51" customFormat="false" ht="39.75" hidden="false" customHeight="true" outlineLevel="0" collapsed="false">
      <c r="B51" s="36"/>
      <c r="C51" s="14" t="s">
        <v>838</v>
      </c>
      <c r="D51" s="14"/>
      <c r="E51" s="14"/>
      <c r="F51" s="14"/>
      <c r="G51" s="14"/>
      <c r="H51" s="14"/>
    </row>
    <row r="52" customFormat="false" ht="30" hidden="false" customHeight="true" outlineLevel="0" collapsed="false">
      <c r="B52" s="36"/>
      <c r="C52" s="14" t="s">
        <v>839</v>
      </c>
      <c r="D52" s="14"/>
      <c r="E52" s="14"/>
      <c r="F52" s="14"/>
      <c r="G52" s="14"/>
      <c r="H52" s="14"/>
    </row>
    <row r="53" customFormat="false" ht="39.75" hidden="false" customHeight="true" outlineLevel="0" collapsed="false">
      <c r="B53" s="36"/>
      <c r="C53" s="14" t="s">
        <v>840</v>
      </c>
      <c r="D53" s="14"/>
      <c r="E53" s="14"/>
      <c r="F53" s="14"/>
      <c r="G53" s="14"/>
      <c r="H53" s="14"/>
    </row>
    <row r="54" customFormat="false" ht="20.25" hidden="false" customHeight="true" outlineLevel="0" collapsed="false">
      <c r="B54" s="36"/>
      <c r="C54" s="14" t="s">
        <v>841</v>
      </c>
      <c r="D54" s="14"/>
      <c r="E54" s="14"/>
      <c r="F54" s="14"/>
      <c r="G54" s="14"/>
      <c r="H54" s="14"/>
    </row>
    <row r="55" customFormat="false" ht="30" hidden="false" customHeight="true" outlineLevel="0" collapsed="false">
      <c r="B55" s="36"/>
      <c r="C55" s="14" t="s">
        <v>842</v>
      </c>
      <c r="D55" s="14"/>
      <c r="E55" s="14"/>
      <c r="F55" s="14"/>
      <c r="G55" s="14"/>
      <c r="H55" s="14"/>
    </row>
    <row r="56" customFormat="false" ht="30" hidden="false" customHeight="true" outlineLevel="0" collapsed="false">
      <c r="B56" s="36"/>
      <c r="C56" s="14" t="s">
        <v>843</v>
      </c>
      <c r="D56" s="14"/>
      <c r="E56" s="14"/>
      <c r="F56" s="14"/>
      <c r="G56" s="14"/>
      <c r="H56" s="14"/>
    </row>
    <row r="57" customFormat="false" ht="59.25" hidden="false" customHeight="true" outlineLevel="0" collapsed="false">
      <c r="B57" s="36"/>
      <c r="C57" s="14" t="s">
        <v>844</v>
      </c>
      <c r="D57" s="14"/>
      <c r="E57" s="14"/>
      <c r="F57" s="14"/>
      <c r="G57" s="14"/>
      <c r="H57" s="14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5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7" min="6" style="1" width="10"/>
    <col collapsed="false" customWidth="true" hidden="false" outlineLevel="0" max="8" min="8" style="0" width="35"/>
  </cols>
  <sheetData>
    <row r="1" customFormat="false" ht="27.75" hidden="false" customHeight="true" outlineLevel="0" collapsed="false">
      <c r="A1" s="2" t="s">
        <v>845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5" customFormat="false" ht="15" hidden="false" customHeight="true" outlineLevel="0" collapsed="false">
      <c r="B5" s="40" t="s">
        <v>273</v>
      </c>
      <c r="C5" s="40" t="s">
        <v>846</v>
      </c>
      <c r="D5" s="40" t="s">
        <v>847</v>
      </c>
      <c r="E5" s="40" t="s">
        <v>848</v>
      </c>
      <c r="F5" s="40" t="s">
        <v>277</v>
      </c>
      <c r="G5" s="40" t="s">
        <v>849</v>
      </c>
      <c r="H5" s="40" t="s">
        <v>443</v>
      </c>
    </row>
    <row r="6" customFormat="false" ht="15" hidden="false" customHeight="true" outlineLevel="0" collapsed="false">
      <c r="B6" s="43" t="n">
        <v>1</v>
      </c>
      <c r="C6" s="43" t="s">
        <v>278</v>
      </c>
      <c r="D6" s="44" t="n">
        <v>121</v>
      </c>
      <c r="E6" s="89" t="n">
        <v>216177</v>
      </c>
      <c r="F6" s="43" t="s">
        <v>279</v>
      </c>
      <c r="G6" s="43" t="s">
        <v>850</v>
      </c>
      <c r="H6" s="90" t="s">
        <v>851</v>
      </c>
    </row>
    <row r="7" customFormat="false" ht="15" hidden="false" customHeight="true" outlineLevel="0" collapsed="false">
      <c r="B7" s="47" t="n">
        <v>2</v>
      </c>
      <c r="C7" s="47" t="s">
        <v>280</v>
      </c>
      <c r="D7" s="48" t="n">
        <v>101</v>
      </c>
      <c r="E7" s="60" t="n">
        <v>204980</v>
      </c>
      <c r="F7" s="47" t="s">
        <v>281</v>
      </c>
      <c r="G7" s="47" t="s">
        <v>850</v>
      </c>
      <c r="H7" s="68" t="s">
        <v>852</v>
      </c>
    </row>
    <row r="8" customFormat="false" ht="15" hidden="false" customHeight="true" outlineLevel="0" collapsed="false">
      <c r="B8" s="43" t="n">
        <v>3</v>
      </c>
      <c r="C8" s="43" t="s">
        <v>282</v>
      </c>
      <c r="D8" s="44" t="n">
        <v>172</v>
      </c>
      <c r="E8" s="89" t="n">
        <v>188563</v>
      </c>
      <c r="F8" s="43" t="s">
        <v>283</v>
      </c>
      <c r="G8" s="43" t="s">
        <v>850</v>
      </c>
      <c r="H8" s="90" t="s">
        <v>853</v>
      </c>
    </row>
    <row r="9" customFormat="false" ht="15" hidden="false" customHeight="true" outlineLevel="0" collapsed="false">
      <c r="B9" s="47" t="n">
        <v>4</v>
      </c>
      <c r="C9" s="47" t="s">
        <v>284</v>
      </c>
      <c r="D9" s="48" t="n">
        <v>4</v>
      </c>
      <c r="E9" s="60" t="n">
        <v>67936</v>
      </c>
      <c r="F9" s="47" t="s">
        <v>285</v>
      </c>
      <c r="G9" s="47" t="s">
        <v>850</v>
      </c>
      <c r="H9" s="68"/>
    </row>
    <row r="10" customFormat="false" ht="15" hidden="false" customHeight="true" outlineLevel="0" collapsed="false">
      <c r="B10" s="43" t="n">
        <v>5</v>
      </c>
      <c r="C10" s="43" t="s">
        <v>286</v>
      </c>
      <c r="D10" s="44" t="n">
        <v>11</v>
      </c>
      <c r="E10" s="89" t="n">
        <v>47820</v>
      </c>
      <c r="F10" s="43" t="s">
        <v>287</v>
      </c>
      <c r="G10" s="43" t="s">
        <v>850</v>
      </c>
      <c r="H10" s="90"/>
    </row>
    <row r="11" customFormat="false" ht="15" hidden="false" customHeight="true" outlineLevel="0" collapsed="false">
      <c r="B11" s="47" t="n">
        <v>6</v>
      </c>
      <c r="C11" s="47" t="s">
        <v>288</v>
      </c>
      <c r="D11" s="48" t="n">
        <v>40</v>
      </c>
      <c r="E11" s="60" t="n">
        <v>23301</v>
      </c>
      <c r="F11" s="47" t="s">
        <v>289</v>
      </c>
      <c r="G11" s="47" t="s">
        <v>854</v>
      </c>
      <c r="H11" s="68" t="s">
        <v>855</v>
      </c>
    </row>
    <row r="12" customFormat="false" ht="15" hidden="false" customHeight="true" outlineLevel="0" collapsed="false">
      <c r="B12" s="43" t="n">
        <v>7</v>
      </c>
      <c r="C12" s="43" t="s">
        <v>290</v>
      </c>
      <c r="D12" s="44" t="n">
        <v>5</v>
      </c>
      <c r="E12" s="89" t="n">
        <v>15202</v>
      </c>
      <c r="F12" s="43" t="s">
        <v>291</v>
      </c>
      <c r="G12" s="43" t="s">
        <v>854</v>
      </c>
      <c r="H12" s="90" t="s">
        <v>856</v>
      </c>
    </row>
    <row r="13" customFormat="false" ht="15" hidden="false" customHeight="true" outlineLevel="0" collapsed="false">
      <c r="B13" s="47" t="n">
        <v>8</v>
      </c>
      <c r="C13" s="47" t="s">
        <v>292</v>
      </c>
      <c r="D13" s="48" t="n">
        <v>13</v>
      </c>
      <c r="E13" s="60" t="n">
        <v>8585</v>
      </c>
      <c r="F13" s="47" t="s">
        <v>268</v>
      </c>
      <c r="G13" s="47" t="s">
        <v>854</v>
      </c>
      <c r="H13" s="68"/>
    </row>
    <row r="14" customFormat="false" ht="15" hidden="false" customHeight="true" outlineLevel="0" collapsed="false">
      <c r="B14" s="43" t="n">
        <v>9</v>
      </c>
      <c r="C14" s="43" t="s">
        <v>293</v>
      </c>
      <c r="D14" s="44" t="n">
        <v>5</v>
      </c>
      <c r="E14" s="89" t="n">
        <v>4605</v>
      </c>
      <c r="F14" s="43" t="s">
        <v>294</v>
      </c>
      <c r="G14" s="43" t="s">
        <v>854</v>
      </c>
      <c r="H14" s="90" t="s">
        <v>856</v>
      </c>
    </row>
    <row r="15" customFormat="false" ht="15" hidden="false" customHeight="true" outlineLevel="0" collapsed="false">
      <c r="B15" s="47" t="n">
        <v>10</v>
      </c>
      <c r="C15" s="47" t="s">
        <v>295</v>
      </c>
      <c r="D15" s="48" t="n">
        <v>6</v>
      </c>
      <c r="E15" s="60" t="n">
        <v>3172</v>
      </c>
      <c r="F15" s="47" t="s">
        <v>296</v>
      </c>
      <c r="G15" s="47" t="s">
        <v>854</v>
      </c>
      <c r="H15" s="68"/>
    </row>
    <row r="16" customFormat="false" ht="15" hidden="false" customHeight="true" outlineLevel="0" collapsed="false">
      <c r="B16" s="43" t="n">
        <v>11</v>
      </c>
      <c r="C16" s="43" t="s">
        <v>297</v>
      </c>
      <c r="D16" s="44" t="n">
        <v>5</v>
      </c>
      <c r="E16" s="89" t="n">
        <v>2334</v>
      </c>
      <c r="F16" s="43" t="s">
        <v>271</v>
      </c>
      <c r="G16" s="43" t="s">
        <v>857</v>
      </c>
      <c r="H16" s="90"/>
    </row>
    <row r="17" customFormat="false" ht="15" hidden="false" customHeight="true" outlineLevel="0" collapsed="false">
      <c r="B17" s="47" t="n">
        <v>12</v>
      </c>
      <c r="C17" s="47" t="s">
        <v>298</v>
      </c>
      <c r="D17" s="48" t="n">
        <v>8</v>
      </c>
      <c r="E17" s="60" t="n">
        <v>2332</v>
      </c>
      <c r="F17" s="47" t="s">
        <v>271</v>
      </c>
      <c r="G17" s="47" t="s">
        <v>857</v>
      </c>
      <c r="H17" s="68" t="s">
        <v>853</v>
      </c>
    </row>
    <row r="18" customFormat="false" ht="15" hidden="false" customHeight="true" outlineLevel="0" collapsed="false">
      <c r="B18" s="43" t="n">
        <v>13</v>
      </c>
      <c r="C18" s="43" t="s">
        <v>299</v>
      </c>
      <c r="D18" s="44" t="n">
        <v>16</v>
      </c>
      <c r="E18" s="89" t="n">
        <v>2041</v>
      </c>
      <c r="F18" s="43" t="s">
        <v>271</v>
      </c>
      <c r="G18" s="43" t="s">
        <v>857</v>
      </c>
      <c r="H18" s="90"/>
    </row>
    <row r="19" customFormat="false" ht="15" hidden="false" customHeight="true" outlineLevel="0" collapsed="false">
      <c r="B19" s="47" t="n">
        <v>14</v>
      </c>
      <c r="C19" s="47" t="s">
        <v>300</v>
      </c>
      <c r="D19" s="48" t="n">
        <v>17</v>
      </c>
      <c r="E19" s="60" t="n">
        <v>1700</v>
      </c>
      <c r="F19" s="47" t="s">
        <v>301</v>
      </c>
      <c r="G19" s="47" t="s">
        <v>857</v>
      </c>
      <c r="H19" s="68"/>
    </row>
    <row r="20" customFormat="false" ht="15" hidden="false" customHeight="true" outlineLevel="0" collapsed="false">
      <c r="B20" s="43" t="n">
        <v>15</v>
      </c>
      <c r="C20" s="43" t="s">
        <v>302</v>
      </c>
      <c r="D20" s="44" t="n">
        <v>3</v>
      </c>
      <c r="E20" s="89" t="n">
        <v>1302</v>
      </c>
      <c r="F20" s="43" t="s">
        <v>301</v>
      </c>
      <c r="G20" s="43" t="s">
        <v>857</v>
      </c>
      <c r="H20" s="90"/>
    </row>
    <row r="21" customFormat="false" ht="15" hidden="false" customHeight="true" outlineLevel="0" collapsed="false">
      <c r="B21" s="47" t="n">
        <v>16</v>
      </c>
      <c r="C21" s="47" t="s">
        <v>303</v>
      </c>
      <c r="D21" s="48" t="n">
        <v>1</v>
      </c>
      <c r="E21" s="60" t="n">
        <v>945</v>
      </c>
      <c r="F21" s="47" t="s">
        <v>304</v>
      </c>
      <c r="G21" s="47" t="s">
        <v>857</v>
      </c>
      <c r="H21" s="68"/>
    </row>
    <row r="22" customFormat="false" ht="15" hidden="false" customHeight="true" outlineLevel="0" collapsed="false">
      <c r="B22" s="43" t="n">
        <v>17</v>
      </c>
      <c r="C22" s="43" t="s">
        <v>305</v>
      </c>
      <c r="D22" s="44" t="n">
        <v>4</v>
      </c>
      <c r="E22" s="89" t="n">
        <v>474</v>
      </c>
      <c r="F22" s="43" t="s">
        <v>304</v>
      </c>
      <c r="G22" s="43" t="s">
        <v>857</v>
      </c>
      <c r="H22" s="90"/>
    </row>
    <row r="23" customFormat="false" ht="15" hidden="false" customHeight="true" outlineLevel="0" collapsed="false">
      <c r="B23" s="47" t="n">
        <v>18</v>
      </c>
      <c r="C23" s="47" t="s">
        <v>306</v>
      </c>
      <c r="D23" s="48" t="n">
        <v>2</v>
      </c>
      <c r="E23" s="60" t="n">
        <v>458</v>
      </c>
      <c r="F23" s="47" t="s">
        <v>304</v>
      </c>
      <c r="G23" s="47" t="s">
        <v>857</v>
      </c>
      <c r="H23" s="68" t="s">
        <v>858</v>
      </c>
    </row>
    <row r="24" customFormat="false" ht="15" hidden="false" customHeight="true" outlineLevel="0" collapsed="false">
      <c r="B24" s="43" t="n">
        <v>19</v>
      </c>
      <c r="C24" s="43" t="s">
        <v>307</v>
      </c>
      <c r="D24" s="44" t="n">
        <v>5</v>
      </c>
      <c r="E24" s="89" t="n">
        <v>456</v>
      </c>
      <c r="F24" s="43" t="s">
        <v>304</v>
      </c>
      <c r="G24" s="43" t="s">
        <v>857</v>
      </c>
      <c r="H24" s="90"/>
    </row>
    <row r="25" customFormat="false" ht="15" hidden="false" customHeight="true" outlineLevel="0" collapsed="false">
      <c r="B25" s="47" t="n">
        <v>20</v>
      </c>
      <c r="C25" s="47" t="s">
        <v>308</v>
      </c>
      <c r="D25" s="48" t="n">
        <v>3</v>
      </c>
      <c r="E25" s="60" t="n">
        <v>304</v>
      </c>
      <c r="F25" s="47" t="s">
        <v>309</v>
      </c>
      <c r="G25" s="47" t="s">
        <v>857</v>
      </c>
      <c r="H25" s="68"/>
    </row>
    <row r="26" customFormat="false" ht="15" hidden="false" customHeight="true" outlineLevel="0" collapsed="false">
      <c r="B26" s="43" t="n">
        <v>21</v>
      </c>
      <c r="C26" s="43" t="s">
        <v>310</v>
      </c>
      <c r="D26" s="44" t="n">
        <v>3</v>
      </c>
      <c r="E26" s="89" t="n">
        <v>47</v>
      </c>
      <c r="F26" s="43" t="s">
        <v>309</v>
      </c>
      <c r="G26" s="43" t="s">
        <v>857</v>
      </c>
      <c r="H26" s="90" t="s">
        <v>853</v>
      </c>
    </row>
    <row r="27" customFormat="false" ht="15" hidden="false" customHeight="true" outlineLevel="0" collapsed="false">
      <c r="B27" s="50" t="s">
        <v>53</v>
      </c>
      <c r="C27" s="50" t="s">
        <v>859</v>
      </c>
      <c r="D27" s="52" t="n">
        <v>545</v>
      </c>
      <c r="E27" s="91" t="n">
        <v>792734</v>
      </c>
      <c r="F27" s="50" t="s">
        <v>258</v>
      </c>
      <c r="G27" s="51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2026-04-15T00:37:33Z</dcterms:created>
  <dc:creator>openpyxl</dc:creator>
  <dc:description/>
  <dc:language>en-US</dc:language>
  <cp:lastModifiedBy/>
  <dcterms:modified xsi:type="dcterms:W3CDTF">2026-04-26T01:40:16Z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