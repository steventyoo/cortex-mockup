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<sst xmlns="http://schemas.openxmlformats.org/spreadsheetml/2006/main" count="432" uniqueCount="221">
  <si>
    <t xml:space="preserve">Job #2108 · R&amp;G Apartments</t>
  </si>
  <si>
    <t xml:space="preserve">Cortex JCR Summary  •  Braseth Construction (Owner: TBD)</t>
  </si>
  <si>
    <t xml:space="preserve">PROJECT OVERVIEW</t>
  </si>
  <si>
    <t xml:space="preserve">Project Job #</t>
  </si>
  <si>
    <t xml:space="preserve">2108</t>
  </si>
  <si>
    <t xml:space="preserve">Project Name:</t>
  </si>
  <si>
    <t xml:space="preserve">R&amp;G Apartments</t>
  </si>
  <si>
    <t xml:space="preserve">General Contractor</t>
  </si>
  <si>
    <t xml:space="preserve">Braseth Construction (Owner: TBD)</t>
  </si>
  <si>
    <t xml:space="preserve">Location</t>
  </si>
  <si>
    <t xml:space="preserve">TBD</t>
  </si>
  <si>
    <t xml:space="preserve">Project Duration</t>
  </si>
  <si>
    <t xml:space="preserve">Q1 2027 (estimated) – TBD (Pre-construction — on hold)</t>
  </si>
  <si>
    <t xml:space="preserve">Status</t>
  </si>
  <si>
    <t xml:space="preserve">ON HOLD · Summer 2026?</t>
  </si>
  <si>
    <t xml:space="preserve">CONTRACT VALUE</t>
  </si>
  <si>
    <t xml:space="preserve">FORECAST NET PROFIT</t>
  </si>
  <si>
    <t xml:space="preserve">DIRECT COST</t>
  </si>
  <si>
    <t xml:space="preserve">LABOR HOURS</t>
  </si>
  <si>
    <t xml:space="preserve">$91,402</t>
  </si>
  <si>
    <t xml:space="preserve">$-25,760</t>
  </si>
  <si>
    <t xml:space="preserve">$117,162</t>
  </si>
  <si>
    <t xml:space="preserve">32</t>
  </si>
  <si>
    <t xml:space="preserve">$0 orig + $0 COs</t>
  </si>
  <si>
    <t xml:space="preserve">-28.2% margin</t>
  </si>
  <si>
    <t xml:space="preserve">128.2% of revenue</t>
  </si>
  <si>
    <t xml:space="preserve">2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</si>
  <si>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</si>
  <si>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</si>
  <si>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</si>
  <si>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</si>
  <si>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</si>
  <si>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</si>
  <si>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</si>
  <si>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</si>
  <si>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</si>
  <si>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</si>
  <si>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</si>
  <si>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</si>
  <si>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</si>
  <si>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Plumbing Units</t>
  </si>
  <si>
    <t xml:space="preserve">Total Fixtures</t>
  </si>
  <si>
    <t xml:space="preserve">Fixtures / Unit</t>
  </si>
  <si>
    <t xml:space="preserve">GC</t>
  </si>
  <si>
    <t xml:space="preserve">Braseth Construction</t>
  </si>
  <si>
    <t xml:space="preserve">Owner</t>
  </si>
  <si>
    <t xml:space="preserve">Insurance</t>
  </si>
  <si>
    <t xml:space="preserve">Standard COI</t>
  </si>
  <si>
    <t xml:space="preserve">Duration</t>
  </si>
  <si>
    <t xml:space="preserve">Pre-construction — on hold</t>
  </si>
  <si>
    <t xml:space="preserve">Permit</t>
  </si>
  <si>
    <t xml:space="preserve">Pre-permit</t>
  </si>
  <si>
    <t xml:space="preserve">NARRATIVE</t>
  </si>
  <si>
    <t xml:space="preserve">Pre-construction project — on hold pending Braseth go-ahead. OWP has sunk $117k of design + takeoff cost (Franklin Engineering $90.6k MEP design fee + $6.4k permit + $2.1k takeoff labor + $922 equipment + $1.2k burden). Only $91.4k has been billed. Carrying loss of $25.8k if project doesn't activate. Reach out to Braseth PM to confirm summer 2026 start before Q4 2026.</t>
  </si>
  <si>
    <t xml:space="preserve">SOURCES</t>
  </si>
  <si>
    <t xml:space="preserve">Job #2108 — R&amp;G Apartments  •  GC: Braseth Construction  •  Status: ON HOLD · Summer 2026?</t>
  </si>
  <si>
    <t xml:space="preserve">Canonical source: 2108_data.json (Sage Timberline JDR · Apr 3 2026 run)</t>
  </si>
  <si>
    <t xml:space="preserve">Dashboard arrays: 2108_dashboard_arrays.json (mirrors index.html PROJECTS['2108'])</t>
  </si>
  <si>
    <t xml:space="preserve">Project profile: 263 units · TBD · Pre-construction — on hold</t>
  </si>
  <si>
    <t xml:space="preserve">Design team: Franklin Engineering (MEP per AP $90.6k design fee)</t>
  </si>
  <si>
    <t xml:space="preserve">Contract: Not yet executed</t>
  </si>
  <si>
    <t xml:space="preserve">Billing: No pay apps filed (only $91k design billing)</t>
  </si>
  <si>
    <t xml:space="preserve">Permit: Pre-permit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</si>
  <si>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</si>
  <si>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</si>
  <si>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</si>
  <si>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</si>
  <si>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</si>
  <si>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</si>
  <si>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</si>
  <si>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101</t>
  </si>
  <si>
    <t xml:space="preserve">Takeoff &amp; Purchase Labor</t>
  </si>
  <si>
    <t xml:space="preserve">OVERHEAD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</si>
  <si>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</si>
  <si>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</si>
  <si>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</si>
  <si>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</si>
  <si>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</si>
  <si>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</si>
  <si>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</si>
  <si>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</si>
  <si>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</si>
  <si>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</si>
  <si>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</si>
  <si>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TOTAL Direct Cost</t>
  </si>
  <si>
    <t xml:space="preserve">Cost Breakdown — Category Deep Dive</t>
  </si>
  <si>
    <t xml:space="preserve">A. CATEGORY SHARE OF DIRECT COST</t>
  </si>
  <si>
    <t xml:space="preserve"># Codes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</si>
  <si>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</si>
  <si>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</si>
  <si>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</si>
  <si>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</si>
  <si>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</si>
  <si>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</si>
  <si>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</si>
  <si>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0 material cost codes  •  $0 JDR material  •  3 AP vendors</t>
  </si>
  <si>
    <t xml:space="preserve">A. MATERIAL BY COST CODE</t>
  </si>
  <si>
    <t xml:space="preserve">% of Mat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</si>
  <si>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</si>
  <si>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</si>
  <si>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</si>
  <si>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</si>
  <si>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</si>
  <si>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Franklin Engineering</t>
  </si>
  <si>
    <t xml:space="preserve">Bank of America CC</t>
  </si>
  <si>
    <t xml:space="preserve">Herc Rentals, Inc.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</si>
  <si>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</si>
  <si>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</si>
  <si>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</si>
  <si>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</si>
  <si>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</si>
  <si>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</si>
  <si>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Gerard, Jeffrey S</t>
  </si>
  <si>
    <t xml:space="preserve">Senior</t>
  </si>
  <si>
    <t xml:space="preserve">Gerard, Jordan E</t>
  </si>
  <si>
    <t xml:space="preserve">Crew Analytics — Tier Distribution &amp; Wages</t>
  </si>
  <si>
    <t xml:space="preserve">A. TIER DISTRIBUTION</t>
  </si>
  <si>
    <t xml:space="preserve"># Workers</t>
  </si>
  <si>
    <t xml:space="preserve">% of Hours</t>
  </si>
  <si>
    <t xml:space="preserve">100.0%</t>
  </si>
  <si>
    <t xml:space="preserve">B. WAGE STATISTICS</t>
  </si>
  <si>
    <t xml:space="preserve">Blended labor rate ($/hr)</t>
  </si>
  <si>
    <t xml:space="preserve">Foreman labor rate ($/hr)</t>
  </si>
  <si>
    <t xml:space="preserve">Burden multiplier</t>
  </si>
  <si>
    <t xml:space="preserve">Min wage ($/hr)</t>
  </si>
  <si>
    <t xml:space="preserve">Max wage ($/hr)</t>
  </si>
  <si>
    <t xml:space="preserve">Avg hours per worker</t>
  </si>
  <si>
    <t xml:space="preserve">Productivity — Phases by Hours</t>
  </si>
  <si>
    <t xml:space="preserve">Phase</t>
  </si>
  <si>
    <t xml:space="preserve">% of Total</t>
  </si>
  <si>
    <t xml:space="preserve">Hours/Unit</t>
  </si>
  <si>
    <t xml:space="preserve">Takeoff &amp; Purchasing</t>
  </si>
  <si>
    <t xml:space="preserve">PRODUCTIVITY RATIOS</t>
  </si>
  <si>
    <t xml:space="preserve">Revenue per unit</t>
  </si>
  <si>
    <t xml:space="preserve">$348</t>
  </si>
  <si>
    <t xml:space="preserve">Direct cost per unit</t>
  </si>
  <si>
    <t xml:space="preserve">$445</t>
  </si>
  <si>
    <t xml:space="preserve">Hours per unit</t>
  </si>
  <si>
    <t xml:space="preserve">0.12</t>
  </si>
  <si>
    <t xml:space="preserve">Revenue per hour</t>
  </si>
  <si>
    <t xml:space="preserve">$2,812</t>
  </si>
  <si>
    <t xml:space="preserve">Profit per hour</t>
  </si>
  <si>
    <t xml:space="preserve">$-793</t>
  </si>
  <si>
    <t xml:space="preserve">PO Commitments — Vendor Concentration</t>
  </si>
  <si>
    <t xml:space="preserve">Per-PO records live in GDrive. This tab summarizes commitments by vendor concentration.</t>
  </si>
  <si>
    <t xml:space="preserve">#</t>
  </si>
  <si>
    <t xml:space="preserve">92.5%</t>
  </si>
  <si>
    <t xml:space="preserve">Top 5</t>
  </si>
  <si>
    <t xml:space="preserve">6.5%</t>
  </si>
  <si>
    <t xml:space="preserve">0.9%</t>
  </si>
  <si>
    <t xml:space="preserve">Billing &amp; Statement of Values</t>
  </si>
  <si>
    <t xml:space="preserve">STATEMENT OF VALUES — SUMMARY</t>
  </si>
  <si>
    <t xml:space="preserve">Original Contract</t>
  </si>
  <si>
    <t xml:space="preserve">$0</t>
  </si>
  <si>
    <t xml:space="preserve">Net Change Orders</t>
  </si>
  <si>
    <t xml:space="preserve">Final Contract</t>
  </si>
  <si>
    <t xml:space="preserve">Retainage Held</t>
  </si>
  <si>
    <t xml:space="preserve">Net Paid to OWP</t>
  </si>
  <si>
    <t xml:space="preserve">PAY APPLICATION HISTORY</t>
  </si>
  <si>
    <t xml:space="preserve">No pay-app history in dashboard. Source: Sage AR module aggregate only.</t>
  </si>
  <si>
    <t xml:space="preserve">Key Insights — 10 Themes</t>
  </si>
  <si>
    <t xml:space="preserve">Theme</t>
  </si>
  <si>
    <t xml:space="preserve">Insight</t>
  </si>
  <si>
    <t xml:space="preserve">MARGIN PROFILE</t>
  </si>
  <si>
    <t xml:space="preserve">Net profit of $-117,162 on $0 revenue = 0.0% gross margin. Direct cost $117,162 absorbs 100.0% of revenue.</t>
  </si>
  <si>
    <t xml:space="preserve">VENDOR CONCENTRATION</t>
  </si>
  <si>
    <t xml:space="preserve">Franklin Engineering alone = $90,629 (92.5% of all AP) across 9 invoices. Total 3 AP vendors, $97,953 total AP spend.</t>
  </si>
  <si>
    <t xml:space="preserve">CREW PROFILE</t>
  </si>
  <si>
    <t xml:space="preserve">2 workers for 32 hours = 16 avg hrs/worker. Top 3 workers logged 32 hrs combined (100% of all labor).</t>
  </si>
  <si>
    <t xml:space="preserve">ROUGHIN DOMINANCE</t>
  </si>
  <si>
    <t xml:space="preserve">Code 120 Roughin Labor = 0 hrs (0% of all labor) and $0 actual. Code 230 Finish Material = $0.</t>
  </si>
  <si>
    <t xml:space="preserve">BUDGET DELIVERY</t>
  </si>
  <si>
    <t xml:space="preserve">Revised expense budget was $0; actual direct cost $117,162 → $-117,162 variance (+0.0%).</t>
  </si>
  <si>
    <t xml:space="preserve">CONTRACT GROWTH</t>
  </si>
  <si>
    <t xml:space="preserve">Contract grew from $0 to $0 — net +$0 (+0.0%). Retainage of $0 (0%) released.</t>
  </si>
  <si>
    <t xml:space="preserve">BURDEN RATIO</t>
  </si>
  <si>
    <t xml:space="preserve">Burden codes 995 + 998 = $1,216 on $2,134 labor base = 57.0%. Outside OWP's typical 48–50% labor burden.</t>
  </si>
  <si>
    <t xml:space="preserve">PROJECT SCALE</t>
  </si>
  <si>
    <t xml:space="preserve">263 units · — fixtures. Revenue/unit $0, hours/unit 0.1, profit/unit $-445.</t>
  </si>
  <si>
    <t xml:space="preserve">PRODUCTIVITY</t>
  </si>
  <si>
    <t xml:space="preserve">Blended labor rate $65.66/hr. Revenue/hour $0. Profit/hour $-3605.</t>
  </si>
  <si>
    <t xml:space="preserve">CO PROFILE</t>
  </si>
  <si>
    <t xml:space="preserve">0 executed COs, 0 CORs. Net CO impact $0 (+0.0%).</t>
  </si>
  <si>
    <t xml:space="preserve">Benchmark KPIs — Industry Reference Points</t>
  </si>
  <si>
    <t xml:space="preserve">KPI</t>
  </si>
  <si>
    <t xml:space="preserve">This Project</t>
  </si>
  <si>
    <t xml:space="preserve">OWP Median</t>
  </si>
  <si>
    <t xml:space="preserve">Industry Reference</t>
  </si>
  <si>
    <t xml:space="preserve">Gross Margin</t>
  </si>
  <si>
    <t xml:space="preserve">-28.2%</t>
  </si>
  <si>
    <t xml:space="preserve">32-38%</t>
  </si>
  <si>
    <t xml:space="preserve">30-40%</t>
  </si>
  <si>
    <t xml:space="preserve">INFO</t>
  </si>
  <si>
    <t xml:space="preserve">$10-15k</t>
  </si>
  <si>
    <t xml:space="preserve">$8-20k</t>
  </si>
  <si>
    <t xml:space="preserve">$7-10k</t>
  </si>
  <si>
    <t xml:space="preserve">$6-15k</t>
  </si>
  <si>
    <t xml:space="preserve">Top vendor % of AP</t>
  </si>
  <si>
    <t xml:space="preserve">Pending vendor agg</t>
  </si>
  <si>
    <t xml:space="preserve">&lt;35%</t>
  </si>
  <si>
    <t xml:space="preserve">&lt;40%</t>
  </si>
  <si>
    <t xml:space="preserve">Burden ratio</t>
  </si>
  <si>
    <t xml:space="preserve">57%</t>
  </si>
  <si>
    <t xml:space="preserve">48-50%</t>
  </si>
  <si>
    <t xml:space="preserve">40-55%</t>
  </si>
  <si>
    <t xml:space="preserve">WATCH</t>
  </si>
  <si>
    <t xml:space="preserve">Reconciliation — Data Source Cross-Check</t>
  </si>
  <si>
    <t xml:space="preserve">Check</t>
  </si>
  <si>
    <t xml:space="preserve">Expected</t>
  </si>
  <si>
    <t xml:space="preserve">Delta</t>
  </si>
  <si>
    <t xml:space="preserve">Contract: hero block vs JDR</t>
  </si>
  <si>
    <t xml:space="preserve">—</t>
  </si>
  <si>
    <t xml:space="preserve">OK</t>
  </si>
  <si>
    <t xml:space="preserve">Billed: hero block vs JDR</t>
  </si>
  <si>
    <t xml:space="preserve">Direct cost: meta vs costCats</t>
  </si>
  <si>
    <t xml:space="preserve">Worker count: dashboard vs meta</t>
  </si>
  <si>
    <t xml:space="preserve">AP vendor count vs JDR</t>
  </si>
  <si>
    <t xml:space="preserve">Source aggregate</t>
  </si>
  <si>
    <t xml:space="preserve">Vendor Analysis</t>
  </si>
  <si>
    <t xml:space="preserve">Notes</t>
  </si>
  <si>
    <t xml:space="preserve">Concentration flag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</si>
</sst>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9"/>
      <name val="Inter"/>
      <family val="0"/>
      <charset val="1"/>
    </font>
    <font>
      <i val="true"/>
      <sz val="9"/>
      <color rgb="FF787774"/>
      <name val="Inter"/>
      <family val="0"/>
      <charset val="1"/>
    </font>
    <font>
      <b val="true"/>
      <sz val="11"/>
      <color rgb="FF191919"/>
      <name val="Inter"/>
      <family val="0"/>
      <charset val="1"/>
    </font>
    <font>
      <b val="true"/>
      <sz val="10"/>
      <color rgb="FF191919"/>
      <name val="Inter"/>
      <family val="0"/>
      <charset val="1"/>
    </font>
    <font>
      <sz val="10"/>
      <color rgb="FF191919"/>
      <name val="Inter"/>
      <family val="0"/>
      <charset val="1"/>
    </font>
    <font>
      <sz val="9"/>
      <color rgb="FF787774"/>
      <name val="Inter"/>
      <family val="0"/>
      <charset val="1"/>
    </font>
    <font>
      <b val="true"/>
      <sz val="22"/>
      <color rgb="FF191919"/>
      <name val="Inter"/>
      <family val="0"/>
      <charset val="1"/>
    </font>
    <font>
      <b val="true"/>
      <sz val="10"/>
      <color rgb="FFFFFFFF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F1EF"/>
        <bgColor rgb="FFFBF7F0"/>
      </patternFill>
    </fill>
    <fill>
      <patternFill patternType="solid">
        <fgColor rgb="FFFBF7F0"/>
        <bgColor rgb="FFF1F1EF"/>
      </patternFill>
    </fill>
    <fill>
      <patternFill patternType="solid">
        <fgColor rgb="FF37352F"/>
        <bgColor rgb="FF333300"/>
      </patternFill>
    </fill>
    <fill>
      <patternFill patternType="solid">
        <fgColor rgb="FFFCF1CD"/>
        <bgColor rgb="FFFBF7F0"/>
      </patternFill>
    </fill>
    <fill>
      <patternFill patternType="solid">
        <fgColor rgb="FFDDEDEA"/>
        <bgColor rgb="FFE0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FCF1CD"/>
      <rgbColor rgb="FFDDEDEA"/>
      <rgbColor rgb="FF660066"/>
      <rgbColor rgb="FFFF8080"/>
      <rgbColor rgb="FF0066CC"/>
      <rgbColor rgb="FFE0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F"/>
      <rgbColor rgb="FFFBF7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  <c r="D6" s="6"/>
      <c r="E6" s="6"/>
      <c r="F6" s="6"/>
      <c r="G6" s="6"/>
      <c r="H6" s="6"/>
    </row>
    <row r="7" customFormat="false" ht="15" hidden="false" customHeight="false" outlineLevel="0" collapsed="false">
      <c r="B7" s="5" t="s">
        <v>5</v>
      </c>
      <c r="C7" s="6" t="s">
        <v>6</v>
      </c>
      <c r="D7" s="6"/>
      <c r="E7" s="6"/>
      <c r="F7" s="6"/>
      <c r="G7" s="6"/>
      <c r="H7" s="6"/>
    </row>
    <row r="8" customFormat="false" ht="15" hidden="false" customHeight="false" outlineLevel="0" collapsed="false">
      <c r="B8" s="5" t="s">
        <v>7</v>
      </c>
      <c r="C8" s="6" t="s">
        <v>8</v>
      </c>
      <c r="D8" s="6"/>
      <c r="E8" s="6"/>
      <c r="F8" s="6"/>
      <c r="G8" s="6"/>
      <c r="H8" s="6"/>
    </row>
    <row r="9" customFormat="false" ht="15" hidden="false" customHeight="false" outlineLevel="0" collapsed="false">
      <c r="B9" s="5" t="s">
        <v>9</v>
      </c>
      <c r="C9" s="6" t="s">
        <v>10</v>
      </c>
      <c r="D9" s="6"/>
      <c r="E9" s="6"/>
      <c r="F9" s="6"/>
      <c r="G9" s="6"/>
      <c r="H9" s="6"/>
    </row>
    <row r="10" customFormat="false" ht="15" hidden="false" customHeight="false" outlineLevel="0" collapsed="false">
      <c r="B10" s="5" t="s">
        <v>11</v>
      </c>
      <c r="C10" s="6" t="s">
        <v>12</v>
      </c>
      <c r="D10" s="6"/>
      <c r="E10" s="6"/>
      <c r="F10" s="6"/>
      <c r="G10" s="6"/>
      <c r="H10" s="6"/>
    </row>
    <row r="11" customFormat="false" ht="15" hidden="false" customHeight="false" outlineLevel="0" collapsed="false">
      <c r="B11" s="5" t="s">
        <v>13</v>
      </c>
      <c r="C11" s="6" t="s">
        <v>14</v>
      </c>
      <c r="D11" s="6"/>
      <c r="E11" s="6"/>
      <c r="F11" s="6"/>
      <c r="G11" s="6"/>
      <c r="H11" s="6"/>
    </row>
    <row r="13" customFormat="false" ht="15" hidden="false" customHeight="false" outlineLevel="0" collapsed="false">
      <c r="B13" s="7" t="s">
        <v>15</v>
      </c>
      <c r="C13" s="7"/>
      <c r="D13" s="7" t="s">
        <v>16</v>
      </c>
      <c r="E13" s="7"/>
      <c r="F13" s="7" t="s">
        <v>17</v>
      </c>
      <c r="G13" s="7"/>
      <c r="H13" s="7" t="s">
        <v>18</v>
      </c>
      <c r="I13" s="7"/>
    </row>
    <row r="14" customFormat="false" ht="26.8" hidden="false" customHeight="false" outlineLevel="0" collapsed="false">
      <c r="B14" s="8" t="s">
        <v>19</v>
      </c>
      <c r="C14" s="8"/>
      <c r="D14" s="8" t="s">
        <v>20</v>
      </c>
      <c r="E14" s="8"/>
      <c r="F14" s="8" t="s">
        <v>21</v>
      </c>
      <c r="G14" s="8"/>
      <c r="H14" s="8" t="s">
        <v>22</v>
      </c>
      <c r="I14" s="8"/>
    </row>
    <row r="15" customFormat="false" ht="15" hidden="false" customHeight="false" outlineLevel="0" collapsed="false">
      <c r="B15" s="9" t="s">
        <v>23</v>
      </c>
      <c r="C15" s="9"/>
      <c r="D15" s="9" t="s">
        <v>24</v>
      </c>
      <c r="E15" s="9"/>
      <c r="F15" s="9" t="s">
        <v>25</v>
      </c>
      <c r="G15" s="9"/>
      <c r="H15" s="9" t="s">
        <v>26</v>
      </c>
      <c r="I15" s="9"/>
    </row>
    <row r="18" customFormat="false" ht="15" hidden="false" customHeight="false" outlineLevel="0" collapsed="false">
      <c r="B18" s="4" t="s">
        <v>27</v>
      </c>
    </row>
    <row r="19" customFormat="false" ht="15" hidden="false" customHeight="fals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false" outlineLevel="0" collapsed="false">
      <c r="B20" s="11" t="s">
        <v>34</v>
      </c>
      <c r="C20" s="11" t="n">
        <v>0</v>
      </c>
      <c r="D20" s="11" t="n">
        <v>2134</v>
      </c>
      <c r="E20" s="11" t="n">
        <f aca="false">C20-D20</f>
        <v>-2134</v>
      </c>
      <c r="F20" s="11" t="n">
        <f aca="false">IF(C20=0,0,D20/C20)</f>
        <v>0</v>
      </c>
      <c r="G20" s="11" t="n">
        <f aca="false">IF($D$24=0,0,D20/$D$24)</f>
        <v>0.0182140967207798</v>
      </c>
    </row>
    <row r="21" customFormat="false" ht="15" hidden="false" customHeight="false" outlineLevel="0" collapsed="false">
      <c r="B21" s="11" t="s">
        <v>35</v>
      </c>
      <c r="C21" s="11" t="n">
        <v>0</v>
      </c>
      <c r="D21" s="11" t="n">
        <v>0</v>
      </c>
      <c r="E21" s="11" t="n">
        <f aca="false">C21-D21</f>
        <v>0</v>
      </c>
      <c r="F21" s="11" t="n">
        <f aca="false">IF(C21=0,0,D21/C21)</f>
        <v>0</v>
      </c>
      <c r="G21" s="11" t="n">
        <f aca="false">IF($D$24=0,0,D21/$D$24)</f>
        <v>0</v>
      </c>
    </row>
    <row r="22" customFormat="false" ht="15" hidden="false" customHeight="false" outlineLevel="0" collapsed="false">
      <c r="B22" s="11" t="s">
        <v>36</v>
      </c>
      <c r="C22" s="11" t="n">
        <v>0</v>
      </c>
      <c r="D22" s="11" t="n">
        <v>113812</v>
      </c>
      <c r="E22" s="11" t="n">
        <f aca="false">C22-D22</f>
        <v>-113812</v>
      </c>
      <c r="F22" s="11" t="n">
        <f aca="false">IF(C22=0,0,D22/C22)</f>
        <v>0</v>
      </c>
      <c r="G22" s="11" t="n">
        <f aca="false">IF($D$24=0,0,D22/$D$24)</f>
        <v>0.9714071115208</v>
      </c>
    </row>
    <row r="23" customFormat="false" ht="15" hidden="false" customHeight="false" outlineLevel="0" collapsed="false">
      <c r="B23" s="11" t="s">
        <v>37</v>
      </c>
      <c r="C23" s="11" t="n">
        <v>0</v>
      </c>
      <c r="D23" s="11" t="n">
        <v>1216</v>
      </c>
      <c r="E23" s="11" t="n">
        <f aca="false">C23-D23</f>
        <v>-1216</v>
      </c>
      <c r="F23" s="11" t="n">
        <f aca="false">IF(C23=0,0,D23/C23)</f>
        <v>0</v>
      </c>
      <c r="G23" s="11" t="n">
        <f aca="false">IF($D$24=0,0,D23/$D$24)</f>
        <v>0.01037879175842</v>
      </c>
    </row>
    <row r="24" customFormat="false" ht="15" hidden="false" customHeight="false" outlineLevel="0" collapsed="false">
      <c r="B24" s="5" t="s">
        <v>38</v>
      </c>
      <c r="C24" s="5" t="n">
        <f aca="false">SUM(C20:C23)</f>
        <v>0</v>
      </c>
      <c r="D24" s="5" t="n">
        <f aca="false">SUM(D20:D23)</f>
        <v>117162</v>
      </c>
      <c r="E24" s="5" t="n">
        <f aca="false">C24-D24</f>
        <v>-117162</v>
      </c>
      <c r="F24" s="5" t="n">
        <f aca="false">IF(C24=0,0,D24/C24)</f>
        <v>0</v>
      </c>
      <c r="G24" s="5" t="n">
        <v>1</v>
      </c>
    </row>
    <row r="27" customFormat="false" ht="15" hidden="false" customHeight="false" outlineLevel="0" collapsed="false">
      <c r="B27" s="4" t="s">
        <v>39</v>
      </c>
    </row>
    <row r="28" customFormat="false" ht="15" hidden="false" customHeight="false" outlineLevel="0" collapsed="false">
      <c r="B28" s="5" t="s">
        <v>40</v>
      </c>
      <c r="C28" s="11" t="n">
        <v>263</v>
      </c>
      <c r="D28" s="5" t="s">
        <v>41</v>
      </c>
      <c r="E28" s="11" t="s">
        <v>10</v>
      </c>
      <c r="F28" s="5" t="s">
        <v>42</v>
      </c>
      <c r="G28" s="11" t="s">
        <v>10</v>
      </c>
    </row>
    <row r="29" customFormat="false" ht="15" hidden="false" customHeight="false" outlineLevel="0" collapsed="false">
      <c r="B29" s="5" t="s">
        <v>43</v>
      </c>
      <c r="C29" s="11" t="s">
        <v>44</v>
      </c>
      <c r="D29" s="5" t="s">
        <v>45</v>
      </c>
      <c r="E29" s="11" t="s">
        <v>10</v>
      </c>
      <c r="F29" s="5" t="s">
        <v>46</v>
      </c>
      <c r="G29" s="11" t="s">
        <v>47</v>
      </c>
    </row>
    <row r="30" customFormat="false" ht="15" hidden="false" customHeight="false" outlineLevel="0" collapsed="false">
      <c r="B30" s="5" t="s">
        <v>13</v>
      </c>
      <c r="C30" s="11" t="s">
        <v>14</v>
      </c>
      <c r="D30" s="5" t="s">
        <v>48</v>
      </c>
      <c r="E30" s="11" t="s">
        <v>49</v>
      </c>
      <c r="F30" s="5" t="s">
        <v>50</v>
      </c>
      <c r="G30" s="11" t="s">
        <v>51</v>
      </c>
    </row>
    <row r="33" customFormat="false" ht="15" hidden="false" customHeight="false" outlineLevel="0" collapsed="false">
      <c r="B33" s="4" t="s">
        <v>52</v>
      </c>
    </row>
    <row r="34" customFormat="false" ht="79.5" hidden="false" customHeight="true" outlineLevel="0" collapsed="false">
      <c r="B34" s="12" t="s">
        <v>53</v>
      </c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B39" s="12"/>
      <c r="C39" s="12"/>
      <c r="D39" s="12"/>
      <c r="E39" s="12"/>
      <c r="F39" s="12"/>
      <c r="G39" s="12"/>
      <c r="H39" s="12"/>
    </row>
    <row r="41" customFormat="false" ht="15" hidden="false" customHeight="false" outlineLevel="0" collapsed="false">
      <c r="B41" s="4" t="s">
        <v>54</v>
      </c>
    </row>
    <row r="42" customFormat="false" ht="15" hidden="false" customHeight="false" outlineLevel="0" collapsed="false">
      <c r="B42" s="3" t="s">
        <v>55</v>
      </c>
    </row>
    <row r="43" customFormat="false" ht="15" hidden="false" customHeight="false" outlineLevel="0" collapsed="false">
      <c r="B43" s="3" t="s">
        <v>56</v>
      </c>
    </row>
    <row r="44" customFormat="false" ht="15" hidden="false" customHeight="false" outlineLevel="0" collapsed="false">
      <c r="B44" s="3" t="s">
        <v>57</v>
      </c>
    </row>
    <row r="45" customFormat="false" ht="15" hidden="false" customHeight="false" outlineLevel="0" collapsed="false">
      <c r="B45" s="3" t="s">
        <v>58</v>
      </c>
    </row>
    <row r="46" customFormat="false" ht="15" hidden="false" customHeight="false" outlineLevel="0" collapsed="false">
      <c r="B46" s="3" t="s">
        <v>59</v>
      </c>
    </row>
    <row r="47" customFormat="false" ht="15" hidden="false" customHeight="false" outlineLevel="0" collapsed="false">
      <c r="B47" s="3" t="s">
        <v>60</v>
      </c>
    </row>
    <row r="48" customFormat="false" ht="15" hidden="false" customHeight="false" outlineLevel="0" collapsed="false">
      <c r="B48" s="3" t="s">
        <v>61</v>
      </c>
    </row>
    <row r="49" customFormat="false" ht="15" hidden="false" customHeight="false" outlineLevel="0" collapsed="false">
      <c r="B49" s="3" t="s">
        <v>62</v>
      </c>
    </row>
  </sheetData>
  <mergeCells count="19">
    <mergeCell ref="C6:H6"/>
    <mergeCell ref="C7:H7"/>
    <mergeCell ref="C8:H8"/>
    <mergeCell ref="C9:H9"/>
    <mergeCell ref="C10:H10"/>
    <mergeCell ref="C11:H11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7" min="4" style="1" width="13"/>
    <col collapsed="false" customWidth="true" hidden="false" outlineLevel="0" max="8" min="8" style="1" width="10"/>
  </cols>
  <sheetData>
    <row r="2" customFormat="false" ht="22.05" hidden="false" customHeight="false" outlineLevel="0" collapsed="false">
      <c r="B2" s="2" t="s">
        <v>63</v>
      </c>
    </row>
    <row r="4" customFormat="false" ht="15" hidden="false" customHeight="false" outlineLevel="0" collapsed="false">
      <c r="B4" s="10" t="s">
        <v>64</v>
      </c>
      <c r="C4" s="10" t="s">
        <v>65</v>
      </c>
      <c r="D4" s="10" t="s">
        <v>66</v>
      </c>
      <c r="E4" s="10" t="s">
        <v>67</v>
      </c>
      <c r="F4" s="10" t="s">
        <v>30</v>
      </c>
      <c r="G4" s="10" t="s">
        <v>31</v>
      </c>
      <c r="H4" s="10" t="s">
        <v>68</v>
      </c>
    </row>
    <row r="5" customFormat="false" ht="15" hidden="false" customHeight="false" outlineLevel="0" collapsed="false">
      <c r="B5" s="13" t="s">
        <v>69</v>
      </c>
    </row>
    <row r="6" customFormat="false" ht="15" hidden="false" customHeight="false" outlineLevel="0" collapsed="false">
      <c r="B6" s="11" t="s">
        <v>70</v>
      </c>
      <c r="C6" s="11" t="s">
        <v>71</v>
      </c>
      <c r="D6" s="11" t="n">
        <v>0</v>
      </c>
      <c r="E6" s="11" t="n">
        <v>0</v>
      </c>
      <c r="F6" s="11" t="n">
        <v>2134</v>
      </c>
      <c r="G6" s="11" t="n">
        <f aca="false">E6-F6</f>
        <v>-2134</v>
      </c>
      <c r="H6" s="11" t="n">
        <f aca="false">IF(E6=0,0,F6/E6)</f>
        <v>0</v>
      </c>
    </row>
    <row r="7" customFormat="false" ht="15" hidden="false" customHeight="false" outlineLevel="0" collapsed="false">
      <c r="B7" s="13" t="s">
        <v>72</v>
      </c>
    </row>
    <row r="8" customFormat="false" ht="15" hidden="false" customHeight="false" outlineLevel="0" collapsed="false">
      <c r="B8" s="11" t="s">
        <v>73</v>
      </c>
      <c r="C8" s="11" t="s">
        <v>74</v>
      </c>
      <c r="D8" s="11" t="n">
        <v>0</v>
      </c>
      <c r="E8" s="11" t="n">
        <v>0</v>
      </c>
      <c r="F8" s="11" t="n">
        <v>106488</v>
      </c>
      <c r="G8" s="11" t="n">
        <f aca="false">E8-F8</f>
        <v>-106488</v>
      </c>
      <c r="H8" s="11" t="n">
        <f aca="false">IF(E8=0,0,F8/E8)</f>
        <v>0</v>
      </c>
    </row>
    <row r="9" customFormat="false" ht="15" hidden="false" customHeight="false" outlineLevel="0" collapsed="false">
      <c r="B9" s="11" t="s">
        <v>75</v>
      </c>
      <c r="C9" s="11" t="s">
        <v>76</v>
      </c>
      <c r="D9" s="11" t="n">
        <v>0</v>
      </c>
      <c r="E9" s="11" t="n">
        <v>0</v>
      </c>
      <c r="F9" s="11" t="n">
        <v>922</v>
      </c>
      <c r="G9" s="11" t="n">
        <f aca="false">E9-F9</f>
        <v>-922</v>
      </c>
      <c r="H9" s="11" t="n">
        <f aca="false">IF(E9=0,0,F9/E9)</f>
        <v>0</v>
      </c>
    </row>
    <row r="10" customFormat="false" ht="15" hidden="false" customHeight="false" outlineLevel="0" collapsed="false">
      <c r="B10" s="11" t="s">
        <v>77</v>
      </c>
      <c r="C10" s="11" t="s">
        <v>78</v>
      </c>
      <c r="D10" s="11" t="n">
        <v>0</v>
      </c>
      <c r="E10" s="11" t="n">
        <v>0</v>
      </c>
      <c r="F10" s="11" t="n">
        <v>6402</v>
      </c>
      <c r="G10" s="11" t="n">
        <f aca="false">E10-F10</f>
        <v>-6402</v>
      </c>
      <c r="H10" s="11" t="n">
        <f aca="false">IF(E10=0,0,F10/E10)</f>
        <v>0</v>
      </c>
    </row>
    <row r="11" customFormat="false" ht="15" hidden="false" customHeight="false" outlineLevel="0" collapsed="false">
      <c r="B11" s="13" t="s">
        <v>79</v>
      </c>
    </row>
    <row r="12" customFormat="false" ht="15" hidden="false" customHeight="false" outlineLevel="0" collapsed="false">
      <c r="B12" s="11" t="s">
        <v>80</v>
      </c>
      <c r="C12" s="11" t="s">
        <v>81</v>
      </c>
      <c r="D12" s="11" t="n">
        <v>0</v>
      </c>
      <c r="E12" s="11" t="n">
        <v>0</v>
      </c>
      <c r="F12" s="11" t="n">
        <v>1052</v>
      </c>
      <c r="G12" s="11" t="n">
        <f aca="false">E12-F12</f>
        <v>-1052</v>
      </c>
      <c r="H12" s="11" t="n">
        <f aca="false">IF(E12=0,0,F12/E12)</f>
        <v>0</v>
      </c>
    </row>
    <row r="13" customFormat="false" ht="15" hidden="false" customHeight="false" outlineLevel="0" collapsed="false">
      <c r="B13" s="11" t="s">
        <v>82</v>
      </c>
      <c r="C13" s="11" t="s">
        <v>83</v>
      </c>
      <c r="D13" s="11" t="n">
        <v>0</v>
      </c>
      <c r="E13" s="11" t="n">
        <v>0</v>
      </c>
      <c r="F13" s="11" t="n">
        <v>163</v>
      </c>
      <c r="G13" s="11" t="n">
        <f aca="false">E13-F13</f>
        <v>-163</v>
      </c>
      <c r="H13" s="11" t="n">
        <f aca="false">IF(E13=0,0,F13/E13)</f>
        <v>0</v>
      </c>
    </row>
    <row r="15" customFormat="false" ht="15" hidden="false" customHeight="false" outlineLevel="0" collapsed="false">
      <c r="B15" s="5" t="s">
        <v>84</v>
      </c>
      <c r="D15" s="5" t="n">
        <v>117161.97</v>
      </c>
      <c r="E15" s="5" t="n">
        <v>117161.97</v>
      </c>
      <c r="F15" s="5" t="n">
        <v>117161.97</v>
      </c>
    </row>
    <row r="18" customFormat="false" ht="15" hidden="false" customHeight="false" outlineLevel="0" collapsed="false">
      <c r="B18" s="4" t="s">
        <v>54</v>
      </c>
    </row>
    <row r="19" customFormat="false" ht="15" hidden="false" customHeight="false" outlineLevel="0" collapsed="false">
      <c r="B19" s="3" t="s">
        <v>55</v>
      </c>
    </row>
    <row r="20" customFormat="false" ht="15" hidden="false" customHeight="false" outlineLevel="0" collapsed="false">
      <c r="B20" s="3" t="s">
        <v>56</v>
      </c>
    </row>
    <row r="21" customFormat="false" ht="15" hidden="false" customHeight="false" outlineLevel="0" collapsed="false">
      <c r="B21" s="3" t="s">
        <v>57</v>
      </c>
    </row>
    <row r="22" customFormat="false" ht="15" hidden="false" customHeight="false" outlineLevel="0" collapsed="false">
      <c r="B22" s="3" t="s">
        <v>58</v>
      </c>
    </row>
    <row r="23" customFormat="false" ht="15" hidden="false" customHeight="false" outlineLevel="0" collapsed="false">
      <c r="B23" s="3" t="s">
        <v>59</v>
      </c>
    </row>
    <row r="24" customFormat="false" ht="15" hidden="false" customHeight="false" outlineLevel="0" collapsed="false">
      <c r="B24" s="3" t="s">
        <v>60</v>
      </c>
    </row>
    <row r="25" customFormat="false" ht="15" hidden="false" customHeight="false" outlineLevel="0" collapsed="false">
      <c r="B25" s="3" t="s">
        <v>61</v>
      </c>
    </row>
    <row r="26" customFormat="false" ht="15" hidden="false" customHeight="false" outlineLevel="0" collapsed="false">
      <c r="B26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6" min="4" style="1" width="13"/>
    <col collapsed="false" customWidth="true" hidden="false" outlineLevel="0" max="8" min="7" style="1" width="10"/>
  </cols>
  <sheetData>
    <row r="2" customFormat="false" ht="22.05" hidden="false" customHeight="false" outlineLevel="0" collapsed="false">
      <c r="B2" s="2" t="s">
        <v>85</v>
      </c>
    </row>
    <row r="4" customFormat="false" ht="15" hidden="false" customHeight="false" outlineLevel="0" collapsed="false">
      <c r="B4" s="4" t="s">
        <v>86</v>
      </c>
    </row>
    <row r="5" customFormat="false" ht="15" hidden="false" customHeight="false" outlineLevel="0" collapsed="false">
      <c r="B5" s="14" t="s">
        <v>28</v>
      </c>
      <c r="C5" s="14" t="s">
        <v>87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</row>
    <row r="6" customFormat="false" ht="15" hidden="false" customHeight="false" outlineLevel="0" collapsed="false">
      <c r="B6" s="5" t="s">
        <v>34</v>
      </c>
      <c r="C6" s="11" t="n">
        <v>1</v>
      </c>
      <c r="D6" s="11" t="n">
        <v>0</v>
      </c>
      <c r="E6" s="11" t="n">
        <v>2134</v>
      </c>
      <c r="F6" s="11" t="n">
        <f aca="false">D6-E6</f>
        <v>-2134</v>
      </c>
      <c r="G6" s="11" t="n">
        <f aca="false">IF(D6=0,0,E6/D6)</f>
        <v>0</v>
      </c>
      <c r="H6" s="11" t="n">
        <f aca="false">IF(117162=0,0,E6/117162)</f>
        <v>0.0182140967207798</v>
      </c>
    </row>
    <row r="7" customFormat="false" ht="15" hidden="false" customHeight="false" outlineLevel="0" collapsed="false">
      <c r="B7" s="5" t="s">
        <v>36</v>
      </c>
      <c r="C7" s="11" t="n">
        <v>3</v>
      </c>
      <c r="D7" s="11" t="n">
        <v>0</v>
      </c>
      <c r="E7" s="11" t="n">
        <v>113812</v>
      </c>
      <c r="F7" s="11" t="n">
        <f aca="false">D7-E7</f>
        <v>-113812</v>
      </c>
      <c r="G7" s="11" t="n">
        <f aca="false">IF(D7=0,0,E7/D7)</f>
        <v>0</v>
      </c>
      <c r="H7" s="11" t="n">
        <f aca="false">IF(117162=0,0,E7/117162)</f>
        <v>0.9714071115208</v>
      </c>
    </row>
    <row r="8" customFormat="false" ht="15" hidden="false" customHeight="false" outlineLevel="0" collapsed="false">
      <c r="B8" s="5" t="s">
        <v>37</v>
      </c>
      <c r="C8" s="11" t="n">
        <v>2</v>
      </c>
      <c r="D8" s="11" t="n">
        <v>0</v>
      </c>
      <c r="E8" s="11" t="n">
        <v>1216</v>
      </c>
      <c r="F8" s="11" t="n">
        <f aca="false">D8-E8</f>
        <v>-1216</v>
      </c>
      <c r="G8" s="11" t="n">
        <f aca="false">IF(D8=0,0,E8/D8)</f>
        <v>0</v>
      </c>
      <c r="H8" s="11" t="n">
        <f aca="false">IF(117162=0,0,E8/117162)</f>
        <v>0.01037879175842</v>
      </c>
    </row>
    <row r="11" customFormat="false" ht="15" hidden="false" customHeight="false" outlineLevel="0" collapsed="false">
      <c r="B11" s="4" t="s">
        <v>88</v>
      </c>
    </row>
    <row r="12" customFormat="false" ht="15" hidden="false" customHeight="false" outlineLevel="0" collapsed="false">
      <c r="B12" s="14" t="s">
        <v>64</v>
      </c>
      <c r="C12" s="14" t="s">
        <v>65</v>
      </c>
      <c r="D12" s="14" t="s">
        <v>67</v>
      </c>
      <c r="E12" s="14" t="s">
        <v>30</v>
      </c>
      <c r="F12" s="14" t="s">
        <v>89</v>
      </c>
      <c r="G12" s="14" t="s">
        <v>90</v>
      </c>
    </row>
    <row r="13" customFormat="false" ht="15" hidden="false" customHeight="false" outlineLevel="0" collapsed="false">
      <c r="B13" s="11" t="s">
        <v>73</v>
      </c>
      <c r="C13" s="11" t="s">
        <v>74</v>
      </c>
      <c r="D13" s="11" t="n">
        <v>0</v>
      </c>
      <c r="E13" s="11" t="n">
        <v>106488</v>
      </c>
      <c r="F13" s="11" t="n">
        <f aca="false">E13-D13</f>
        <v>106488</v>
      </c>
      <c r="G13" s="11" t="n">
        <f aca="false">IF(D13=0,0,F13/D13)</f>
        <v>0</v>
      </c>
    </row>
    <row r="14" customFormat="false" ht="15" hidden="false" customHeight="false" outlineLevel="0" collapsed="false">
      <c r="B14" s="11" t="s">
        <v>77</v>
      </c>
      <c r="C14" s="11" t="s">
        <v>78</v>
      </c>
      <c r="D14" s="11" t="n">
        <v>0</v>
      </c>
      <c r="E14" s="11" t="n">
        <v>6402</v>
      </c>
      <c r="F14" s="11" t="n">
        <f aca="false">E14-D14</f>
        <v>6402</v>
      </c>
      <c r="G14" s="11" t="n">
        <f aca="false">IF(D14=0,0,F14/D14)</f>
        <v>0</v>
      </c>
    </row>
    <row r="15" customFormat="false" ht="15" hidden="false" customHeight="false" outlineLevel="0" collapsed="false">
      <c r="B15" s="11" t="s">
        <v>70</v>
      </c>
      <c r="C15" s="11" t="s">
        <v>71</v>
      </c>
      <c r="D15" s="11" t="n">
        <v>0</v>
      </c>
      <c r="E15" s="11" t="n">
        <v>2134</v>
      </c>
      <c r="F15" s="11" t="n">
        <f aca="false">E15-D15</f>
        <v>2134</v>
      </c>
      <c r="G15" s="11" t="n">
        <f aca="false">IF(D15=0,0,F15/D15)</f>
        <v>0</v>
      </c>
    </row>
    <row r="16" customFormat="false" ht="15" hidden="false" customHeight="false" outlineLevel="0" collapsed="false">
      <c r="B16" s="11" t="s">
        <v>80</v>
      </c>
      <c r="C16" s="11" t="s">
        <v>81</v>
      </c>
      <c r="D16" s="11" t="n">
        <v>0</v>
      </c>
      <c r="E16" s="11" t="n">
        <v>1052</v>
      </c>
      <c r="F16" s="11" t="n">
        <f aca="false">E16-D16</f>
        <v>1052</v>
      </c>
      <c r="G16" s="11" t="n">
        <f aca="false">IF(D16=0,0,F16/D16)</f>
        <v>0</v>
      </c>
    </row>
    <row r="17" customFormat="false" ht="15" hidden="false" customHeight="false" outlineLevel="0" collapsed="false">
      <c r="B17" s="11" t="s">
        <v>75</v>
      </c>
      <c r="C17" s="11" t="s">
        <v>76</v>
      </c>
      <c r="D17" s="11" t="n">
        <v>0</v>
      </c>
      <c r="E17" s="11" t="n">
        <v>922</v>
      </c>
      <c r="F17" s="11" t="n">
        <f aca="false">E17-D17</f>
        <v>922</v>
      </c>
      <c r="G17" s="11" t="n">
        <f aca="false">IF(D17=0,0,F17/D17)</f>
        <v>0</v>
      </c>
    </row>
    <row r="18" customFormat="false" ht="15" hidden="false" customHeight="false" outlineLevel="0" collapsed="false">
      <c r="B18" s="11" t="s">
        <v>82</v>
      </c>
      <c r="C18" s="11" t="s">
        <v>83</v>
      </c>
      <c r="D18" s="11" t="n">
        <v>0</v>
      </c>
      <c r="E18" s="11" t="n">
        <v>163</v>
      </c>
      <c r="F18" s="11" t="n">
        <f aca="false">E18-D18</f>
        <v>163</v>
      </c>
      <c r="G18" s="11" t="n">
        <f aca="false">IF(D18=0,0,F18/D18)</f>
        <v>0</v>
      </c>
    </row>
    <row r="21" customFormat="false" ht="15" hidden="false" customHeight="false" outlineLevel="0" collapsed="false">
      <c r="B21" s="4" t="s">
        <v>91</v>
      </c>
    </row>
    <row r="22" customFormat="false" ht="15" hidden="false" customHeight="false" outlineLevel="0" collapsed="false">
      <c r="B22" s="14" t="s">
        <v>64</v>
      </c>
      <c r="C22" s="14" t="s">
        <v>65</v>
      </c>
      <c r="D22" s="14" t="s">
        <v>67</v>
      </c>
      <c r="E22" s="14" t="s">
        <v>30</v>
      </c>
      <c r="F22" s="14" t="s">
        <v>92</v>
      </c>
      <c r="G22" s="14" t="s">
        <v>93</v>
      </c>
    </row>
    <row r="25" customFormat="false" ht="15" hidden="false" customHeight="false" outlineLevel="0" collapsed="false">
      <c r="B25" s="4" t="s">
        <v>54</v>
      </c>
    </row>
    <row r="26" customFormat="false" ht="15" hidden="false" customHeight="false" outlineLevel="0" collapsed="false">
      <c r="B26" s="3" t="s">
        <v>55</v>
      </c>
    </row>
    <row r="27" customFormat="false" ht="15" hidden="false" customHeight="false" outlineLevel="0" collapsed="false">
      <c r="B27" s="3" t="s">
        <v>56</v>
      </c>
    </row>
    <row r="28" customFormat="false" ht="15" hidden="false" customHeight="false" outlineLevel="0" collapsed="false">
      <c r="B28" s="3" t="s">
        <v>57</v>
      </c>
    </row>
    <row r="29" customFormat="false" ht="15" hidden="false" customHeight="false" outlineLevel="0" collapsed="false">
      <c r="B29" s="3" t="s">
        <v>58</v>
      </c>
    </row>
    <row r="30" customFormat="false" ht="15" hidden="false" customHeight="false" outlineLevel="0" collapsed="false">
      <c r="B30" s="3" t="s">
        <v>59</v>
      </c>
    </row>
    <row r="31" customFormat="false" ht="15" hidden="false" customHeight="false" outlineLevel="0" collapsed="false">
      <c r="B31" s="3" t="s">
        <v>60</v>
      </c>
    </row>
    <row r="32" customFormat="false" ht="15" hidden="false" customHeight="false" outlineLevel="0" collapsed="false">
      <c r="B32" s="3" t="s">
        <v>61</v>
      </c>
    </row>
    <row r="33" customFormat="false" ht="15" hidden="false" customHeight="false" outlineLevel="0" collapsed="false">
      <c r="B33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5" min="4" style="1" width="16"/>
    <col collapsed="false" customWidth="true" hidden="false" outlineLevel="0" max="6" min="6" style="1" width="13"/>
    <col collapsed="false" customWidth="true" hidden="false" outlineLevel="0" max="8" min="7" style="1" width="10"/>
  </cols>
  <sheetData>
    <row r="2" customFormat="false" ht="22.05" hidden="false" customHeight="false" outlineLevel="0" collapsed="false">
      <c r="B2" s="2" t="s">
        <v>94</v>
      </c>
    </row>
    <row r="3" customFormat="false" ht="15" hidden="false" customHeight="false" outlineLevel="0" collapsed="false">
      <c r="B3" s="3" t="s">
        <v>95</v>
      </c>
    </row>
    <row r="5" customFormat="false" ht="15" hidden="false" customHeight="false" outlineLevel="0" collapsed="false">
      <c r="B5" s="4" t="s">
        <v>96</v>
      </c>
    </row>
    <row r="6" customFormat="false" ht="15" hidden="false" customHeight="false" outlineLevel="0" collapsed="false">
      <c r="B6" s="14" t="s">
        <v>64</v>
      </c>
      <c r="C6" s="14" t="s">
        <v>65</v>
      </c>
      <c r="D6" s="14" t="s">
        <v>67</v>
      </c>
      <c r="E6" s="14" t="s">
        <v>30</v>
      </c>
      <c r="F6" s="14" t="s">
        <v>31</v>
      </c>
      <c r="G6" s="14" t="s">
        <v>68</v>
      </c>
      <c r="H6" s="14" t="s">
        <v>97</v>
      </c>
    </row>
    <row r="9" customFormat="false" ht="15" hidden="false" customHeight="false" outlineLevel="0" collapsed="false">
      <c r="B9" s="4" t="s">
        <v>98</v>
      </c>
    </row>
    <row r="10" customFormat="false" ht="15" hidden="false" customHeight="false" outlineLevel="0" collapsed="false">
      <c r="B10" s="14" t="s">
        <v>99</v>
      </c>
      <c r="C10" s="14" t="s">
        <v>100</v>
      </c>
      <c r="D10" s="14" t="s">
        <v>101</v>
      </c>
      <c r="E10" s="14" t="s">
        <v>102</v>
      </c>
    </row>
    <row r="11" customFormat="false" ht="15" hidden="false" customHeight="false" outlineLevel="0" collapsed="false">
      <c r="B11" s="11" t="s">
        <v>103</v>
      </c>
      <c r="C11" s="11" t="n">
        <v>9</v>
      </c>
      <c r="D11" s="11" t="n">
        <v>90629</v>
      </c>
      <c r="E11" s="11" t="n">
        <f aca="false">IF(97953=0,0,D11/97953)</f>
        <v>0.925229446775494</v>
      </c>
    </row>
    <row r="12" customFormat="false" ht="15" hidden="false" customHeight="false" outlineLevel="0" collapsed="false">
      <c r="B12" s="11" t="s">
        <v>104</v>
      </c>
      <c r="C12" s="11" t="n">
        <v>2</v>
      </c>
      <c r="D12" s="11" t="n">
        <v>6402</v>
      </c>
      <c r="E12" s="11" t="n">
        <f aca="false">IF(97953=0,0,D12/97953)</f>
        <v>0.0653578757159046</v>
      </c>
    </row>
    <row r="13" customFormat="false" ht="15" hidden="false" customHeight="false" outlineLevel="0" collapsed="false">
      <c r="B13" s="11" t="s">
        <v>105</v>
      </c>
      <c r="C13" s="11" t="n">
        <v>1</v>
      </c>
      <c r="D13" s="11" t="n">
        <v>922</v>
      </c>
      <c r="E13" s="11" t="n">
        <f aca="false">IF(97953=0,0,D13/97953)</f>
        <v>0.00941267750860106</v>
      </c>
    </row>
    <row r="14" customFormat="false" ht="15" hidden="false" customHeight="false" outlineLevel="0" collapsed="false">
      <c r="B14" s="5" t="s">
        <v>38</v>
      </c>
      <c r="C14" s="5" t="n">
        <f aca="false">SUM(C11:C13)</f>
        <v>12</v>
      </c>
      <c r="D14" s="5" t="n">
        <f aca="false">SUM(D11:D13)</f>
        <v>97953</v>
      </c>
      <c r="E14" s="5" t="n">
        <v>1</v>
      </c>
    </row>
    <row r="17" customFormat="false" ht="15" hidden="false" customHeight="false" outlineLevel="0" collapsed="false">
      <c r="B17" s="4" t="s">
        <v>54</v>
      </c>
    </row>
    <row r="18" customFormat="false" ht="15" hidden="false" customHeight="false" outlineLevel="0" collapsed="false">
      <c r="B18" s="3" t="s">
        <v>55</v>
      </c>
    </row>
    <row r="19" customFormat="false" ht="15" hidden="false" customHeight="false" outlineLevel="0" collapsed="false">
      <c r="B19" s="3" t="s">
        <v>56</v>
      </c>
    </row>
    <row r="20" customFormat="false" ht="15" hidden="false" customHeight="false" outlineLevel="0" collapsed="false">
      <c r="B20" s="3" t="s">
        <v>57</v>
      </c>
    </row>
    <row r="21" customFormat="false" ht="15" hidden="false" customHeight="false" outlineLevel="0" collapsed="false">
      <c r="B21" s="3" t="s">
        <v>58</v>
      </c>
    </row>
    <row r="22" customFormat="false" ht="15" hidden="false" customHeight="false" outlineLevel="0" collapsed="false">
      <c r="B22" s="3" t="s">
        <v>59</v>
      </c>
    </row>
    <row r="23" customFormat="false" ht="15" hidden="false" customHeight="false" outlineLevel="0" collapsed="false">
      <c r="B23" s="3" t="s">
        <v>60</v>
      </c>
    </row>
    <row r="24" customFormat="false" ht="15" hidden="false" customHeight="false" outlineLevel="0" collapsed="false">
      <c r="B24" s="3" t="s">
        <v>61</v>
      </c>
    </row>
    <row r="25" customFormat="false" ht="15" hidden="false" customHeight="false" outlineLevel="0" collapsed="false">
      <c r="B25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</cols>
  <sheetData>
    <row r="2" customFormat="false" ht="22.05" hidden="false" customHeight="false" outlineLevel="0" collapsed="false">
      <c r="B2" s="2" t="s">
        <v>106</v>
      </c>
    </row>
    <row r="4" customFormat="false" ht="15" hidden="false" customHeight="false" outlineLevel="0" collapsed="false">
      <c r="B4" s="14" t="s">
        <v>107</v>
      </c>
      <c r="C4" s="14" t="s">
        <v>108</v>
      </c>
      <c r="D4" s="14" t="s">
        <v>109</v>
      </c>
      <c r="E4" s="14" t="s">
        <v>110</v>
      </c>
      <c r="F4" s="14" t="s">
        <v>111</v>
      </c>
    </row>
    <row r="5" customFormat="false" ht="15" hidden="false" customHeight="false" outlineLevel="0" collapsed="false">
      <c r="B5" s="11" t="s">
        <v>112</v>
      </c>
      <c r="C5" s="11" t="n">
        <v>20.5</v>
      </c>
      <c r="D5" s="11" t="n">
        <v>1414</v>
      </c>
      <c r="E5" s="11" t="n">
        <f aca="false">IF(C5=0,0,D5/C5)</f>
        <v>68.9756097560976</v>
      </c>
      <c r="F5" s="11" t="s">
        <v>113</v>
      </c>
    </row>
    <row r="6" customFormat="false" ht="15" hidden="false" customHeight="false" outlineLevel="0" collapsed="false">
      <c r="B6" s="11" t="s">
        <v>114</v>
      </c>
      <c r="C6" s="11" t="n">
        <v>12</v>
      </c>
      <c r="D6" s="11" t="n">
        <v>720</v>
      </c>
      <c r="E6" s="11" t="n">
        <f aca="false">IF(C6=0,0,D6/C6)</f>
        <v>60</v>
      </c>
      <c r="F6" s="11" t="s">
        <v>113</v>
      </c>
    </row>
    <row r="9" customFormat="false" ht="15" hidden="false" customHeight="false" outlineLevel="0" collapsed="false">
      <c r="B9" s="4" t="s">
        <v>54</v>
      </c>
    </row>
    <row r="10" customFormat="false" ht="15" hidden="false" customHeight="false" outlineLevel="0" collapsed="false">
      <c r="B10" s="3" t="s">
        <v>55</v>
      </c>
    </row>
    <row r="11" customFormat="false" ht="15" hidden="false" customHeight="false" outlineLevel="0" collapsed="false">
      <c r="B11" s="3" t="s">
        <v>56</v>
      </c>
    </row>
    <row r="12" customFormat="false" ht="15" hidden="false" customHeight="false" outlineLevel="0" collapsed="false">
      <c r="B12" s="3" t="s">
        <v>57</v>
      </c>
    </row>
    <row r="13" customFormat="false" ht="15" hidden="false" customHeight="false" outlineLevel="0" collapsed="false">
      <c r="B13" s="3" t="s">
        <v>58</v>
      </c>
    </row>
    <row r="14" customFormat="false" ht="15" hidden="false" customHeight="false" outlineLevel="0" collapsed="false">
      <c r="B14" s="3" t="s">
        <v>59</v>
      </c>
    </row>
    <row r="15" customFormat="false" ht="15" hidden="false" customHeight="false" outlineLevel="0" collapsed="false">
      <c r="B15" s="3" t="s">
        <v>60</v>
      </c>
    </row>
    <row r="16" customFormat="false" ht="15" hidden="false" customHeight="false" outlineLevel="0" collapsed="false">
      <c r="B16" s="3" t="s">
        <v>61</v>
      </c>
    </row>
    <row r="17" customFormat="false" ht="15" hidden="false" customHeight="false" outlineLevel="0" collapsed="false">
      <c r="B17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6" min="5" style="1" width="13"/>
  </cols>
  <sheetData>
    <row r="2" customFormat="false" ht="22.05" hidden="false" customHeight="false" outlineLevel="0" collapsed="false">
      <c r="B2" s="2" t="s">
        <v>115</v>
      </c>
    </row>
    <row r="4" customFormat="false" ht="15" hidden="false" customHeight="false" outlineLevel="0" collapsed="false">
      <c r="B4" s="4" t="s">
        <v>116</v>
      </c>
    </row>
    <row r="5" customFormat="false" ht="15" hidden="false" customHeight="false" outlineLevel="0" collapsed="false">
      <c r="B5" s="14" t="s">
        <v>111</v>
      </c>
      <c r="C5" s="14" t="s">
        <v>117</v>
      </c>
      <c r="D5" s="14" t="s">
        <v>108</v>
      </c>
      <c r="E5" s="14" t="s">
        <v>109</v>
      </c>
      <c r="F5" s="14" t="s">
        <v>118</v>
      </c>
    </row>
    <row r="6" customFormat="false" ht="15" hidden="false" customHeight="false" outlineLevel="0" collapsed="false">
      <c r="B6" s="5" t="s">
        <v>113</v>
      </c>
      <c r="C6" s="11" t="n">
        <v>2</v>
      </c>
      <c r="D6" s="11" t="n">
        <v>32.5</v>
      </c>
      <c r="E6" s="11" t="n">
        <v>2134</v>
      </c>
      <c r="F6" s="11" t="s">
        <v>119</v>
      </c>
    </row>
    <row r="9" customFormat="false" ht="15" hidden="false" customHeight="false" outlineLevel="0" collapsed="false">
      <c r="B9" s="4" t="s">
        <v>120</v>
      </c>
    </row>
    <row r="10" customFormat="false" ht="15" hidden="false" customHeight="false" outlineLevel="0" collapsed="false">
      <c r="B10" s="5" t="s">
        <v>121</v>
      </c>
      <c r="C10" s="11" t="n">
        <v>65.66</v>
      </c>
    </row>
    <row r="11" customFormat="false" ht="15" hidden="false" customHeight="false" outlineLevel="0" collapsed="false">
      <c r="B11" s="5" t="s">
        <v>122</v>
      </c>
      <c r="C11" s="11" t="n">
        <v>69</v>
      </c>
    </row>
    <row r="12" customFormat="false" ht="15" hidden="false" customHeight="false" outlineLevel="0" collapsed="false">
      <c r="B12" s="5" t="s">
        <v>123</v>
      </c>
      <c r="C12" s="11" t="n">
        <v>1.15</v>
      </c>
    </row>
    <row r="13" customFormat="false" ht="15" hidden="false" customHeight="false" outlineLevel="0" collapsed="false">
      <c r="B13" s="5" t="s">
        <v>124</v>
      </c>
      <c r="C13" s="11" t="n">
        <v>60</v>
      </c>
    </row>
    <row r="14" customFormat="false" ht="15" hidden="false" customHeight="false" outlineLevel="0" collapsed="false">
      <c r="B14" s="5" t="s">
        <v>125</v>
      </c>
      <c r="C14" s="11" t="n">
        <v>69</v>
      </c>
    </row>
    <row r="15" customFormat="false" ht="15" hidden="false" customHeight="false" outlineLevel="0" collapsed="false">
      <c r="B15" s="5" t="s">
        <v>126</v>
      </c>
      <c r="C15" s="11" t="n">
        <v>16.2</v>
      </c>
    </row>
    <row r="18" customFormat="false" ht="15" hidden="false" customHeight="false" outlineLevel="0" collapsed="false">
      <c r="B18" s="4" t="s">
        <v>54</v>
      </c>
    </row>
    <row r="19" customFormat="false" ht="15" hidden="false" customHeight="false" outlineLevel="0" collapsed="false">
      <c r="B19" s="3" t="s">
        <v>55</v>
      </c>
    </row>
    <row r="20" customFormat="false" ht="15" hidden="false" customHeight="false" outlineLevel="0" collapsed="false">
      <c r="B20" s="3" t="s">
        <v>56</v>
      </c>
    </row>
    <row r="21" customFormat="false" ht="15" hidden="false" customHeight="false" outlineLevel="0" collapsed="false">
      <c r="B21" s="3" t="s">
        <v>57</v>
      </c>
    </row>
    <row r="22" customFormat="false" ht="15" hidden="false" customHeight="false" outlineLevel="0" collapsed="false">
      <c r="B22" s="3" t="s">
        <v>58</v>
      </c>
    </row>
    <row r="23" customFormat="false" ht="15" hidden="false" customHeight="false" outlineLevel="0" collapsed="false">
      <c r="B23" s="3" t="s">
        <v>59</v>
      </c>
    </row>
    <row r="24" customFormat="false" ht="15" hidden="false" customHeight="false" outlineLevel="0" collapsed="false">
      <c r="B24" s="3" t="s">
        <v>60</v>
      </c>
    </row>
    <row r="25" customFormat="false" ht="15" hidden="false" customHeight="false" outlineLevel="0" collapsed="false">
      <c r="B25" s="3" t="s">
        <v>61</v>
      </c>
    </row>
    <row r="26" customFormat="false" ht="15" hidden="false" customHeight="false" outlineLevel="0" collapsed="false">
      <c r="B26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12"/>
  </cols>
  <sheetData>
    <row r="2" customFormat="false" ht="22.05" hidden="false" customHeight="false" outlineLevel="0" collapsed="false">
      <c r="B2" s="2" t="s">
        <v>127</v>
      </c>
    </row>
    <row r="4" customFormat="false" ht="15" hidden="false" customHeight="false" outlineLevel="0" collapsed="false">
      <c r="B4" s="14" t="s">
        <v>128</v>
      </c>
      <c r="C4" s="14" t="s">
        <v>64</v>
      </c>
      <c r="D4" s="14" t="s">
        <v>108</v>
      </c>
      <c r="E4" s="14" t="s">
        <v>129</v>
      </c>
      <c r="F4" s="14" t="s">
        <v>130</v>
      </c>
    </row>
    <row r="5" customFormat="false" ht="15" hidden="false" customHeight="false" outlineLevel="0" collapsed="false">
      <c r="B5" s="5" t="s">
        <v>131</v>
      </c>
      <c r="C5" s="11" t="s">
        <v>70</v>
      </c>
      <c r="D5" s="11" t="n">
        <v>32.5</v>
      </c>
      <c r="E5" s="11" t="s">
        <v>119</v>
      </c>
      <c r="F5" s="11" t="n">
        <v>0.12</v>
      </c>
    </row>
    <row r="7" customFormat="false" ht="15" hidden="false" customHeight="false" outlineLevel="0" collapsed="false">
      <c r="B7" s="5" t="s">
        <v>38</v>
      </c>
      <c r="D7" s="5" t="n">
        <v>32.5</v>
      </c>
    </row>
    <row r="9" customFormat="false" ht="15" hidden="false" customHeight="false" outlineLevel="0" collapsed="false">
      <c r="B9" s="4" t="s">
        <v>132</v>
      </c>
    </row>
    <row r="10" customFormat="false" ht="15" hidden="false" customHeight="false" outlineLevel="0" collapsed="false">
      <c r="B10" s="5" t="s">
        <v>133</v>
      </c>
      <c r="C10" s="11" t="s">
        <v>134</v>
      </c>
    </row>
    <row r="11" customFormat="false" ht="15" hidden="false" customHeight="false" outlineLevel="0" collapsed="false">
      <c r="B11" s="5" t="s">
        <v>135</v>
      </c>
      <c r="C11" s="11" t="s">
        <v>136</v>
      </c>
    </row>
    <row r="12" customFormat="false" ht="15" hidden="false" customHeight="false" outlineLevel="0" collapsed="false">
      <c r="B12" s="5" t="s">
        <v>137</v>
      </c>
      <c r="C12" s="11" t="s">
        <v>138</v>
      </c>
    </row>
    <row r="13" customFormat="false" ht="15" hidden="false" customHeight="false" outlineLevel="0" collapsed="false">
      <c r="B13" s="5" t="s">
        <v>139</v>
      </c>
      <c r="C13" s="11" t="s">
        <v>140</v>
      </c>
    </row>
    <row r="14" customFormat="false" ht="15" hidden="false" customHeight="false" outlineLevel="0" collapsed="false">
      <c r="B14" s="5" t="s">
        <v>141</v>
      </c>
      <c r="C14" s="11" t="s">
        <v>142</v>
      </c>
    </row>
    <row r="17" customFormat="false" ht="15" hidden="false" customHeight="false" outlineLevel="0" collapsed="false">
      <c r="B17" s="4" t="s">
        <v>54</v>
      </c>
    </row>
    <row r="18" customFormat="false" ht="15" hidden="false" customHeight="false" outlineLevel="0" collapsed="false">
      <c r="B18" s="3" t="s">
        <v>55</v>
      </c>
    </row>
    <row r="19" customFormat="false" ht="15" hidden="false" customHeight="false" outlineLevel="0" collapsed="false">
      <c r="B19" s="3" t="s">
        <v>56</v>
      </c>
    </row>
    <row r="20" customFormat="false" ht="15" hidden="false" customHeight="false" outlineLevel="0" collapsed="false">
      <c r="B20" s="3" t="s">
        <v>57</v>
      </c>
    </row>
    <row r="21" customFormat="false" ht="15" hidden="false" customHeight="false" outlineLevel="0" collapsed="false">
      <c r="B21" s="3" t="s">
        <v>58</v>
      </c>
    </row>
    <row r="22" customFormat="false" ht="15" hidden="false" customHeight="false" outlineLevel="0" collapsed="false">
      <c r="B22" s="3" t="s">
        <v>59</v>
      </c>
    </row>
    <row r="23" customFormat="false" ht="15" hidden="false" customHeight="false" outlineLevel="0" collapsed="false">
      <c r="B23" s="3" t="s">
        <v>60</v>
      </c>
    </row>
    <row r="24" customFormat="false" ht="15" hidden="false" customHeight="false" outlineLevel="0" collapsed="false">
      <c r="B24" s="3" t="s">
        <v>61</v>
      </c>
    </row>
    <row r="25" customFormat="false" ht="15" hidden="false" customHeight="false" outlineLevel="0" collapsed="false">
      <c r="B25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</cols>
  <sheetData>
    <row r="2" customFormat="false" ht="22.05" hidden="false" customHeight="false" outlineLevel="0" collapsed="false">
      <c r="B2" s="2" t="s">
        <v>143</v>
      </c>
    </row>
    <row r="3" customFormat="false" ht="15" hidden="false" customHeight="false" outlineLevel="0" collapsed="false">
      <c r="B3" s="3" t="s">
        <v>144</v>
      </c>
    </row>
    <row r="5" customFormat="false" ht="15" hidden="false" customHeight="false" outlineLevel="0" collapsed="false">
      <c r="B5" s="14" t="s">
        <v>145</v>
      </c>
      <c r="C5" s="14" t="s">
        <v>99</v>
      </c>
      <c r="D5" s="14" t="s">
        <v>100</v>
      </c>
      <c r="E5" s="14" t="s">
        <v>101</v>
      </c>
      <c r="F5" s="14" t="s">
        <v>102</v>
      </c>
      <c r="G5" s="14" t="s">
        <v>111</v>
      </c>
    </row>
    <row r="6" customFormat="false" ht="15" hidden="false" customHeight="false" outlineLevel="0" collapsed="false">
      <c r="B6" s="11" t="n">
        <v>1</v>
      </c>
      <c r="C6" s="11" t="s">
        <v>103</v>
      </c>
      <c r="D6" s="11" t="n">
        <v>9</v>
      </c>
      <c r="E6" s="11" t="n">
        <v>90629</v>
      </c>
      <c r="F6" s="11" t="s">
        <v>146</v>
      </c>
      <c r="G6" s="11" t="s">
        <v>147</v>
      </c>
    </row>
    <row r="7" customFormat="false" ht="15" hidden="false" customHeight="false" outlineLevel="0" collapsed="false">
      <c r="B7" s="11" t="n">
        <v>2</v>
      </c>
      <c r="C7" s="11" t="s">
        <v>104</v>
      </c>
      <c r="D7" s="11" t="n">
        <v>2</v>
      </c>
      <c r="E7" s="11" t="n">
        <v>6402</v>
      </c>
      <c r="F7" s="11" t="s">
        <v>148</v>
      </c>
      <c r="G7" s="11" t="s">
        <v>147</v>
      </c>
    </row>
    <row r="8" customFormat="false" ht="15" hidden="false" customHeight="false" outlineLevel="0" collapsed="false">
      <c r="B8" s="11" t="n">
        <v>3</v>
      </c>
      <c r="C8" s="11" t="s">
        <v>105</v>
      </c>
      <c r="D8" s="11" t="n">
        <v>1</v>
      </c>
      <c r="E8" s="11" t="n">
        <v>922</v>
      </c>
      <c r="F8" s="11" t="s">
        <v>149</v>
      </c>
      <c r="G8" s="11" t="s">
        <v>147</v>
      </c>
    </row>
    <row r="11" customFormat="false" ht="15" hidden="false" customHeight="false" outlineLevel="0" collapsed="false">
      <c r="B11" s="4" t="s">
        <v>54</v>
      </c>
    </row>
    <row r="12" customFormat="false" ht="15" hidden="false" customHeight="false" outlineLevel="0" collapsed="false">
      <c r="B12" s="3" t="s">
        <v>55</v>
      </c>
    </row>
    <row r="13" customFormat="false" ht="15" hidden="false" customHeight="false" outlineLevel="0" collapsed="false">
      <c r="B13" s="3" t="s">
        <v>56</v>
      </c>
    </row>
    <row r="14" customFormat="false" ht="15" hidden="false" customHeight="false" outlineLevel="0" collapsed="false">
      <c r="B14" s="3" t="s">
        <v>57</v>
      </c>
    </row>
    <row r="15" customFormat="false" ht="15" hidden="false" customHeight="false" outlineLevel="0" collapsed="false">
      <c r="B15" s="3" t="s">
        <v>58</v>
      </c>
    </row>
    <row r="16" customFormat="false" ht="15" hidden="false" customHeight="false" outlineLevel="0" collapsed="false">
      <c r="B16" s="3" t="s">
        <v>59</v>
      </c>
    </row>
    <row r="17" customFormat="false" ht="15" hidden="false" customHeight="false" outlineLevel="0" collapsed="false">
      <c r="B17" s="3" t="s">
        <v>60</v>
      </c>
    </row>
    <row r="18" customFormat="false" ht="15" hidden="false" customHeight="false" outlineLevel="0" collapsed="false">
      <c r="B18" s="3" t="s">
        <v>61</v>
      </c>
    </row>
    <row r="19" customFormat="false" ht="15" hidden="false" customHeight="false" outlineLevel="0" collapsed="false">
      <c r="B19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4"/>
    <col collapsed="false" customWidth="true" hidden="false" outlineLevel="0" max="8" min="3" style="1" width="13"/>
  </cols>
  <sheetData>
    <row r="2" customFormat="false" ht="22.05" hidden="false" customHeight="false" outlineLevel="0" collapsed="false">
      <c r="B2" s="2" t="s">
        <v>150</v>
      </c>
    </row>
    <row r="4" customFormat="false" ht="15" hidden="false" customHeight="false" outlineLevel="0" collapsed="false">
      <c r="B4" s="4" t="s">
        <v>151</v>
      </c>
    </row>
    <row r="5" customFormat="false" ht="15" hidden="false" customHeight="false" outlineLevel="0" collapsed="false">
      <c r="B5" s="5" t="s">
        <v>152</v>
      </c>
      <c r="C5" s="11" t="s">
        <v>153</v>
      </c>
    </row>
    <row r="6" customFormat="false" ht="15" hidden="false" customHeight="false" outlineLevel="0" collapsed="false">
      <c r="B6" s="5" t="s">
        <v>154</v>
      </c>
      <c r="C6" s="11" t="s">
        <v>153</v>
      </c>
    </row>
    <row r="7" customFormat="false" ht="15" hidden="false" customHeight="false" outlineLevel="0" collapsed="false">
      <c r="B7" s="5" t="s">
        <v>155</v>
      </c>
      <c r="C7" s="11" t="s">
        <v>153</v>
      </c>
    </row>
    <row r="8" customFormat="false" ht="15" hidden="false" customHeight="false" outlineLevel="0" collapsed="false">
      <c r="B8" s="5" t="s">
        <v>156</v>
      </c>
      <c r="C8" s="11" t="s">
        <v>153</v>
      </c>
    </row>
    <row r="9" customFormat="false" ht="15" hidden="false" customHeight="false" outlineLevel="0" collapsed="false">
      <c r="B9" s="5" t="s">
        <v>157</v>
      </c>
      <c r="C9" s="11" t="s">
        <v>19</v>
      </c>
    </row>
    <row r="12" customFormat="false" ht="15" hidden="false" customHeight="false" outlineLevel="0" collapsed="false">
      <c r="B12" s="4" t="s">
        <v>158</v>
      </c>
    </row>
    <row r="13" customFormat="false" ht="15" hidden="false" customHeight="false" outlineLevel="0" collapsed="false">
      <c r="B13" s="15" t="s">
        <v>159</v>
      </c>
      <c r="C13" s="15"/>
      <c r="D13" s="15"/>
      <c r="E13" s="15"/>
      <c r="F13" s="15"/>
      <c r="G13" s="15"/>
    </row>
    <row r="15" customFormat="false" ht="15" hidden="false" customHeight="false" outlineLevel="0" collapsed="false">
      <c r="B15" s="4" t="s">
        <v>54</v>
      </c>
    </row>
    <row r="16" customFormat="false" ht="15" hidden="false" customHeight="false" outlineLevel="0" collapsed="false">
      <c r="B16" s="3" t="s">
        <v>55</v>
      </c>
    </row>
    <row r="17" customFormat="false" ht="15" hidden="false" customHeight="false" outlineLevel="0" collapsed="false">
      <c r="B17" s="3" t="s">
        <v>56</v>
      </c>
    </row>
    <row r="18" customFormat="false" ht="15" hidden="false" customHeight="false" outlineLevel="0" collapsed="false">
      <c r="B18" s="3" t="s">
        <v>57</v>
      </c>
    </row>
    <row r="19" customFormat="false" ht="15" hidden="false" customHeight="false" outlineLevel="0" collapsed="false">
      <c r="B19" s="3" t="s">
        <v>58</v>
      </c>
    </row>
    <row r="20" customFormat="false" ht="15" hidden="false" customHeight="false" outlineLevel="0" collapsed="false">
      <c r="B20" s="3" t="s">
        <v>59</v>
      </c>
    </row>
    <row r="21" customFormat="false" ht="15" hidden="false" customHeight="false" outlineLevel="0" collapsed="false">
      <c r="B21" s="3" t="s">
        <v>60</v>
      </c>
    </row>
    <row r="22" customFormat="false" ht="15" hidden="false" customHeight="false" outlineLevel="0" collapsed="false">
      <c r="B22" s="3" t="s">
        <v>61</v>
      </c>
    </row>
    <row r="23" customFormat="false" ht="15" hidden="false" customHeight="false" outlineLevel="0" collapsed="false">
      <c r="B23" s="3" t="s">
        <v>62</v>
      </c>
    </row>
  </sheetData>
  <mergeCells count="1"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24"/>
    <col collapsed="false" customWidth="true" hidden="false" outlineLevel="0" max="4" min="4" style="1" width="80"/>
  </cols>
  <sheetData>
    <row r="2" customFormat="false" ht="22.05" hidden="false" customHeight="false" outlineLevel="0" collapsed="false">
      <c r="B2" s="2" t="s">
        <v>160</v>
      </c>
    </row>
    <row r="4" customFormat="false" ht="15" hidden="false" customHeight="false" outlineLevel="0" collapsed="false">
      <c r="B4" s="14" t="s">
        <v>145</v>
      </c>
      <c r="C4" s="14" t="s">
        <v>161</v>
      </c>
      <c r="D4" s="14" t="s">
        <v>162</v>
      </c>
    </row>
    <row r="5" customFormat="false" ht="23.85" hidden="false" customHeight="false" outlineLevel="0" collapsed="false">
      <c r="B5" s="11" t="n">
        <v>1</v>
      </c>
      <c r="C5" s="5" t="s">
        <v>163</v>
      </c>
      <c r="D5" s="16" t="s">
        <v>164</v>
      </c>
    </row>
    <row r="6" customFormat="false" ht="23.85" hidden="false" customHeight="false" outlineLevel="0" collapsed="false">
      <c r="B6" s="11" t="n">
        <v>2</v>
      </c>
      <c r="C6" s="5" t="s">
        <v>165</v>
      </c>
      <c r="D6" s="16" t="s">
        <v>166</v>
      </c>
    </row>
    <row r="7" customFormat="false" ht="23.85" hidden="false" customHeight="false" outlineLevel="0" collapsed="false">
      <c r="B7" s="11" t="n">
        <v>3</v>
      </c>
      <c r="C7" s="5" t="s">
        <v>167</v>
      </c>
      <c r="D7" s="16" t="s">
        <v>168</v>
      </c>
    </row>
    <row r="8" customFormat="false" ht="23.85" hidden="false" customHeight="false" outlineLevel="0" collapsed="false">
      <c r="B8" s="11" t="n">
        <v>4</v>
      </c>
      <c r="C8" s="5" t="s">
        <v>169</v>
      </c>
      <c r="D8" s="16" t="s">
        <v>170</v>
      </c>
    </row>
    <row r="9" customFormat="false" ht="23.85" hidden="false" customHeight="false" outlineLevel="0" collapsed="false">
      <c r="B9" s="11" t="n">
        <v>5</v>
      </c>
      <c r="C9" s="5" t="s">
        <v>171</v>
      </c>
      <c r="D9" s="16" t="s">
        <v>172</v>
      </c>
    </row>
    <row r="10" customFormat="false" ht="15" hidden="false" customHeight="false" outlineLevel="0" collapsed="false">
      <c r="B10" s="11" t="n">
        <v>6</v>
      </c>
      <c r="C10" s="5" t="s">
        <v>173</v>
      </c>
      <c r="D10" s="16" t="s">
        <v>174</v>
      </c>
    </row>
    <row r="11" customFormat="false" ht="23.85" hidden="false" customHeight="false" outlineLevel="0" collapsed="false">
      <c r="B11" s="11" t="n">
        <v>7</v>
      </c>
      <c r="C11" s="5" t="s">
        <v>175</v>
      </c>
      <c r="D11" s="16" t="s">
        <v>176</v>
      </c>
    </row>
    <row r="12" customFormat="false" ht="15" hidden="false" customHeight="false" outlineLevel="0" collapsed="false">
      <c r="B12" s="11" t="n">
        <v>8</v>
      </c>
      <c r="C12" s="5" t="s">
        <v>177</v>
      </c>
      <c r="D12" s="16" t="s">
        <v>178</v>
      </c>
    </row>
    <row r="13" customFormat="false" ht="15" hidden="false" customHeight="false" outlineLevel="0" collapsed="false">
      <c r="B13" s="11" t="n">
        <v>9</v>
      </c>
      <c r="C13" s="5" t="s">
        <v>179</v>
      </c>
      <c r="D13" s="16" t="s">
        <v>180</v>
      </c>
    </row>
    <row r="14" customFormat="false" ht="15" hidden="false" customHeight="false" outlineLevel="0" collapsed="false">
      <c r="B14" s="11" t="n">
        <v>10</v>
      </c>
      <c r="C14" s="5" t="s">
        <v>181</v>
      </c>
      <c r="D14" s="16" t="s">
        <v>182</v>
      </c>
    </row>
    <row r="17" customFormat="false" ht="15" hidden="false" customHeight="false" outlineLevel="0" collapsed="false">
      <c r="B17" s="4" t="s">
        <v>54</v>
      </c>
    </row>
    <row r="18" customFormat="false" ht="15" hidden="false" customHeight="false" outlineLevel="0" collapsed="false">
      <c r="B18" s="3" t="s">
        <v>55</v>
      </c>
    </row>
    <row r="19" customFormat="false" ht="15" hidden="false" customHeight="false" outlineLevel="0" collapsed="false">
      <c r="B19" s="3" t="s">
        <v>56</v>
      </c>
    </row>
    <row r="20" customFormat="false" ht="15" hidden="false" customHeight="false" outlineLevel="0" collapsed="false">
      <c r="B20" s="3" t="s">
        <v>57</v>
      </c>
    </row>
    <row r="21" customFormat="false" ht="15" hidden="false" customHeight="false" outlineLevel="0" collapsed="false">
      <c r="B21" s="3" t="s">
        <v>58</v>
      </c>
    </row>
    <row r="22" customFormat="false" ht="15" hidden="false" customHeight="false" outlineLevel="0" collapsed="false">
      <c r="B22" s="3" t="s">
        <v>59</v>
      </c>
    </row>
    <row r="23" customFormat="false" ht="15" hidden="false" customHeight="false" outlineLevel="0" collapsed="false">
      <c r="B23" s="3" t="s">
        <v>60</v>
      </c>
    </row>
    <row r="24" customFormat="false" ht="15" hidden="false" customHeight="false" outlineLevel="0" collapsed="false">
      <c r="B24" s="3" t="s">
        <v>61</v>
      </c>
    </row>
    <row r="25" customFormat="false" ht="15" hidden="false" customHeight="false" outlineLevel="0" collapsed="false">
      <c r="B25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0"/>
  </cols>
  <sheetData>
    <row r="2" customFormat="false" ht="22.05" hidden="false" customHeight="false" outlineLevel="0" collapsed="false">
      <c r="B2" s="2" t="s">
        <v>183</v>
      </c>
    </row>
    <row r="4" customFormat="false" ht="15" hidden="false" customHeight="false" outlineLevel="0" collapsed="false">
      <c r="B4" s="14" t="s">
        <v>184</v>
      </c>
      <c r="C4" s="14" t="s">
        <v>185</v>
      </c>
      <c r="D4" s="14" t="s">
        <v>186</v>
      </c>
      <c r="E4" s="14" t="s">
        <v>187</v>
      </c>
      <c r="F4" s="14" t="s">
        <v>13</v>
      </c>
    </row>
    <row r="5" customFormat="false" ht="15" hidden="false" customHeight="false" outlineLevel="0" collapsed="false">
      <c r="B5" s="5" t="s">
        <v>188</v>
      </c>
      <c r="C5" s="11" t="s">
        <v>189</v>
      </c>
      <c r="D5" s="11" t="s">
        <v>190</v>
      </c>
      <c r="E5" s="11" t="s">
        <v>191</v>
      </c>
      <c r="F5" s="5" t="s">
        <v>192</v>
      </c>
    </row>
    <row r="6" customFormat="false" ht="15" hidden="false" customHeight="false" outlineLevel="0" collapsed="false">
      <c r="B6" s="5" t="s">
        <v>133</v>
      </c>
      <c r="C6" s="11" t="s">
        <v>134</v>
      </c>
      <c r="D6" s="11" t="s">
        <v>193</v>
      </c>
      <c r="E6" s="11" t="s">
        <v>194</v>
      </c>
      <c r="F6" s="5" t="s">
        <v>192</v>
      </c>
    </row>
    <row r="7" customFormat="false" ht="15" hidden="false" customHeight="false" outlineLevel="0" collapsed="false">
      <c r="B7" s="5" t="s">
        <v>135</v>
      </c>
      <c r="C7" s="11" t="s">
        <v>136</v>
      </c>
      <c r="D7" s="11" t="s">
        <v>195</v>
      </c>
      <c r="E7" s="11" t="s">
        <v>196</v>
      </c>
      <c r="F7" s="5" t="s">
        <v>192</v>
      </c>
    </row>
    <row r="8" customFormat="false" ht="15" hidden="false" customHeight="false" outlineLevel="0" collapsed="false">
      <c r="B8" s="5" t="s">
        <v>197</v>
      </c>
      <c r="C8" s="11" t="s">
        <v>198</v>
      </c>
      <c r="D8" s="11" t="s">
        <v>199</v>
      </c>
      <c r="E8" s="11" t="s">
        <v>200</v>
      </c>
      <c r="F8" s="5" t="s">
        <v>192</v>
      </c>
    </row>
    <row r="9" customFormat="false" ht="15" hidden="false" customHeight="false" outlineLevel="0" collapsed="false">
      <c r="B9" s="5" t="s">
        <v>201</v>
      </c>
      <c r="C9" s="11" t="s">
        <v>202</v>
      </c>
      <c r="D9" s="11" t="s">
        <v>203</v>
      </c>
      <c r="E9" s="11" t="s">
        <v>204</v>
      </c>
      <c r="F9" s="17" t="s">
        <v>205</v>
      </c>
    </row>
    <row r="12" customFormat="false" ht="15" hidden="false" customHeight="false" outlineLevel="0" collapsed="false">
      <c r="B12" s="4" t="s">
        <v>54</v>
      </c>
    </row>
    <row r="13" customFormat="false" ht="15" hidden="false" customHeight="false" outlineLevel="0" collapsed="false">
      <c r="B13" s="3" t="s">
        <v>55</v>
      </c>
    </row>
    <row r="14" customFormat="false" ht="15" hidden="false" customHeight="false" outlineLevel="0" collapsed="false">
      <c r="B14" s="3" t="s">
        <v>56</v>
      </c>
    </row>
    <row r="15" customFormat="false" ht="15" hidden="false" customHeight="false" outlineLevel="0" collapsed="false">
      <c r="B15" s="3" t="s">
        <v>57</v>
      </c>
    </row>
    <row r="16" customFormat="false" ht="15" hidden="false" customHeight="false" outlineLevel="0" collapsed="false">
      <c r="B16" s="3" t="s">
        <v>58</v>
      </c>
    </row>
    <row r="17" customFormat="false" ht="15" hidden="false" customHeight="false" outlineLevel="0" collapsed="false">
      <c r="B17" s="3" t="s">
        <v>59</v>
      </c>
    </row>
    <row r="18" customFormat="false" ht="15" hidden="false" customHeight="false" outlineLevel="0" collapsed="false">
      <c r="B18" s="3" t="s">
        <v>60</v>
      </c>
    </row>
    <row r="19" customFormat="false" ht="15" hidden="false" customHeight="false" outlineLevel="0" collapsed="false">
      <c r="B19" s="3" t="s">
        <v>61</v>
      </c>
    </row>
    <row r="20" customFormat="false" ht="15" hidden="false" customHeight="false" outlineLevel="0" collapsed="false">
      <c r="B20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6" min="5" style="1" width="10"/>
  </cols>
  <sheetData>
    <row r="2" customFormat="false" ht="22.05" hidden="false" customHeight="false" outlineLevel="0" collapsed="false">
      <c r="B2" s="2" t="s">
        <v>206</v>
      </c>
    </row>
    <row r="4" customFormat="false" ht="15" hidden="false" customHeight="false" outlineLevel="0" collapsed="false">
      <c r="B4" s="14" t="s">
        <v>207</v>
      </c>
      <c r="C4" s="14" t="s">
        <v>208</v>
      </c>
      <c r="D4" s="14" t="s">
        <v>30</v>
      </c>
      <c r="E4" s="14" t="s">
        <v>209</v>
      </c>
      <c r="F4" s="14" t="s">
        <v>13</v>
      </c>
    </row>
    <row r="5" customFormat="false" ht="15" hidden="false" customHeight="false" outlineLevel="0" collapsed="false">
      <c r="B5" s="5" t="s">
        <v>210</v>
      </c>
      <c r="C5" s="11" t="s">
        <v>153</v>
      </c>
      <c r="D5" s="11" t="s">
        <v>153</v>
      </c>
      <c r="E5" s="11" t="s">
        <v>211</v>
      </c>
      <c r="F5" s="18" t="s">
        <v>212</v>
      </c>
    </row>
    <row r="6" customFormat="false" ht="15" hidden="false" customHeight="false" outlineLevel="0" collapsed="false">
      <c r="B6" s="5" t="s">
        <v>213</v>
      </c>
      <c r="C6" s="11" t="s">
        <v>19</v>
      </c>
      <c r="D6" s="11" t="s">
        <v>19</v>
      </c>
      <c r="E6" s="11" t="s">
        <v>211</v>
      </c>
      <c r="F6" s="17" t="s">
        <v>192</v>
      </c>
    </row>
    <row r="7" customFormat="false" ht="15" hidden="false" customHeight="false" outlineLevel="0" collapsed="false">
      <c r="B7" s="5" t="s">
        <v>214</v>
      </c>
      <c r="C7" s="11" t="s">
        <v>21</v>
      </c>
      <c r="D7" s="11" t="s">
        <v>21</v>
      </c>
      <c r="E7" s="11" t="s">
        <v>211</v>
      </c>
      <c r="F7" s="18" t="s">
        <v>212</v>
      </c>
    </row>
    <row r="8" customFormat="false" ht="15" hidden="false" customHeight="false" outlineLevel="0" collapsed="false">
      <c r="B8" s="5" t="s">
        <v>215</v>
      </c>
      <c r="C8" s="11" t="n">
        <v>2</v>
      </c>
      <c r="D8" s="11" t="n">
        <v>2</v>
      </c>
      <c r="E8" s="11" t="s">
        <v>211</v>
      </c>
      <c r="F8" s="18" t="s">
        <v>212</v>
      </c>
    </row>
    <row r="9" customFormat="false" ht="15" hidden="false" customHeight="false" outlineLevel="0" collapsed="false">
      <c r="B9" s="5" t="s">
        <v>216</v>
      </c>
      <c r="C9" s="11" t="s">
        <v>217</v>
      </c>
      <c r="D9" s="11" t="n">
        <v>3</v>
      </c>
      <c r="E9" s="11" t="s">
        <v>211</v>
      </c>
      <c r="F9" s="17" t="s">
        <v>192</v>
      </c>
    </row>
    <row r="12" customFormat="false" ht="15" hidden="false" customHeight="false" outlineLevel="0" collapsed="false">
      <c r="B12" s="4" t="s">
        <v>54</v>
      </c>
    </row>
    <row r="13" customFormat="false" ht="15" hidden="false" customHeight="false" outlineLevel="0" collapsed="false">
      <c r="B13" s="3" t="s">
        <v>55</v>
      </c>
    </row>
    <row r="14" customFormat="false" ht="15" hidden="false" customHeight="false" outlineLevel="0" collapsed="false">
      <c r="B14" s="3" t="s">
        <v>56</v>
      </c>
    </row>
    <row r="15" customFormat="false" ht="15" hidden="false" customHeight="false" outlineLevel="0" collapsed="false">
      <c r="B15" s="3" t="s">
        <v>57</v>
      </c>
    </row>
    <row r="16" customFormat="false" ht="15" hidden="false" customHeight="false" outlineLevel="0" collapsed="false">
      <c r="B16" s="3" t="s">
        <v>58</v>
      </c>
    </row>
    <row r="17" customFormat="false" ht="15" hidden="false" customHeight="false" outlineLevel="0" collapsed="false">
      <c r="B17" s="3" t="s">
        <v>59</v>
      </c>
    </row>
    <row r="18" customFormat="false" ht="15" hidden="false" customHeight="false" outlineLevel="0" collapsed="false">
      <c r="B18" s="3" t="s">
        <v>60</v>
      </c>
    </row>
    <row r="19" customFormat="false" ht="15" hidden="false" customHeight="false" outlineLevel="0" collapsed="false">
      <c r="B19" s="3" t="s">
        <v>61</v>
      </c>
    </row>
    <row r="20" customFormat="false" ht="15" hidden="false" customHeight="false" outlineLevel="0" collapsed="false">
      <c r="B20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30"/>
  </cols>
  <sheetData>
    <row r="2" customFormat="false" ht="22.05" hidden="false" customHeight="false" outlineLevel="0" collapsed="false">
      <c r="B2" s="2" t="s">
        <v>218</v>
      </c>
    </row>
    <row r="4" customFormat="false" ht="15" hidden="false" customHeight="false" outlineLevel="0" collapsed="false">
      <c r="B4" s="14" t="s">
        <v>145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219</v>
      </c>
    </row>
    <row r="5" customFormat="false" ht="15" hidden="false" customHeight="false" outlineLevel="0" collapsed="false">
      <c r="B5" s="11" t="n">
        <v>1</v>
      </c>
      <c r="C5" s="11" t="s">
        <v>103</v>
      </c>
      <c r="D5" s="11" t="n">
        <v>9</v>
      </c>
      <c r="E5" s="11" t="n">
        <v>90629</v>
      </c>
      <c r="F5" s="11" t="s">
        <v>146</v>
      </c>
      <c r="G5" s="3" t="s">
        <v>220</v>
      </c>
    </row>
    <row r="6" customFormat="false" ht="15" hidden="false" customHeight="false" outlineLevel="0" collapsed="false">
      <c r="B6" s="11" t="n">
        <v>2</v>
      </c>
      <c r="C6" s="11" t="s">
        <v>104</v>
      </c>
      <c r="D6" s="11" t="n">
        <v>2</v>
      </c>
      <c r="E6" s="11" t="n">
        <v>6402</v>
      </c>
      <c r="F6" s="11" t="s">
        <v>148</v>
      </c>
      <c r="G6" s="3"/>
    </row>
    <row r="7" customFormat="false" ht="15" hidden="false" customHeight="false" outlineLevel="0" collapsed="false">
      <c r="B7" s="11" t="n">
        <v>3</v>
      </c>
      <c r="C7" s="11" t="s">
        <v>105</v>
      </c>
      <c r="D7" s="11" t="n">
        <v>1</v>
      </c>
      <c r="E7" s="11" t="n">
        <v>922</v>
      </c>
      <c r="F7" s="11" t="s">
        <v>149</v>
      </c>
      <c r="G7" s="3"/>
    </row>
    <row r="10" customFormat="false" ht="15" hidden="false" customHeight="false" outlineLevel="0" collapsed="false">
      <c r="B10" s="4" t="s">
        <v>54</v>
      </c>
    </row>
    <row r="11" customFormat="false" ht="15" hidden="false" customHeight="false" outlineLevel="0" collapsed="false">
      <c r="B11" s="3" t="s">
        <v>55</v>
      </c>
    </row>
    <row r="12" customFormat="false" ht="15" hidden="false" customHeight="false" outlineLevel="0" collapsed="false">
      <c r="B12" s="3" t="s">
        <v>56</v>
      </c>
    </row>
    <row r="13" customFormat="false" ht="15" hidden="false" customHeight="false" outlineLevel="0" collapsed="false">
      <c r="B13" s="3" t="s">
        <v>57</v>
      </c>
    </row>
    <row r="14" customFormat="false" ht="15" hidden="false" customHeight="false" outlineLevel="0" collapsed="false">
      <c r="B14" s="3" t="s">
        <v>58</v>
      </c>
    </row>
    <row r="15" customFormat="false" ht="15" hidden="false" customHeight="false" outlineLevel="0" collapsed="false">
      <c r="B15" s="3" t="s">
        <v>59</v>
      </c>
    </row>
    <row r="16" customFormat="false" ht="15" hidden="false" customHeight="false" outlineLevel="0" collapsed="false">
      <c r="B16" s="3" t="s">
        <v>60</v>
      </c>
    </row>
    <row r="17" customFormat="false" ht="15" hidden="false" customHeight="false" outlineLevel="0" collapsed="false">
      <c r="B17" s="3" t="s">
        <v>61</v>
      </c>
    </row>
    <row r="18" customFormat="false" ht="15" hidden="false" customHeight="false" outlineLevel="0" collapsed="false">
      <c r="B18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2026-04-27T20:25:38Z</dcterms:created>
  <dc:creator>openpyxl</dc:creator>
  <dc:description/>
  <dc:language>en-US</dc:language>
  <cp:lastModifiedBy/>
  <dcterms:modified xsi:type="dcterms:W3CDTF">2026-04-27T20:25:38Z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