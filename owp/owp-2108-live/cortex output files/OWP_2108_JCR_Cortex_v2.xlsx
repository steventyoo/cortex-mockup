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15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7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1 Overview" sheetId="1" state="visible" r:id="rId3"/>
    <sheet name="02 Job Info" sheetId="2" state="visible" r:id="rId4"/>
    <sheet name="03 Contract" sheetId="3" state="visible" r:id="rId5"/>
    <sheet name="04 SOV-PayApps" sheetId="4" state="visible" r:id="rId6"/>
    <sheet name="05 Change Orders" sheetId="5" state="visible" r:id="rId7"/>
    <sheet name="06 Cost Codes" sheetId="6" state="visible" r:id="rId8"/>
    <sheet name="07 Cost Categories" sheetId="7" state="visible" r:id="rId9"/>
    <sheet name="08 BVA" sheetId="8" state="visible" r:id="rId10"/>
    <sheet name="09 Vendor Analysis" sheetId="9" state="visible" r:id="rId11"/>
    <sheet name="10 Crew Roster" sheetId="10" state="visible" r:id="rId12"/>
    <sheet name="11 Wage Tiers" sheetId="11" state="visible" r:id="rId13"/>
    <sheet name="12 Productivity" sheetId="12" state="visible" r:id="rId14"/>
    <sheet name="13 Benchmarks" sheetId="13" state="visible" r:id="rId15"/>
    <sheet name="14 Predictive Signals" sheetId="14" state="visible" r:id="rId16"/>
    <sheet name="15 Reconciliation" sheetId="15" state="visible" r:id="rId17"/>
    <sheet name="16 Metric Registry" sheetId="16" state="visible" r:id="rId18"/>
    <sheet name="17 Change Log" sheetId="17" state="visible" r:id="rId1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<sst xmlns="http://schemas.openxmlformats.org/spreadsheetml/2006/main" count="391" uniqueCount="294">
  <si>
    <t xml:space="preserve">OWP #2108 · R&amp;G Apartments</t>
  </si>
  <si>
    <t xml:space="preserve">Braseth · 263 units · ON HOLD · Summer 2026?</t>
  </si>
  <si>
    <t xml:space="preserve">Forecast at Completion (Revised Basis)</t>
  </si>
  <si>
    <t xml:space="preserve">Revised contract value</t>
  </si>
  <si>
    <t xml:space="preserve">Revised budget (expenses)</t>
  </si>
  <si>
    <t xml:space="preserve">Forecast net profit</t>
  </si>
  <si>
    <t xml:space="preserve">Forecast margin</t>
  </si>
  <si>
    <t xml:space="preserve">Progress to Date</t>
  </si>
  <si>
    <t xml:space="preserve">Work complete (billed)</t>
  </si>
  <si>
    <t xml:space="preserve">Retention held</t>
  </si>
  <si>
    <t xml:space="preserve">Earned less retention</t>
  </si>
  <si>
    <t xml:space="preserve">Balance to finish</t>
  </si>
  <si>
    <t xml:space="preserve">Percent complete</t>
  </si>
  <si>
    <t xml:space="preserve">Transaction Totals by Source</t>
  </si>
  <si>
    <t xml:space="preserve">Source</t>
  </si>
  <si>
    <t xml:space="preserve">Dollars</t>
  </si>
  <si>
    <t xml:space="preserve">GL</t>
  </si>
  <si>
    <t xml:space="preserve">AP</t>
  </si>
  <si>
    <t xml:space="preserve">PR</t>
  </si>
  <si>
    <t xml:space="preserve">AR</t>
  </si>
  <si>
    <t xml:space="preserve">PROJECT TEAM · KEY PLAYERS</t>
  </si>
  <si>
    <t xml:space="preserve">Pre-construction. Project on hold pending Braseth go-ahead for Summer 2026 start. Team data from index.html PROJECT_TEAMS + JDR identity block.</t>
  </si>
  <si>
    <t xml:space="preserve">ROLE</t>
  </si>
  <si>
    <t xml:space="preserve">VALUE</t>
  </si>
  <si>
    <t xml:space="preserve">General Contractor</t>
  </si>
  <si>
    <t xml:space="preserve">Braseth Construction</t>
  </si>
  <si>
    <t xml:space="preserve">GC Project Manager</t>
  </si>
  <si>
    <t xml:space="preserve">TBD (Braseth) — primary contact pending</t>
  </si>
  <si>
    <t xml:space="preserve">OWP Estimator</t>
  </si>
  <si>
    <t xml:space="preserve">Jeffrey S. Gerard / Jordan E. Gerard (takeoff)</t>
  </si>
  <si>
    <t xml:space="preserve">OWP Signatory</t>
  </si>
  <si>
    <t xml:space="preserve">Richard Donelson</t>
  </si>
  <si>
    <t xml:space="preserve">Owner</t>
  </si>
  <si>
    <t xml:space="preserve">TBD</t>
  </si>
  <si>
    <t xml:space="preserve">Architect</t>
  </si>
  <si>
    <t xml:space="preserve">MEP / Plumbing Engineer</t>
  </si>
  <si>
    <t xml:space="preserve">TBD (Franklin Engineering involved per AP — design fees $90.6k)</t>
  </si>
  <si>
    <t xml:space="preserve">Insurance</t>
  </si>
  <si>
    <t xml:space="preserve">Standard (COI) — non-Wrap</t>
  </si>
  <si>
    <t xml:space="preserve">Status</t>
  </si>
  <si>
    <t xml:space="preserve">ON HOLD · Summer 2026?</t>
  </si>
  <si>
    <t xml:space="preserve">AR Billed to Date</t>
  </si>
  <si>
    <t xml:space="preserve">$91,402</t>
  </si>
  <si>
    <t xml:space="preserve">Direct Cost (sunk)</t>
  </si>
  <si>
    <t xml:space="preserve">$117,162</t>
  </si>
  <si>
    <t xml:space="preserve">Carrying Loss</t>
  </si>
  <si>
    <t xml:space="preserve">$(25,760)</t>
  </si>
  <si>
    <t xml:space="preserve">JOB #2108 · PROJECT INFORMATION &amp; KEY PLAYERS</t>
  </si>
  <si>
    <t xml:space="preserve">Pre-construction record — project is on-hold. Team data sourced from index.html PROJECT_TEAMS['2108'] + Sage JDR identity block. GDrive folder not created yet (will populate when Braseth confirms start).</t>
  </si>
  <si>
    <t xml:space="preserve">IDENTITY</t>
  </si>
  <si>
    <t xml:space="preserve">Job Number</t>
  </si>
  <si>
    <t xml:space="preserve">2108</t>
  </si>
  <si>
    <t xml:space="preserve">Job Name</t>
  </si>
  <si>
    <t xml:space="preserve">R&amp;G Apartments</t>
  </si>
  <si>
    <t xml:space="preserve">Project Type</t>
  </si>
  <si>
    <t xml:space="preserve">Multi-family apartments (pre-construction · on-hold)</t>
  </si>
  <si>
    <t xml:space="preserve">Site Address</t>
  </si>
  <si>
    <t xml:space="preserve">Seattle, WA — Rainier Ave S × S Genesee St (per AR invoice 'Rainier &amp; Genesee, LLC')</t>
  </si>
  <si>
    <t xml:space="preserve">Permit</t>
  </si>
  <si>
    <t xml:space="preserve">Pre-permit</t>
  </si>
  <si>
    <t xml:space="preserve">SCHEDULE</t>
  </si>
  <si>
    <t xml:space="preserve">Design / Takeoff</t>
  </si>
  <si>
    <t xml:space="preserve">Complete (Apr 2026)</t>
  </si>
  <si>
    <t xml:space="preserve">Project Start</t>
  </si>
  <si>
    <t xml:space="preserve">Q1 2027 (estimated)</t>
  </si>
  <si>
    <t xml:space="preserve">Project End</t>
  </si>
  <si>
    <t xml:space="preserve">Schedule Note</t>
  </si>
  <si>
    <t xml:space="preserve">Design/takeoff complete · awaiting Braseth go-ahead · est. start Summer 2026 / Q1 2027</t>
  </si>
  <si>
    <t xml:space="preserve">FINANCIAL POSTURE (PRE-CONSTRUCTION)</t>
  </si>
  <si>
    <t xml:space="preserve">Original Contract</t>
  </si>
  <si>
    <t xml:space="preserve">Not yet executed</t>
  </si>
  <si>
    <t xml:space="preserve">Revised Contract</t>
  </si>
  <si>
    <t xml:space="preserve">Retainage</t>
  </si>
  <si>
    <t xml:space="preserve">$0 (no AR)</t>
  </si>
  <si>
    <t xml:space="preserve">Lien Position</t>
  </si>
  <si>
    <t xml:space="preserve">Not yet recorded — no AR billed</t>
  </si>
  <si>
    <t xml:space="preserve">Warranty</t>
  </si>
  <si>
    <t xml:space="preserve">Pending project activation</t>
  </si>
  <si>
    <t xml:space="preserve">Contract on File</t>
  </si>
  <si>
    <t xml:space="preserve">Not yet executed — Braseth has not committed start date</t>
  </si>
  <si>
    <t xml:space="preserve">SCOPE</t>
  </si>
  <si>
    <t xml:space="preserve">Plumbing Units</t>
  </si>
  <si>
    <t xml:space="preserve">263  ⚠ UNVERIFIED ESTIMATE</t>
  </si>
  <si>
    <t xml:space="preserve">Units provenance</t>
  </si>
  <si>
    <t xml:space="preserve">⚠ UNVERIFIED ESTIMATE — set by prior session in parse_2108.py PROJECT_META. JDR has no unit count. No GDrive folder mounted. Must be confirmed against drawing P001 or OWP bid sheet once available.</t>
  </si>
  <si>
    <t xml:space="preserve">Total Fixtures</t>
  </si>
  <si>
    <t xml:space="preserve">UNKNOWN  ⚠ no fixture schedule available</t>
  </si>
  <si>
    <t xml:space="preserve">Fixtures provenance</t>
  </si>
  <si>
    <t xml:space="preserve">UNKNOWN — no fixture schedule available (pre-construction · no design drawings extracted yet).</t>
  </si>
  <si>
    <t xml:space="preserve">Floors</t>
  </si>
  <si>
    <t xml:space="preserve">Fixture Counts</t>
  </si>
  <si>
    <t xml:space="preserve">PROJECT TEAM — GENERAL CONTRACTOR</t>
  </si>
  <si>
    <t xml:space="preserve">GC Superintendent</t>
  </si>
  <si>
    <t xml:space="preserve">GC Project Engineer</t>
  </si>
  <si>
    <t xml:space="preserve">PROJECT TEAM — OWP STAFF</t>
  </si>
  <si>
    <t xml:space="preserve">OWP Roughin Foreman</t>
  </si>
  <si>
    <t xml:space="preserve">TBD · project on hold</t>
  </si>
  <si>
    <t xml:space="preserve">OWP Trim Foreman</t>
  </si>
  <si>
    <t xml:space="preserve">OWP Estimator (takeoff)</t>
  </si>
  <si>
    <t xml:space="preserve">PROJECT TEAM — OWNER &amp; DEVELOPMENT</t>
  </si>
  <si>
    <t xml:space="preserve">Owner of Record</t>
  </si>
  <si>
    <t xml:space="preserve">Lake Union Partners (per AR invoice 'Lake Union Partners $R&amp;G Apts')</t>
  </si>
  <si>
    <t xml:space="preserve">Developer</t>
  </si>
  <si>
    <t xml:space="preserve">Lake Union Partners (per AR billing)</t>
  </si>
  <si>
    <t xml:space="preserve">PROJECT TEAM — DESIGN</t>
  </si>
  <si>
    <t xml:space="preserve">Structural Engineer</t>
  </si>
  <si>
    <t xml:space="preserve">Civil Engineer</t>
  </si>
  <si>
    <t xml:space="preserve">Landscape</t>
  </si>
  <si>
    <t xml:space="preserve">DOCUMENT META (current)</t>
  </si>
  <si>
    <t xml:space="preserve">Pay Apps (filed)</t>
  </si>
  <si>
    <t xml:space="preserve">0</t>
  </si>
  <si>
    <t xml:space="preserve">Executed COs</t>
  </si>
  <si>
    <t xml:space="preserve">CORs</t>
  </si>
  <si>
    <t xml:space="preserve">RFIs</t>
  </si>
  <si>
    <t xml:space="preserve">Submittals</t>
  </si>
  <si>
    <t xml:space="preserve">POs</t>
  </si>
  <si>
    <t xml:space="preserve">Permit Count</t>
  </si>
  <si>
    <t xml:space="preserve">0 (pre-permit)</t>
  </si>
  <si>
    <t xml:space="preserve">Notes</t>
  </si>
  <si>
    <t xml:space="preserve">Project hasn't reached document-generation phase. Only the OWP estimating team has touched the file (takeoff + design coordination).</t>
  </si>
  <si>
    <t xml:space="preserve">DATA SOURCES</t>
  </si>
  <si>
    <t xml:space="preserve">JDR PDF</t>
  </si>
  <si>
    <t xml:space="preserve">2108 Job Detail Report (Sage Timberline · Apr 3 2026 run)</t>
  </si>
  <si>
    <t xml:space="preserve">Parsed Data</t>
  </si>
  <si>
    <t xml:space="preserve">2108_data.json</t>
  </si>
  <si>
    <t xml:space="preserve">Dashboard Arrays</t>
  </si>
  <si>
    <t xml:space="preserve">2108_dashboard_arrays.json (16 arrays sourced from index.html PROJECTS['2108'])</t>
  </si>
  <si>
    <t xml:space="preserve">GDrive Folder</t>
  </si>
  <si>
    <t xml:space="preserve">Not yet created</t>
  </si>
  <si>
    <t xml:space="preserve">GDrive Status</t>
  </si>
  <si>
    <t xml:space="preserve">No GDrive folder created yet (project hasn't reached active stage). All team data from index.html PROJECT_TEAMS['2108'] + Sage JDR identity block.</t>
  </si>
  <si>
    <t xml:space="preserve">RISK FLAGS</t>
  </si>
  <si>
    <t xml:space="preserve">Carrying $91k design cost</t>
  </si>
  <si>
    <t xml:space="preserve">OWP has $117k of sunk costs. If project cancels, OWP eats the design + takeoff time. Reach out to Braseth PM to confirm summer 2026 start before Q4 2026.</t>
  </si>
  <si>
    <t xml:space="preserve">Top-vendor concentration</t>
  </si>
  <si>
    <t xml:space="preserve">Franklin Engineering = 92.5% of $97k AP. All design fee.</t>
  </si>
  <si>
    <t xml:space="preserve">New GC (Braseth)</t>
  </si>
  <si>
    <t xml:space="preserve">OWP has no closed-job history with Braseth. Once project activates, watch payment cadence + change-order behavior closely.</t>
  </si>
  <si>
    <t xml:space="preserve">Contract Summary</t>
  </si>
  <si>
    <t xml:space="preserve">Item</t>
  </si>
  <si>
    <t xml:space="preserve">Original</t>
  </si>
  <si>
    <t xml:space="preserve">Revised</t>
  </si>
  <si>
    <t xml:space="preserve">Delta</t>
  </si>
  <si>
    <t xml:space="preserve">Base construction contract</t>
  </si>
  <si>
    <t xml:space="preserve">Executed change orders (net)</t>
  </si>
  <si>
    <t xml:space="preserve">Total contract value</t>
  </si>
  <si>
    <t xml:space="preserve">Executed Change Orders</t>
  </si>
  <si>
    <t xml:space="preserve">CO #</t>
  </si>
  <si>
    <t xml:space="preserve">Description</t>
  </si>
  <si>
    <t xml:space="preserve">Amount</t>
  </si>
  <si>
    <t xml:space="preserve">Schedule of Values / Pay Application History</t>
  </si>
  <si>
    <t xml:space="preserve">Pay App</t>
  </si>
  <si>
    <t xml:space="preserve">Period End</t>
  </si>
  <si>
    <t xml:space="preserve">This Period</t>
  </si>
  <si>
    <t xml:space="preserve">Completed to Date</t>
  </si>
  <si>
    <t xml:space="preserve">Retention Held</t>
  </si>
  <si>
    <t xml:space="preserve">Previous Billed</t>
  </si>
  <si>
    <t xml:space="preserve">Current Balance</t>
  </si>
  <si>
    <t xml:space="preserve">Change Order Log</t>
  </si>
  <si>
    <t xml:space="preserve">#</t>
  </si>
  <si>
    <t xml:space="preserve">Type</t>
  </si>
  <si>
    <t xml:space="preserve">Cost Code Detail (Revised Basis)</t>
  </si>
  <si>
    <t xml:space="preserve">Code</t>
  </si>
  <si>
    <t xml:space="preserve">Actual</t>
  </si>
  <si>
    <t xml:space="preserve">Variance</t>
  </si>
  <si>
    <t xml:space="preserve">Net Due</t>
  </si>
  <si>
    <t xml:space="preserve">% Complete</t>
  </si>
  <si>
    <t xml:space="preserve">101</t>
  </si>
  <si>
    <t xml:space="preserve">Takeoff &amp; Purchase Labor</t>
  </si>
  <si>
    <t xml:space="preserve">601</t>
  </si>
  <si>
    <t xml:space="preserve">Engineering/Plans</t>
  </si>
  <si>
    <t xml:space="preserve">602</t>
  </si>
  <si>
    <t xml:space="preserve">Rental Equipment</t>
  </si>
  <si>
    <t xml:space="preserve">603</t>
  </si>
  <si>
    <t xml:space="preserve">Permits &amp; Licenses</t>
  </si>
  <si>
    <t xml:space="preserve">995</t>
  </si>
  <si>
    <t xml:space="preserve">Payroll Burden</t>
  </si>
  <si>
    <t xml:space="preserve">998</t>
  </si>
  <si>
    <t xml:space="preserve">Payroll Taxes</t>
  </si>
  <si>
    <t xml:space="preserve">TOTAL</t>
  </si>
  <si>
    <t xml:space="preserve">Cost Category Rollup</t>
  </si>
  <si>
    <t xml:space="preserve">Category</t>
  </si>
  <si>
    <t xml:space="preserve"># Codes</t>
  </si>
  <si>
    <t xml:space="preserve">Revised Budget</t>
  </si>
  <si>
    <t xml:space="preserve">Labor</t>
  </si>
  <si>
    <t xml:space="preserve">Material</t>
  </si>
  <si>
    <t xml:space="preserve">Overhead</t>
  </si>
  <si>
    <t xml:space="preserve">Burden</t>
  </si>
  <si>
    <t xml:space="preserve">Budget vs Actual — Flag list</t>
  </si>
  <si>
    <t xml:space="preserve">Revised budget is canonical basis. Flags: OVER &gt;10%, CRITICAL &gt;50%, ON ±10%, UNDER &lt;-10%.</t>
  </si>
  <si>
    <t xml:space="preserve">% Var</t>
  </si>
  <si>
    <t xml:space="preserve">Vendor Spend (AP source)</t>
  </si>
  <si>
    <t xml:space="preserve">Vendor</t>
  </si>
  <si>
    <t xml:space="preserve">Spend ($)</t>
  </si>
  <si>
    <t xml:space="preserve">Invoices</t>
  </si>
  <si>
    <t xml:space="preserve">% of Total AP</t>
  </si>
  <si>
    <t xml:space="preserve">Franklin Engineering</t>
  </si>
  <si>
    <t xml:space="preserve">Bank of America CC</t>
  </si>
  <si>
    <t xml:space="preserve">Herc Rentals, Inc.</t>
  </si>
  <si>
    <t xml:space="preserve">TOTAL AP</t>
  </si>
  <si>
    <t xml:space="preserve">Crew Roster (PR source)</t>
  </si>
  <si>
    <t xml:space="preserve">Worker</t>
  </si>
  <si>
    <t xml:space="preserve">Hours</t>
  </si>
  <si>
    <t xml:space="preserve">Labor $</t>
  </si>
  <si>
    <t xml:space="preserve">Avg $/hr</t>
  </si>
  <si>
    <t xml:space="preserve">Tier</t>
  </si>
  <si>
    <t xml:space="preserve">Gerard, Jeffrey S</t>
  </si>
  <si>
    <t xml:space="preserve">LEAD/SUPERVISOR</t>
  </si>
  <si>
    <t xml:space="preserve">Gerard, Jordan E</t>
  </si>
  <si>
    <t xml:space="preserve">Wage Tier Distribution</t>
  </si>
  <si>
    <t xml:space="preserve"># Workers</t>
  </si>
  <si>
    <t xml:space="preserve">% of Hours</t>
  </si>
  <si>
    <t xml:space="preserve">JOURNEYMAN</t>
  </si>
  <si>
    <t xml:space="preserve">APPRENTICE/HELPER</t>
  </si>
  <si>
    <t xml:space="preserve">OT-ONLY</t>
  </si>
  <si>
    <t xml:space="preserve">Productivity Metrics</t>
  </si>
  <si>
    <t xml:space="preserve">Total labor hours (to date)</t>
  </si>
  <si>
    <t xml:space="preserve">Active workers</t>
  </si>
  <si>
    <t xml:space="preserve">Hours per unit (to date)</t>
  </si>
  <si>
    <t xml:space="preserve">Revenue per labor hour (billed)</t>
  </si>
  <si>
    <t xml:space="preserve">Portfolio Benchmarks (vs. closed jobs)</t>
  </si>
  <si>
    <t xml:space="preserve">Metric</t>
  </si>
  <si>
    <t xml:space="preserve">This Job</t>
  </si>
  <si>
    <t xml:space="preserve">Portfolio Median</t>
  </si>
  <si>
    <t xml:space="preserve">Forecast margin %</t>
  </si>
  <si>
    <t xml:space="preserve">Roughin labor share (code 120)</t>
  </si>
  <si>
    <t xml:space="preserve">Top vendor concentration</t>
  </si>
  <si>
    <t xml:space="preserve">Hours per unit</t>
  </si>
  <si>
    <t xml:space="preserve">Predictive Signals — Job #2108 (pre-construction)</t>
  </si>
  <si>
    <t xml:space="preserve">Signal</t>
  </si>
  <si>
    <t xml:space="preserve">Current Value</t>
  </si>
  <si>
    <t xml:space="preserve">Threshold</t>
  </si>
  <si>
    <t xml:space="preserve">Severity</t>
  </si>
  <si>
    <t xml:space="preserve">BVA Critical Flags</t>
  </si>
  <si>
    <t xml:space="preserve">1</t>
  </si>
  <si>
    <t xml:space="preserve">&lt;2</t>
  </si>
  <si>
    <t xml:space="preserve">HEALTHY</t>
  </si>
  <si>
    <t xml:space="preserve">BVA Over Flags</t>
  </si>
  <si>
    <t xml:space="preserve">&lt;5</t>
  </si>
  <si>
    <t xml:space="preserve">Change Order Count</t>
  </si>
  <si>
    <t xml:space="preserve">&lt;10</t>
  </si>
  <si>
    <t xml:space="preserve">$0</t>
  </si>
  <si>
    <t xml:space="preserve">&lt;6%</t>
  </si>
  <si>
    <t xml:space="preserve">Forecast Margin</t>
  </si>
  <si>
    <t xml:space="preserve">0.0%</t>
  </si>
  <si>
    <t xml:space="preserve">&gt;25%</t>
  </si>
  <si>
    <t xml:space="preserve">ELEVATED</t>
  </si>
  <si>
    <t xml:space="preserve">Project status</t>
  </si>
  <si>
    <t xml:space="preserve">ACTIVE</t>
  </si>
  <si>
    <t xml:space="preserve">WATCH</t>
  </si>
  <si>
    <t xml:space="preserve">Sunk design cost (carrying)</t>
  </si>
  <si>
    <t xml:space="preserve">AR billed</t>
  </si>
  <si>
    <t xml:space="preserve">&gt;$1M for medium job</t>
  </si>
  <si>
    <t xml:space="preserve">INFO</t>
  </si>
  <si>
    <t xml:space="preserve">Pay apps filed</t>
  </si>
  <si>
    <t xml:space="preserve">&gt;=1</t>
  </si>
  <si>
    <t xml:space="preserve">GC closed-job history</t>
  </si>
  <si>
    <t xml:space="preserve">0 jobs with Braseth</t>
  </si>
  <si>
    <t xml:space="preserve">JDR Reconciliation</t>
  </si>
  <si>
    <t xml:space="preserve">Reported</t>
  </si>
  <si>
    <t xml:space="preserve">Calculated</t>
  </si>
  <si>
    <t xml:space="preserve">Total expenses (from code totals)</t>
  </si>
  <si>
    <t xml:space="preserve">Revenue billed (AR ·-1)</t>
  </si>
  <si>
    <t xml:space="preserve">AP source total</t>
  </si>
  <si>
    <t xml:space="preserve">PR source total</t>
  </si>
  <si>
    <t xml:space="preserve">GL source total</t>
  </si>
  <si>
    <t xml:space="preserve">Metric Registry</t>
  </si>
  <si>
    <t xml:space="preserve">Source Tab</t>
  </si>
  <si>
    <t xml:space="preserve">Definition</t>
  </si>
  <si>
    <t xml:space="preserve">01 Overview</t>
  </si>
  <si>
    <t xml:space="preserve">Forecast net profit / Revised contract value</t>
  </si>
  <si>
    <t xml:space="preserve">Billed to date / Revised contract value</t>
  </si>
  <si>
    <t xml:space="preserve">Roughin labor share</t>
  </si>
  <si>
    <t xml:space="preserve">06 Cost Codes</t>
  </si>
  <si>
    <t xml:space="preserve">Code 120 revised / Total labor revised budget</t>
  </si>
  <si>
    <t xml:space="preserve">09 Vendor Analysis</t>
  </si>
  <si>
    <t xml:space="preserve">Largest single vendor AP spend / Total AP</t>
  </si>
  <si>
    <t xml:space="preserve">12 Productivity</t>
  </si>
  <si>
    <t xml:space="preserve">Total PR hours to date / Unit count</t>
  </si>
  <si>
    <t xml:space="preserve">BVA status codes</t>
  </si>
  <si>
    <t xml:space="preserve">08 BVA</t>
  </si>
  <si>
    <t xml:space="preserve">OVER / CRITICAL / UNDER / ON / UNBUDGETED on revised basis</t>
  </si>
  <si>
    <t xml:space="preserve">Workbook Change Log</t>
  </si>
  <si>
    <t xml:space="preserve">Date</t>
  </si>
  <si>
    <t xml:space="preserve">Version</t>
  </si>
  <si>
    <t xml:space="preserve">Note</t>
  </si>
  <si>
    <t xml:space="preserve">2026-04-25</t>
  </si>
  <si>
    <t xml:space="preserve">v1.0 · cancelled</t>
  </si>
  <si>
    <t xml:space="preserve">Initial build for #2108 cancelled project. 17-tab JCR schema on revised budget basis.</t>
  </si>
  <si>
    <t xml:space="preserve">2026-04-27</t>
  </si>
  <si>
    <t xml:space="preserve">v1.1 · enriched</t>
  </si>
  <si>
    <t xml:space="preserve">Enriched Job Info tab with 11-section sectioned layout (identity / schedule / financial posture / scope / project team — 4 sub-sections / document meta / data sources / risk flags). Corrected status from 'CANCELLED' (template default) to 'ON HOLD · Summer 2026?'. Predictive Signals expanded with pre-construction-specific signals.</t>
  </si>
  <si>
    <t xml:space="preserve">v1.2 · units audit</t>
  </si>
  <si>
    <t xml:space="preserve">Audited unit/fixture counts. Units 263 flagged as UNVERIFIED ESTIMATE (no source-doc verification possible — JDR has no unit count, no GDrive folder mounted). Fixtures marked UNKNOWN. Recovered owner from JDR AR section: Lake Union Partners. Recovered location: Rainier &amp; Genesee intersection (Columbia City, Seattle).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</si>
</sst>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;&quot;($&quot;#,##0\);\-"/>
    <numFmt numFmtId="166" formatCode="0.0%;\(0.0%\);\-"/>
    <numFmt numFmtId="167" formatCode="#,##0"/>
    <numFmt numFmtId="168" formatCode="#,##0.0"/>
    <numFmt numFmtId="169" formatCode="\$#,##0.0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C2B29"/>
      <name val="Arial"/>
      <family val="0"/>
      <charset val="1"/>
    </font>
    <font>
      <b val="true"/>
      <sz val="10"/>
      <color rgb="FF9A4F02"/>
      <name val="Arial"/>
      <family val="0"/>
      <charset val="1"/>
    </font>
    <font>
      <b val="true"/>
      <sz val="12"/>
      <color rgb="FF2C2B29"/>
      <name val="Arial"/>
      <family val="0"/>
      <charset val="1"/>
    </font>
    <font>
      <sz val="10"/>
      <color rgb="FF2C2B29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1F1F1F"/>
      <name val="Arial"/>
      <family val="0"/>
      <charset val="1"/>
    </font>
    <font>
      <i val="true"/>
      <sz val="9"/>
      <color rgb="FF6B6B6B"/>
      <name val="Arial"/>
      <family val="0"/>
      <charset val="1"/>
    </font>
    <font>
      <b val="true"/>
      <sz val="10"/>
      <color rgb="FF1F1F1F"/>
      <name val="Arial"/>
      <family val="0"/>
      <charset val="1"/>
    </font>
    <font>
      <sz val="10"/>
      <color rgb="FF1F1F1F"/>
      <name val="Arial"/>
      <family val="0"/>
      <charset val="1"/>
    </font>
    <font>
      <b val="true"/>
      <sz val="14"/>
      <color rgb="FF1F1F1F"/>
      <name val="Arial"/>
      <family val="0"/>
      <charset val="1"/>
    </font>
    <font>
      <b val="true"/>
      <sz val="10"/>
      <color rgb="FF2C2B29"/>
      <name val="Arial"/>
      <family val="0"/>
      <charset val="1"/>
    </font>
    <font>
      <i val="true"/>
      <sz val="9"/>
      <color rgb="FF70655C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2C2B29"/>
        <bgColor rgb="FF1F1F1F"/>
      </patternFill>
    </fill>
    <fill>
      <patternFill patternType="solid">
        <fgColor rgb="FFECF0F1"/>
        <bgColor rgb="FFFFF8E7"/>
      </patternFill>
    </fill>
    <fill>
      <patternFill patternType="solid">
        <fgColor rgb="FF2C3E50"/>
        <bgColor rgb="FF2C2B29"/>
      </patternFill>
    </fill>
    <fill>
      <patternFill patternType="solid">
        <fgColor rgb="FFFFF8E7"/>
        <bgColor rgb="FFFFF3CD"/>
      </patternFill>
    </fill>
    <fill>
      <patternFill patternType="solid">
        <fgColor rgb="FFFFF3CD"/>
        <bgColor rgb="FFFFF8E7"/>
      </patternFill>
    </fill>
    <fill>
      <patternFill patternType="solid">
        <fgColor rgb="FFD4EDDA"/>
        <bgColor rgb="FFD1ECF1"/>
      </patternFill>
    </fill>
    <fill>
      <patternFill patternType="solid">
        <fgColor rgb="FFD1ECF1"/>
        <bgColor rgb="FFD4EDDA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 diagonalUp="false" diagonalDown="false">
      <left style="thin">
        <color rgb="FFD5D8DC"/>
      </left>
      <right/>
      <top style="thin">
        <color rgb="FFD5D8DC"/>
      </top>
      <bottom style="thin">
        <color rgb="FFD5D8DC"/>
      </bottom>
      <diagonal/>
    </border>
    <border diagonalUp="false" diagonalDown="false">
      <left/>
      <right/>
      <top style="thin">
        <color rgb="FFD5D8DC"/>
      </top>
      <bottom style="thin">
        <color rgb="FFD5D8DC"/>
      </bottom>
      <diagonal/>
    </border>
    <border diagonalUp="false" diagonalDown="false">
      <left style="thin">
        <color rgb="FFBFB8AE"/>
      </left>
      <right style="thin">
        <color rgb="FFBFB8AE"/>
      </right>
      <top style="thin">
        <color rgb="FFBFB8AE"/>
      </top>
      <bottom style="thin">
        <color rgb="FFBFB8A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8AE"/>
      <rgbColor rgb="FF70655C"/>
      <rgbColor rgb="FF9999FF"/>
      <rgbColor rgb="FF993366"/>
      <rgbColor rgb="FFFFF3CD"/>
      <rgbColor rgb="FFD1ECF1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CF0F1"/>
      <rgbColor rgb="FFD4EDDA"/>
      <rgbColor rgb="FFFFF8E7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1F1F1F"/>
      <rgbColor rgb="FF9A4F02"/>
      <rgbColor rgb="FF993366"/>
      <rgbColor rgb="FF2C3E50"/>
      <rgbColor rgb="FF2C2B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5" min="2" style="1" width="18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v>0</v>
      </c>
    </row>
    <row r="6" customFormat="false" ht="15" hidden="false" customHeight="true" outlineLevel="0" collapsed="false">
      <c r="A6" s="5" t="s">
        <v>4</v>
      </c>
      <c r="B6" s="6" t="n">
        <v>0</v>
      </c>
    </row>
    <row r="7" customFormat="false" ht="15" hidden="false" customHeight="true" outlineLevel="0" collapsed="false">
      <c r="A7" s="5" t="s">
        <v>5</v>
      </c>
      <c r="B7" s="7" t="n">
        <f aca="false">B5-B6</f>
        <v>0</v>
      </c>
    </row>
    <row r="8" customFormat="false" ht="15" hidden="false" customHeight="true" outlineLevel="0" collapsed="false">
      <c r="A8" s="5" t="s">
        <v>6</v>
      </c>
      <c r="B8" s="8" t="n">
        <f aca="false">IFERROR(B7/B5,0)</f>
        <v>0</v>
      </c>
    </row>
    <row r="10" customFormat="false" ht="15" hidden="false" customHeight="true" outlineLevel="0" collapsed="false">
      <c r="A10" s="4" t="s">
        <v>7</v>
      </c>
    </row>
    <row r="11" customFormat="false" ht="15" hidden="false" customHeight="true" outlineLevel="0" collapsed="false">
      <c r="A11" s="5" t="s">
        <v>8</v>
      </c>
      <c r="B11" s="6" t="n">
        <v>91402</v>
      </c>
    </row>
    <row r="12" customFormat="false" ht="15" hidden="false" customHeight="true" outlineLevel="0" collapsed="false">
      <c r="A12" s="5" t="s">
        <v>9</v>
      </c>
      <c r="B12" s="6" t="n">
        <v>0</v>
      </c>
    </row>
    <row r="13" customFormat="false" ht="15" hidden="false" customHeight="true" outlineLevel="0" collapsed="false">
      <c r="A13" s="5" t="s">
        <v>10</v>
      </c>
      <c r="B13" s="7" t="n">
        <f aca="false">B11-B12</f>
        <v>91402</v>
      </c>
    </row>
    <row r="14" customFormat="false" ht="15" hidden="false" customHeight="true" outlineLevel="0" collapsed="false">
      <c r="A14" s="5" t="s">
        <v>11</v>
      </c>
      <c r="B14" s="7" t="n">
        <f aca="false">B5-B11</f>
        <v>-91402</v>
      </c>
    </row>
    <row r="15" customFormat="false" ht="15" hidden="false" customHeight="true" outlineLevel="0" collapsed="false">
      <c r="A15" s="5" t="s">
        <v>12</v>
      </c>
      <c r="B15" s="8" t="n">
        <f aca="false">IFERROR(B11/B5,0)</f>
        <v>0</v>
      </c>
    </row>
    <row r="17" customFormat="false" ht="15" hidden="false" customHeight="true" outlineLevel="0" collapsed="false">
      <c r="A17" s="4" t="s">
        <v>13</v>
      </c>
    </row>
    <row r="18" customFormat="false" ht="15" hidden="false" customHeight="true" outlineLevel="0" collapsed="false">
      <c r="A18" s="9" t="s">
        <v>14</v>
      </c>
      <c r="B18" s="9" t="s">
        <v>15</v>
      </c>
    </row>
    <row r="19" customFormat="false" ht="15" hidden="false" customHeight="true" outlineLevel="0" collapsed="false">
      <c r="A19" s="5" t="s">
        <v>16</v>
      </c>
      <c r="B19" s="10" t="n">
        <v>15858.75</v>
      </c>
    </row>
    <row r="20" customFormat="false" ht="15" hidden="false" customHeight="true" outlineLevel="0" collapsed="false">
      <c r="A20" s="5" t="s">
        <v>17</v>
      </c>
      <c r="B20" s="10" t="n">
        <v>97953.1</v>
      </c>
    </row>
    <row r="21" customFormat="false" ht="15" hidden="false" customHeight="true" outlineLevel="0" collapsed="false">
      <c r="A21" s="5" t="s">
        <v>18</v>
      </c>
      <c r="B21" s="10" t="n">
        <v>3350.12</v>
      </c>
    </row>
    <row r="22" customFormat="false" ht="15" hidden="false" customHeight="true" outlineLevel="0" collapsed="false">
      <c r="A22" s="5" t="s">
        <v>19</v>
      </c>
      <c r="B22" s="10" t="n">
        <v>-91402</v>
      </c>
    </row>
    <row r="40" customFormat="false" ht="15" hidden="false" customHeight="true" outlineLevel="0" collapsed="false">
      <c r="A40" s="11" t="s">
        <v>20</v>
      </c>
      <c r="B40" s="11"/>
      <c r="C40" s="11"/>
      <c r="D40" s="11"/>
      <c r="E40" s="11"/>
      <c r="F40" s="11"/>
      <c r="G40" s="11"/>
      <c r="H40" s="1"/>
    </row>
    <row r="41" customFormat="false" ht="15" hidden="false" customHeight="true" outlineLevel="0" collapsed="false">
      <c r="A41" s="12" t="s">
        <v>21</v>
      </c>
      <c r="B41" s="12"/>
      <c r="C41" s="12"/>
      <c r="D41" s="12"/>
      <c r="E41" s="12"/>
      <c r="F41" s="12"/>
      <c r="G41" s="12"/>
      <c r="H41" s="1"/>
    </row>
    <row r="42" customFormat="false" ht="15" hidden="false" customHeight="true" outlineLevel="0" collapsed="false">
      <c r="F42" s="1"/>
      <c r="G42" s="1"/>
      <c r="H42" s="1"/>
    </row>
    <row r="43" customFormat="false" ht="15" hidden="false" customHeight="true" outlineLevel="0" collapsed="false">
      <c r="A43" s="13" t="s">
        <v>22</v>
      </c>
      <c r="B43" s="13" t="s">
        <v>23</v>
      </c>
      <c r="F43" s="1"/>
      <c r="G43" s="1"/>
      <c r="H43" s="1"/>
    </row>
    <row r="44" customFormat="false" ht="15" hidden="false" customHeight="true" outlineLevel="0" collapsed="false">
      <c r="A44" s="14" t="s">
        <v>24</v>
      </c>
      <c r="B44" s="15" t="s">
        <v>25</v>
      </c>
      <c r="F44" s="1"/>
      <c r="G44" s="1"/>
      <c r="H44" s="1"/>
    </row>
    <row r="45" customFormat="false" ht="34.5" hidden="false" customHeight="true" outlineLevel="0" collapsed="false">
      <c r="A45" s="14" t="s">
        <v>26</v>
      </c>
      <c r="B45" s="15" t="s">
        <v>27</v>
      </c>
      <c r="F45" s="1"/>
      <c r="G45" s="1"/>
      <c r="H45" s="1"/>
    </row>
    <row r="46" customFormat="false" ht="34.5" hidden="false" customHeight="true" outlineLevel="0" collapsed="false">
      <c r="A46" s="14" t="s">
        <v>28</v>
      </c>
      <c r="B46" s="15" t="s">
        <v>29</v>
      </c>
      <c r="F46" s="1"/>
      <c r="G46" s="1"/>
      <c r="H46" s="1"/>
    </row>
    <row r="47" customFormat="false" ht="15" hidden="false" customHeight="true" outlineLevel="0" collapsed="false">
      <c r="A47" s="14" t="s">
        <v>30</v>
      </c>
      <c r="B47" s="15" t="s">
        <v>31</v>
      </c>
      <c r="F47" s="1"/>
      <c r="G47" s="1"/>
      <c r="H47" s="1"/>
    </row>
    <row r="48" customFormat="false" ht="15" hidden="false" customHeight="true" outlineLevel="0" collapsed="false">
      <c r="A48" s="14" t="s">
        <v>32</v>
      </c>
      <c r="B48" s="15" t="s">
        <v>33</v>
      </c>
      <c r="F48" s="1"/>
      <c r="G48" s="1"/>
      <c r="H48" s="1"/>
    </row>
    <row r="49" customFormat="false" ht="15" hidden="false" customHeight="true" outlineLevel="0" collapsed="false">
      <c r="A49" s="14" t="s">
        <v>34</v>
      </c>
      <c r="B49" s="15" t="s">
        <v>33</v>
      </c>
      <c r="F49" s="1"/>
      <c r="G49" s="1"/>
      <c r="H49" s="1"/>
    </row>
    <row r="50" customFormat="false" ht="45.75" hidden="false" customHeight="true" outlineLevel="0" collapsed="false">
      <c r="A50" s="14" t="s">
        <v>35</v>
      </c>
      <c r="B50" s="15" t="s">
        <v>36</v>
      </c>
      <c r="F50" s="1"/>
      <c r="G50" s="1"/>
      <c r="H50" s="1"/>
    </row>
    <row r="51" customFormat="false" ht="23.25" hidden="false" customHeight="true" outlineLevel="0" collapsed="false">
      <c r="A51" s="14" t="s">
        <v>37</v>
      </c>
      <c r="B51" s="15" t="s">
        <v>38</v>
      </c>
      <c r="F51" s="1"/>
      <c r="G51" s="1"/>
      <c r="H51" s="1"/>
    </row>
    <row r="52" customFormat="false" ht="23.25" hidden="false" customHeight="true" outlineLevel="0" collapsed="false">
      <c r="A52" s="14" t="s">
        <v>39</v>
      </c>
      <c r="B52" s="15" t="s">
        <v>40</v>
      </c>
      <c r="F52" s="1"/>
      <c r="G52" s="1"/>
      <c r="H52" s="1"/>
    </row>
    <row r="53" customFormat="false" ht="15" hidden="false" customHeight="true" outlineLevel="0" collapsed="false">
      <c r="A53" s="14" t="s">
        <v>41</v>
      </c>
      <c r="B53" s="15" t="s">
        <v>42</v>
      </c>
      <c r="F53" s="1"/>
      <c r="G53" s="1"/>
      <c r="H53" s="1"/>
    </row>
    <row r="54" customFormat="false" ht="15" hidden="false" customHeight="true" outlineLevel="0" collapsed="false">
      <c r="A54" s="14" t="s">
        <v>43</v>
      </c>
      <c r="B54" s="15" t="s">
        <v>44</v>
      </c>
      <c r="F54" s="1"/>
      <c r="G54" s="1"/>
      <c r="H54" s="1"/>
    </row>
    <row r="55" customFormat="false" ht="15" hidden="false" customHeight="true" outlineLevel="0" collapsed="false">
      <c r="A55" s="14" t="s">
        <v>45</v>
      </c>
      <c r="B55" s="15" t="s">
        <v>46</v>
      </c>
      <c r="F55" s="1"/>
      <c r="G55" s="1"/>
      <c r="H55" s="1"/>
    </row>
    <row r="56" customFormat="false" ht="15" hidden="false" customHeight="true" outlineLevel="0" collapsed="false">
      <c r="F56" s="1"/>
      <c r="G56" s="1"/>
      <c r="H56" s="1"/>
    </row>
    <row r="57" customFormat="false" ht="15" hidden="false" customHeight="true" outlineLevel="0" collapsed="false">
      <c r="F57" s="1"/>
      <c r="G57" s="1"/>
      <c r="H57" s="1"/>
    </row>
    <row r="58" customFormat="false" ht="15" hidden="false" customHeight="true" outlineLevel="0" collapsed="false">
      <c r="F58" s="1"/>
      <c r="G58" s="1"/>
      <c r="H58" s="1"/>
    </row>
    <row r="59" customFormat="false" ht="15" hidden="false" customHeight="true" outlineLevel="0" collapsed="false">
      <c r="F59" s="1"/>
      <c r="G59" s="1"/>
      <c r="H59" s="1"/>
    </row>
    <row r="60" customFormat="false" ht="15" hidden="false" customHeight="true" outlineLevel="0" collapsed="false">
      <c r="F60" s="1"/>
      <c r="G60" s="1"/>
      <c r="H60" s="1"/>
    </row>
    <row r="61" customFormat="false" ht="15" hidden="false" customHeight="true" outlineLevel="0" collapsed="false">
      <c r="F61" s="1"/>
      <c r="G61" s="1"/>
      <c r="H61" s="1"/>
    </row>
    <row r="62" customFormat="false" ht="15" hidden="false" customHeight="true" outlineLevel="0" collapsed="false">
      <c r="F62" s="1"/>
      <c r="G62" s="1"/>
      <c r="H62" s="1"/>
    </row>
    <row r="63" customFormat="false" ht="15" hidden="false" customHeight="true" outlineLevel="0" collapsed="false">
      <c r="F63" s="1"/>
      <c r="G63" s="1"/>
      <c r="H63" s="1"/>
    </row>
    <row r="64" customFormat="false" ht="15" hidden="false" customHeight="true" outlineLevel="0" collapsed="false">
      <c r="F64" s="1"/>
      <c r="G64" s="1"/>
      <c r="H64" s="1"/>
    </row>
    <row r="65" customFormat="false" ht="15" hidden="false" customHeight="true" outlineLevel="0" collapsed="false">
      <c r="F65" s="1"/>
      <c r="G65" s="1"/>
      <c r="H65" s="1"/>
    </row>
    <row r="66" customFormat="false" ht="15" hidden="false" customHeight="true" outlineLevel="0" collapsed="false">
      <c r="F66" s="1"/>
      <c r="G66" s="1"/>
      <c r="H66" s="1"/>
    </row>
    <row r="67" customFormat="false" ht="15" hidden="false" customHeight="true" outlineLevel="0" collapsed="false">
      <c r="F67" s="1"/>
      <c r="G67" s="1"/>
      <c r="H67" s="1"/>
    </row>
    <row r="68" customFormat="false" ht="15" hidden="false" customHeight="true" outlineLevel="0" collapsed="false">
      <c r="F68" s="1"/>
      <c r="G68" s="1"/>
      <c r="H68" s="1"/>
    </row>
    <row r="69" customFormat="false" ht="15" hidden="false" customHeight="true" outlineLevel="0" collapsed="false">
      <c r="F69" s="1"/>
      <c r="G69" s="1"/>
      <c r="H69" s="1"/>
    </row>
    <row r="70" customFormat="false" ht="15" hidden="false" customHeight="true" outlineLevel="0" collapsed="false">
      <c r="F70" s="1"/>
      <c r="G70" s="1"/>
      <c r="H70" s="1"/>
    </row>
  </sheetData>
  <mergeCells count="2">
    <mergeCell ref="A40:G40"/>
    <mergeCell ref="A41:G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30"/>
    <col collapsed="false" customWidth="true" hidden="false" outlineLevel="0" max="5" min="3" style="1" width="20"/>
    <col collapsed="false" customWidth="true" hidden="false" outlineLevel="0" max="6" min="6" style="1" width="30"/>
  </cols>
  <sheetData>
    <row r="1" customFormat="false" ht="19.5" hidden="false" customHeight="true" outlineLevel="0" collapsed="false">
      <c r="A1" s="16" t="s">
        <v>47</v>
      </c>
      <c r="B1" s="16"/>
      <c r="C1" s="16"/>
      <c r="D1" s="16"/>
      <c r="E1" s="16"/>
      <c r="F1" s="16"/>
    </row>
    <row r="2" customFormat="false" ht="15" hidden="false" customHeight="true" outlineLevel="0" collapsed="false">
      <c r="A2" s="12" t="s">
        <v>48</v>
      </c>
      <c r="B2" s="12"/>
      <c r="C2" s="12"/>
      <c r="D2" s="12"/>
      <c r="E2" s="12"/>
      <c r="F2" s="12"/>
    </row>
    <row r="3" customFormat="false" ht="15" hidden="false" customHeight="true" outlineLevel="0" collapsed="false">
      <c r="A3" s="17"/>
      <c r="B3" s="5"/>
    </row>
    <row r="4" customFormat="false" ht="15" hidden="false" customHeight="true" outlineLevel="0" collapsed="false">
      <c r="A4" s="18" t="s">
        <v>49</v>
      </c>
      <c r="B4" s="18"/>
      <c r="C4" s="18"/>
      <c r="D4" s="18"/>
      <c r="E4" s="18"/>
      <c r="F4" s="18"/>
    </row>
    <row r="5" customFormat="false" ht="15" hidden="false" customHeight="true" outlineLevel="0" collapsed="false">
      <c r="A5" s="19" t="s">
        <v>50</v>
      </c>
      <c r="B5" s="20" t="s">
        <v>51</v>
      </c>
      <c r="C5" s="20"/>
      <c r="D5" s="20"/>
      <c r="E5" s="20"/>
      <c r="F5" s="20"/>
    </row>
    <row r="6" customFormat="false" ht="15" hidden="false" customHeight="true" outlineLevel="0" collapsed="false">
      <c r="A6" s="19" t="s">
        <v>52</v>
      </c>
      <c r="B6" s="20" t="s">
        <v>53</v>
      </c>
      <c r="C6" s="20"/>
      <c r="D6" s="20"/>
      <c r="E6" s="20"/>
      <c r="F6" s="20"/>
    </row>
    <row r="7" customFormat="false" ht="15" hidden="false" customHeight="true" outlineLevel="0" collapsed="false">
      <c r="A7" s="19" t="s">
        <v>54</v>
      </c>
      <c r="B7" s="20" t="s">
        <v>55</v>
      </c>
      <c r="C7" s="20"/>
      <c r="D7" s="20"/>
      <c r="E7" s="20"/>
      <c r="F7" s="20"/>
    </row>
    <row r="8" customFormat="false" ht="15" hidden="false" customHeight="true" outlineLevel="0" collapsed="false">
      <c r="A8" s="19" t="s">
        <v>56</v>
      </c>
      <c r="B8" s="20" t="s">
        <v>57</v>
      </c>
      <c r="C8" s="20"/>
      <c r="D8" s="20"/>
      <c r="E8" s="20"/>
      <c r="F8" s="20"/>
    </row>
    <row r="9" customFormat="false" ht="15" hidden="false" customHeight="true" outlineLevel="0" collapsed="false">
      <c r="A9" s="19" t="s">
        <v>58</v>
      </c>
      <c r="B9" s="20" t="s">
        <v>59</v>
      </c>
      <c r="C9" s="20"/>
      <c r="D9" s="20"/>
      <c r="E9" s="20"/>
      <c r="F9" s="20"/>
    </row>
    <row r="10" customFormat="false" ht="15" hidden="false" customHeight="true" outlineLevel="0" collapsed="false">
      <c r="A10" s="19" t="s">
        <v>39</v>
      </c>
      <c r="B10" s="20" t="s">
        <v>40</v>
      </c>
      <c r="C10" s="20"/>
      <c r="D10" s="20"/>
      <c r="E10" s="20"/>
      <c r="F10" s="20"/>
    </row>
    <row r="11" customFormat="false" ht="15" hidden="false" customHeight="true" outlineLevel="0" collapsed="false">
      <c r="A11" s="17"/>
      <c r="B11" s="5"/>
    </row>
    <row r="12" customFormat="false" ht="15" hidden="false" customHeight="true" outlineLevel="0" collapsed="false">
      <c r="A12" s="18" t="s">
        <v>60</v>
      </c>
      <c r="B12" s="18"/>
      <c r="C12" s="18"/>
      <c r="D12" s="18"/>
      <c r="E12" s="18"/>
      <c r="F12" s="18"/>
    </row>
    <row r="13" customFormat="false" ht="15" hidden="false" customHeight="true" outlineLevel="0" collapsed="false">
      <c r="A13" s="19" t="s">
        <v>61</v>
      </c>
      <c r="B13" s="20" t="s">
        <v>62</v>
      </c>
      <c r="C13" s="20"/>
      <c r="D13" s="20"/>
      <c r="E13" s="20"/>
      <c r="F13" s="20"/>
    </row>
    <row r="14" customFormat="false" ht="15" hidden="false" customHeight="true" outlineLevel="0" collapsed="false">
      <c r="A14" s="19" t="s">
        <v>63</v>
      </c>
      <c r="B14" s="20" t="s">
        <v>64</v>
      </c>
      <c r="C14" s="20"/>
      <c r="D14" s="20"/>
      <c r="E14" s="20"/>
      <c r="F14" s="20"/>
    </row>
    <row r="15" customFormat="false" ht="15" hidden="false" customHeight="true" outlineLevel="0" collapsed="false">
      <c r="A15" s="19" t="s">
        <v>65</v>
      </c>
      <c r="B15" s="20" t="s">
        <v>33</v>
      </c>
      <c r="C15" s="20"/>
      <c r="D15" s="20"/>
      <c r="E15" s="20"/>
      <c r="F15" s="20"/>
    </row>
    <row r="16" customFormat="false" ht="15" hidden="false" customHeight="true" outlineLevel="0" collapsed="false">
      <c r="A16" s="19" t="s">
        <v>66</v>
      </c>
      <c r="B16" s="20" t="s">
        <v>67</v>
      </c>
      <c r="C16" s="20"/>
      <c r="D16" s="20"/>
      <c r="E16" s="20"/>
      <c r="F16" s="20"/>
    </row>
    <row r="17" customFormat="false" ht="15" hidden="false" customHeight="true" outlineLevel="0" collapsed="false"/>
    <row r="18" customFormat="false" ht="15" hidden="false" customHeight="true" outlineLevel="0" collapsed="false">
      <c r="A18" s="18" t="s">
        <v>68</v>
      </c>
      <c r="B18" s="18"/>
      <c r="C18" s="18"/>
      <c r="D18" s="18"/>
      <c r="E18" s="18"/>
      <c r="F18" s="18"/>
    </row>
    <row r="19" customFormat="false" ht="15" hidden="false" customHeight="true" outlineLevel="0" collapsed="false">
      <c r="A19" s="19" t="s">
        <v>69</v>
      </c>
      <c r="B19" s="20" t="s">
        <v>70</v>
      </c>
      <c r="C19" s="20"/>
      <c r="D19" s="20"/>
      <c r="E19" s="20"/>
      <c r="F19" s="20"/>
    </row>
    <row r="20" customFormat="false" ht="15" hidden="false" customHeight="true" outlineLevel="0" collapsed="false">
      <c r="A20" s="19" t="s">
        <v>71</v>
      </c>
      <c r="B20" s="20" t="s">
        <v>70</v>
      </c>
      <c r="C20" s="20"/>
      <c r="D20" s="20"/>
      <c r="E20" s="20"/>
      <c r="F20" s="20"/>
    </row>
    <row r="21" customFormat="false" ht="15" hidden="false" customHeight="true" outlineLevel="0" collapsed="false">
      <c r="A21" s="19" t="s">
        <v>41</v>
      </c>
      <c r="B21" s="20" t="s">
        <v>42</v>
      </c>
      <c r="C21" s="20"/>
      <c r="D21" s="20"/>
      <c r="E21" s="20"/>
      <c r="F21" s="20"/>
    </row>
    <row r="22" customFormat="false" ht="15" hidden="false" customHeight="true" outlineLevel="0" collapsed="false">
      <c r="A22" s="19" t="s">
        <v>43</v>
      </c>
      <c r="B22" s="20" t="s">
        <v>44</v>
      </c>
      <c r="C22" s="20"/>
      <c r="D22" s="20"/>
      <c r="E22" s="20"/>
      <c r="F22" s="20"/>
    </row>
    <row r="23" customFormat="false" ht="15" hidden="false" customHeight="true" outlineLevel="0" collapsed="false">
      <c r="A23" s="19" t="s">
        <v>45</v>
      </c>
      <c r="B23" s="20" t="s">
        <v>46</v>
      </c>
      <c r="C23" s="20"/>
      <c r="D23" s="20"/>
      <c r="E23" s="20"/>
      <c r="F23" s="20"/>
    </row>
    <row r="24" customFormat="false" ht="15" hidden="false" customHeight="true" outlineLevel="0" collapsed="false">
      <c r="A24" s="19" t="s">
        <v>72</v>
      </c>
      <c r="B24" s="20" t="s">
        <v>73</v>
      </c>
      <c r="C24" s="20"/>
      <c r="D24" s="20"/>
      <c r="E24" s="20"/>
      <c r="F24" s="20"/>
    </row>
    <row r="25" customFormat="false" ht="15" hidden="false" customHeight="true" outlineLevel="0" collapsed="false">
      <c r="A25" s="19" t="s">
        <v>37</v>
      </c>
      <c r="B25" s="20" t="s">
        <v>38</v>
      </c>
      <c r="C25" s="20"/>
      <c r="D25" s="20"/>
      <c r="E25" s="20"/>
      <c r="F25" s="20"/>
    </row>
    <row r="26" customFormat="false" ht="15" hidden="false" customHeight="true" outlineLevel="0" collapsed="false">
      <c r="A26" s="19" t="s">
        <v>74</v>
      </c>
      <c r="B26" s="20" t="s">
        <v>75</v>
      </c>
      <c r="C26" s="20"/>
      <c r="D26" s="20"/>
      <c r="E26" s="20"/>
      <c r="F26" s="20"/>
    </row>
    <row r="27" customFormat="false" ht="15" hidden="false" customHeight="true" outlineLevel="0" collapsed="false">
      <c r="A27" s="19" t="s">
        <v>76</v>
      </c>
      <c r="B27" s="20" t="s">
        <v>77</v>
      </c>
      <c r="C27" s="20"/>
      <c r="D27" s="20"/>
      <c r="E27" s="20"/>
      <c r="F27" s="20"/>
    </row>
    <row r="28" customFormat="false" ht="15" hidden="false" customHeight="true" outlineLevel="0" collapsed="false">
      <c r="A28" s="19" t="s">
        <v>78</v>
      </c>
      <c r="B28" s="20" t="s">
        <v>79</v>
      </c>
      <c r="C28" s="20"/>
      <c r="D28" s="20"/>
      <c r="E28" s="20"/>
      <c r="F28" s="20"/>
    </row>
    <row r="30" customFormat="false" ht="15" hidden="false" customHeight="true" outlineLevel="0" collapsed="false">
      <c r="A30" s="18" t="s">
        <v>80</v>
      </c>
      <c r="B30" s="18"/>
      <c r="C30" s="18"/>
      <c r="D30" s="18"/>
      <c r="E30" s="18"/>
      <c r="F30" s="18"/>
    </row>
    <row r="31" customFormat="false" ht="15" hidden="false" customHeight="true" outlineLevel="0" collapsed="false">
      <c r="A31" s="19" t="s">
        <v>81</v>
      </c>
      <c r="B31" s="21" t="s">
        <v>82</v>
      </c>
      <c r="C31" s="21"/>
      <c r="D31" s="21"/>
      <c r="E31" s="21"/>
      <c r="F31" s="21"/>
    </row>
    <row r="32" customFormat="false" ht="60" hidden="false" customHeight="true" outlineLevel="0" collapsed="false">
      <c r="A32" s="22" t="s">
        <v>83</v>
      </c>
      <c r="B32" s="23" t="s">
        <v>84</v>
      </c>
      <c r="C32" s="23"/>
      <c r="D32" s="23"/>
      <c r="E32" s="23"/>
      <c r="F32" s="23"/>
    </row>
    <row r="33" customFormat="false" ht="15" hidden="false" customHeight="true" outlineLevel="0" collapsed="false">
      <c r="A33" s="19" t="s">
        <v>85</v>
      </c>
      <c r="B33" s="21" t="s">
        <v>86</v>
      </c>
      <c r="C33" s="21"/>
      <c r="D33" s="21"/>
      <c r="E33" s="21"/>
      <c r="F33" s="21"/>
    </row>
    <row r="34" customFormat="false" ht="49.5" hidden="false" customHeight="true" outlineLevel="0" collapsed="false">
      <c r="A34" s="22" t="s">
        <v>87</v>
      </c>
      <c r="B34" s="23" t="s">
        <v>88</v>
      </c>
      <c r="C34" s="23"/>
      <c r="D34" s="23"/>
      <c r="E34" s="23"/>
      <c r="F34" s="23"/>
    </row>
    <row r="35" customFormat="false" ht="15" hidden="false" customHeight="false" outlineLevel="0" collapsed="false">
      <c r="A35" s="19" t="s">
        <v>89</v>
      </c>
      <c r="B35" s="20" t="s">
        <v>33</v>
      </c>
      <c r="C35" s="24"/>
      <c r="D35" s="24"/>
      <c r="E35" s="24"/>
      <c r="F35" s="24"/>
    </row>
    <row r="36" customFormat="false" ht="15" hidden="false" customHeight="true" outlineLevel="0" collapsed="false">
      <c r="A36" s="25" t="s">
        <v>90</v>
      </c>
      <c r="B36" s="25" t="s">
        <v>33</v>
      </c>
      <c r="C36" s="25"/>
      <c r="D36" s="25"/>
      <c r="E36" s="25"/>
      <c r="F36" s="25"/>
    </row>
    <row r="37" customFormat="false" ht="15" hidden="false" customHeight="true" outlineLevel="0" collapsed="false">
      <c r="B37" s="26"/>
      <c r="C37" s="26"/>
      <c r="D37" s="26"/>
      <c r="E37" s="26"/>
      <c r="F37" s="26"/>
    </row>
    <row r="38" customFormat="false" ht="15" hidden="false" customHeight="true" outlineLevel="0" collapsed="false">
      <c r="A38" s="18" t="s">
        <v>91</v>
      </c>
      <c r="B38" s="24"/>
      <c r="C38" s="24"/>
      <c r="D38" s="24"/>
      <c r="E38" s="24"/>
      <c r="F38" s="24"/>
    </row>
    <row r="39" customFormat="false" ht="15" hidden="false" customHeight="true" outlineLevel="0" collapsed="false">
      <c r="A39" s="14" t="s">
        <v>24</v>
      </c>
      <c r="B39" s="27" t="s">
        <v>25</v>
      </c>
      <c r="C39" s="27"/>
      <c r="D39" s="27"/>
      <c r="E39" s="27"/>
      <c r="F39" s="27"/>
    </row>
    <row r="40" customFormat="false" ht="15" hidden="false" customHeight="true" outlineLevel="0" collapsed="false">
      <c r="A40" s="14" t="s">
        <v>26</v>
      </c>
      <c r="B40" s="27" t="s">
        <v>27</v>
      </c>
      <c r="C40" s="27"/>
      <c r="D40" s="27"/>
      <c r="E40" s="27"/>
      <c r="F40" s="27"/>
    </row>
    <row r="41" customFormat="false" ht="15" hidden="false" customHeight="false" outlineLevel="0" collapsed="false">
      <c r="A41" s="14" t="s">
        <v>92</v>
      </c>
      <c r="B41" s="27" t="s">
        <v>33</v>
      </c>
      <c r="C41" s="24"/>
      <c r="D41" s="24"/>
      <c r="E41" s="24"/>
      <c r="F41" s="24"/>
    </row>
    <row r="42" customFormat="false" ht="15" hidden="false" customHeight="true" outlineLevel="0" collapsed="false">
      <c r="A42" s="28" t="s">
        <v>93</v>
      </c>
      <c r="B42" s="28" t="s">
        <v>33</v>
      </c>
      <c r="C42" s="28"/>
      <c r="D42" s="28"/>
      <c r="E42" s="28"/>
      <c r="F42" s="28"/>
    </row>
    <row r="43" customFormat="false" ht="15" hidden="false" customHeight="true" outlineLevel="0" collapsed="false">
      <c r="B43" s="26"/>
      <c r="C43" s="26"/>
      <c r="D43" s="26"/>
      <c r="E43" s="26"/>
      <c r="F43" s="26"/>
    </row>
    <row r="44" customFormat="false" ht="15" hidden="false" customHeight="true" outlineLevel="0" collapsed="false">
      <c r="A44" s="18" t="s">
        <v>94</v>
      </c>
      <c r="B44" s="24"/>
      <c r="C44" s="24"/>
      <c r="D44" s="24"/>
      <c r="E44" s="24"/>
      <c r="F44" s="24"/>
    </row>
    <row r="45" customFormat="false" ht="15" hidden="false" customHeight="true" outlineLevel="0" collapsed="false">
      <c r="A45" s="14" t="s">
        <v>95</v>
      </c>
      <c r="B45" s="27" t="s">
        <v>96</v>
      </c>
      <c r="C45" s="27"/>
      <c r="D45" s="27"/>
      <c r="E45" s="27"/>
      <c r="F45" s="27"/>
    </row>
    <row r="46" customFormat="false" ht="15" hidden="false" customHeight="true" outlineLevel="0" collapsed="false">
      <c r="A46" s="14" t="s">
        <v>97</v>
      </c>
      <c r="B46" s="27" t="s">
        <v>33</v>
      </c>
      <c r="C46" s="27"/>
      <c r="D46" s="27"/>
      <c r="E46" s="27"/>
      <c r="F46" s="27"/>
    </row>
    <row r="47" customFormat="false" ht="23.85" hidden="false" customHeight="false" outlineLevel="0" collapsed="false">
      <c r="A47" s="14" t="s">
        <v>98</v>
      </c>
      <c r="B47" s="27" t="s">
        <v>29</v>
      </c>
      <c r="C47" s="24"/>
      <c r="D47" s="24"/>
      <c r="E47" s="24"/>
      <c r="F47" s="24"/>
    </row>
    <row r="48" customFormat="false" ht="15" hidden="false" customHeight="true" outlineLevel="0" collapsed="false">
      <c r="A48" s="28" t="s">
        <v>30</v>
      </c>
      <c r="B48" s="28" t="s">
        <v>31</v>
      </c>
      <c r="C48" s="28"/>
      <c r="D48" s="28"/>
      <c r="E48" s="28"/>
      <c r="F48" s="28"/>
    </row>
    <row r="49" customFormat="false" ht="15" hidden="false" customHeight="true" outlineLevel="0" collapsed="false">
      <c r="B49" s="26"/>
      <c r="C49" s="26"/>
      <c r="D49" s="26"/>
      <c r="E49" s="26"/>
      <c r="F49" s="26"/>
    </row>
    <row r="50" customFormat="false" ht="15" hidden="false" customHeight="true" outlineLevel="0" collapsed="false">
      <c r="A50" s="18" t="s">
        <v>99</v>
      </c>
      <c r="B50" s="24"/>
      <c r="C50" s="24"/>
      <c r="D50" s="24"/>
      <c r="E50" s="24"/>
      <c r="F50" s="24"/>
    </row>
    <row r="51" customFormat="false" ht="23.85" hidden="false" customHeight="false" outlineLevel="0" collapsed="false">
      <c r="A51" s="14" t="s">
        <v>100</v>
      </c>
      <c r="B51" s="27" t="s">
        <v>101</v>
      </c>
      <c r="C51" s="24"/>
      <c r="D51" s="24"/>
      <c r="E51" s="24"/>
      <c r="F51" s="24"/>
    </row>
    <row r="52" customFormat="false" ht="15" hidden="false" customHeight="true" outlineLevel="0" collapsed="false">
      <c r="A52" s="28" t="s">
        <v>102</v>
      </c>
      <c r="B52" s="28" t="s">
        <v>103</v>
      </c>
      <c r="C52" s="28"/>
      <c r="D52" s="28"/>
      <c r="E52" s="28"/>
      <c r="F52" s="28"/>
    </row>
    <row r="53" customFormat="false" ht="15" hidden="false" customHeight="true" outlineLevel="0" collapsed="false">
      <c r="B53" s="26"/>
      <c r="C53" s="26"/>
      <c r="D53" s="26"/>
      <c r="E53" s="26"/>
      <c r="F53" s="26"/>
    </row>
    <row r="54" customFormat="false" ht="15" hidden="false" customHeight="true" outlineLevel="0" collapsed="false">
      <c r="A54" s="18" t="s">
        <v>104</v>
      </c>
      <c r="B54" s="24"/>
      <c r="C54" s="24"/>
      <c r="D54" s="24"/>
      <c r="E54" s="24"/>
      <c r="F54" s="24"/>
    </row>
    <row r="55" customFormat="false" ht="15" hidden="false" customHeight="true" outlineLevel="0" collapsed="false">
      <c r="A55" s="14" t="s">
        <v>34</v>
      </c>
      <c r="B55" s="27" t="s">
        <v>33</v>
      </c>
      <c r="C55" s="27"/>
      <c r="D55" s="27"/>
      <c r="E55" s="27"/>
      <c r="F55" s="27"/>
    </row>
    <row r="56" customFormat="false" ht="15" hidden="false" customHeight="true" outlineLevel="0" collapsed="false">
      <c r="A56" s="14" t="s">
        <v>105</v>
      </c>
      <c r="B56" s="27" t="s">
        <v>33</v>
      </c>
      <c r="C56" s="27"/>
      <c r="D56" s="27"/>
      <c r="E56" s="27"/>
      <c r="F56" s="27"/>
    </row>
    <row r="57" customFormat="false" ht="15" hidden="false" customHeight="true" outlineLevel="0" collapsed="false">
      <c r="A57" s="14" t="s">
        <v>35</v>
      </c>
      <c r="B57" s="27" t="s">
        <v>36</v>
      </c>
      <c r="C57" s="27"/>
      <c r="D57" s="27"/>
      <c r="E57" s="27"/>
      <c r="F57" s="27"/>
    </row>
    <row r="58" customFormat="false" ht="15" hidden="false" customHeight="false" outlineLevel="0" collapsed="false">
      <c r="A58" s="14" t="s">
        <v>106</v>
      </c>
      <c r="B58" s="27" t="s">
        <v>33</v>
      </c>
      <c r="C58" s="24"/>
      <c r="D58" s="24"/>
      <c r="E58" s="24"/>
      <c r="F58" s="24"/>
    </row>
    <row r="59" customFormat="false" ht="15" hidden="false" customHeight="true" outlineLevel="0" collapsed="false">
      <c r="A59" s="28" t="s">
        <v>107</v>
      </c>
      <c r="B59" s="28" t="s">
        <v>33</v>
      </c>
      <c r="C59" s="28"/>
      <c r="D59" s="28"/>
      <c r="E59" s="28"/>
      <c r="F59" s="28"/>
    </row>
    <row r="60" customFormat="false" ht="15" hidden="false" customHeight="true" outlineLevel="0" collapsed="false">
      <c r="B60" s="26"/>
      <c r="C60" s="26"/>
      <c r="D60" s="26"/>
      <c r="E60" s="26"/>
      <c r="F60" s="26"/>
    </row>
    <row r="61" customFormat="false" ht="15" hidden="false" customHeight="true" outlineLevel="0" collapsed="false">
      <c r="A61" s="18" t="s">
        <v>108</v>
      </c>
      <c r="B61" s="24"/>
      <c r="C61" s="24"/>
      <c r="D61" s="24"/>
      <c r="E61" s="24"/>
      <c r="F61" s="24"/>
    </row>
    <row r="62" customFormat="false" ht="15" hidden="false" customHeight="true" outlineLevel="0" collapsed="false">
      <c r="A62" s="19" t="s">
        <v>109</v>
      </c>
      <c r="B62" s="20" t="s">
        <v>110</v>
      </c>
      <c r="C62" s="20"/>
      <c r="D62" s="20"/>
      <c r="E62" s="20"/>
      <c r="F62" s="20"/>
    </row>
    <row r="63" customFormat="false" ht="15" hidden="false" customHeight="true" outlineLevel="0" collapsed="false">
      <c r="A63" s="19" t="s">
        <v>111</v>
      </c>
      <c r="B63" s="20" t="s">
        <v>110</v>
      </c>
      <c r="C63" s="20"/>
      <c r="D63" s="20"/>
      <c r="E63" s="20"/>
      <c r="F63" s="20"/>
    </row>
    <row r="64" customFormat="false" ht="15" hidden="false" customHeight="true" outlineLevel="0" collapsed="false">
      <c r="A64" s="19" t="s">
        <v>112</v>
      </c>
      <c r="B64" s="20" t="s">
        <v>110</v>
      </c>
      <c r="C64" s="20"/>
      <c r="D64" s="20"/>
      <c r="E64" s="20"/>
      <c r="F64" s="20"/>
    </row>
    <row r="65" customFormat="false" ht="15" hidden="false" customHeight="true" outlineLevel="0" collapsed="false">
      <c r="A65" s="19" t="s">
        <v>113</v>
      </c>
      <c r="B65" s="20" t="s">
        <v>110</v>
      </c>
      <c r="C65" s="20"/>
      <c r="D65" s="20"/>
      <c r="E65" s="20"/>
      <c r="F65" s="20"/>
    </row>
    <row r="66" customFormat="false" ht="15" hidden="false" customHeight="true" outlineLevel="0" collapsed="false">
      <c r="A66" s="19" t="s">
        <v>114</v>
      </c>
      <c r="B66" s="20" t="s">
        <v>110</v>
      </c>
      <c r="C66" s="20"/>
      <c r="D66" s="20"/>
      <c r="E66" s="20"/>
      <c r="F66" s="20"/>
    </row>
    <row r="67" customFormat="false" ht="15" hidden="false" customHeight="true" outlineLevel="0" collapsed="false">
      <c r="A67" s="19" t="s">
        <v>115</v>
      </c>
      <c r="B67" s="20" t="s">
        <v>110</v>
      </c>
      <c r="C67" s="20"/>
      <c r="D67" s="20"/>
      <c r="E67" s="20"/>
      <c r="F67" s="20"/>
    </row>
    <row r="68" customFormat="false" ht="15" hidden="false" customHeight="false" outlineLevel="0" collapsed="false">
      <c r="A68" s="19" t="s">
        <v>116</v>
      </c>
      <c r="B68" s="20" t="s">
        <v>117</v>
      </c>
      <c r="C68" s="24"/>
      <c r="D68" s="24"/>
      <c r="E68" s="24"/>
      <c r="F68" s="24"/>
    </row>
    <row r="69" customFormat="false" ht="15" hidden="false" customHeight="true" outlineLevel="0" collapsed="false">
      <c r="A69" s="25" t="s">
        <v>118</v>
      </c>
      <c r="B69" s="25" t="s">
        <v>119</v>
      </c>
      <c r="C69" s="25"/>
      <c r="D69" s="25"/>
      <c r="E69" s="25"/>
      <c r="F69" s="25"/>
    </row>
    <row r="70" customFormat="false" ht="15" hidden="false" customHeight="true" outlineLevel="0" collapsed="false">
      <c r="B70" s="26"/>
      <c r="C70" s="26"/>
      <c r="D70" s="26"/>
      <c r="E70" s="26"/>
      <c r="F70" s="26"/>
    </row>
    <row r="71" customFormat="false" ht="15" hidden="false" customHeight="true" outlineLevel="0" collapsed="false">
      <c r="A71" s="18" t="s">
        <v>120</v>
      </c>
      <c r="B71" s="24"/>
      <c r="C71" s="24"/>
      <c r="D71" s="24"/>
      <c r="E71" s="24"/>
      <c r="F71" s="24"/>
    </row>
    <row r="72" customFormat="false" ht="15" hidden="false" customHeight="true" outlineLevel="0" collapsed="false">
      <c r="A72" s="19" t="s">
        <v>121</v>
      </c>
      <c r="B72" s="20" t="s">
        <v>122</v>
      </c>
      <c r="C72" s="20"/>
      <c r="D72" s="20"/>
      <c r="E72" s="20"/>
      <c r="F72" s="20"/>
    </row>
    <row r="73" customFormat="false" ht="15" hidden="false" customHeight="true" outlineLevel="0" collapsed="false">
      <c r="A73" s="19" t="s">
        <v>123</v>
      </c>
      <c r="B73" s="20" t="s">
        <v>124</v>
      </c>
      <c r="C73" s="20"/>
      <c r="D73" s="20"/>
      <c r="E73" s="20"/>
      <c r="F73" s="20"/>
    </row>
    <row r="74" customFormat="false" ht="23.25" hidden="false" customHeight="true" outlineLevel="0" collapsed="false">
      <c r="A74" s="19" t="s">
        <v>125</v>
      </c>
      <c r="B74" s="20" t="s">
        <v>126</v>
      </c>
      <c r="C74" s="20"/>
      <c r="D74" s="20"/>
      <c r="E74" s="20"/>
      <c r="F74" s="20"/>
    </row>
    <row r="75" customFormat="false" ht="15" hidden="false" customHeight="false" outlineLevel="0" collapsed="false">
      <c r="A75" s="19" t="s">
        <v>127</v>
      </c>
      <c r="B75" s="20" t="s">
        <v>128</v>
      </c>
      <c r="C75" s="24"/>
      <c r="D75" s="24"/>
      <c r="E75" s="24"/>
      <c r="F75" s="24"/>
    </row>
    <row r="76" customFormat="false" ht="15" hidden="false" customHeight="true" outlineLevel="0" collapsed="false">
      <c r="A76" s="25" t="s">
        <v>129</v>
      </c>
      <c r="B76" s="25" t="s">
        <v>130</v>
      </c>
      <c r="C76" s="25"/>
      <c r="D76" s="25"/>
      <c r="E76" s="25"/>
      <c r="F76" s="25"/>
    </row>
    <row r="77" customFormat="false" ht="23.25" hidden="false" customHeight="true" outlineLevel="0" collapsed="false">
      <c r="B77" s="26"/>
      <c r="C77" s="26"/>
      <c r="D77" s="26"/>
      <c r="E77" s="26"/>
      <c r="F77" s="26"/>
    </row>
    <row r="78" customFormat="false" ht="15" hidden="false" customHeight="true" outlineLevel="0" collapsed="false">
      <c r="A78" s="18" t="s">
        <v>131</v>
      </c>
      <c r="B78" s="24"/>
      <c r="C78" s="24"/>
      <c r="D78" s="24"/>
      <c r="E78" s="24"/>
      <c r="F78" s="24"/>
    </row>
    <row r="79" customFormat="false" ht="15" hidden="false" customHeight="true" outlineLevel="0" collapsed="false">
      <c r="A79" s="14" t="s">
        <v>132</v>
      </c>
      <c r="B79" s="27" t="s">
        <v>133</v>
      </c>
      <c r="C79" s="27"/>
      <c r="D79" s="27"/>
      <c r="E79" s="27"/>
      <c r="F79" s="27"/>
    </row>
    <row r="80" customFormat="false" ht="23.85" hidden="false" customHeight="false" outlineLevel="0" collapsed="false">
      <c r="A80" s="14" t="s">
        <v>134</v>
      </c>
      <c r="B80" s="27" t="s">
        <v>135</v>
      </c>
      <c r="C80" s="24"/>
      <c r="D80" s="24"/>
      <c r="E80" s="24"/>
      <c r="F80" s="24"/>
    </row>
    <row r="81" customFormat="false" ht="46.25" hidden="false" customHeight="false" outlineLevel="0" collapsed="false">
      <c r="A81" s="14" t="s">
        <v>136</v>
      </c>
      <c r="B81" s="27" t="s">
        <v>137</v>
      </c>
      <c r="C81" s="24"/>
      <c r="D81" s="24"/>
      <c r="E81" s="24"/>
      <c r="F81" s="24"/>
    </row>
  </sheetData>
  <mergeCells count="68">
    <mergeCell ref="A1:F1"/>
    <mergeCell ref="A2:F2"/>
    <mergeCell ref="A4:F4"/>
    <mergeCell ref="B5:F5"/>
    <mergeCell ref="B6:F6"/>
    <mergeCell ref="B7:F7"/>
    <mergeCell ref="B8:F8"/>
    <mergeCell ref="B9:F9"/>
    <mergeCell ref="B10:F10"/>
    <mergeCell ref="A12:F12"/>
    <mergeCell ref="B13:F13"/>
    <mergeCell ref="B14:F14"/>
    <mergeCell ref="B15:F15"/>
    <mergeCell ref="B16:F16"/>
    <mergeCell ref="A18:F18"/>
    <mergeCell ref="B19:F19"/>
    <mergeCell ref="B20:F20"/>
    <mergeCell ref="B21:F21"/>
    <mergeCell ref="B22:F22"/>
    <mergeCell ref="B23:F23"/>
    <mergeCell ref="B24:F24"/>
    <mergeCell ref="B25:F25"/>
    <mergeCell ref="B26:F26"/>
    <mergeCell ref="B27:F27"/>
    <mergeCell ref="B28:F28"/>
    <mergeCell ref="A30:F30"/>
    <mergeCell ref="B31:F31"/>
    <mergeCell ref="B32:F32"/>
    <mergeCell ref="B33:F33"/>
    <mergeCell ref="B34:F34"/>
    <mergeCell ref="A36:F36"/>
    <mergeCell ref="B37:F37"/>
    <mergeCell ref="B38:F38"/>
    <mergeCell ref="B39:F39"/>
    <mergeCell ref="B40:F40"/>
    <mergeCell ref="A42:F42"/>
    <mergeCell ref="B43:F43"/>
    <mergeCell ref="B44:F44"/>
    <mergeCell ref="B45:F45"/>
    <mergeCell ref="B46:F46"/>
    <mergeCell ref="A48:F48"/>
    <mergeCell ref="B49:F49"/>
    <mergeCell ref="B50:F50"/>
    <mergeCell ref="A52:F52"/>
    <mergeCell ref="B53:F53"/>
    <mergeCell ref="B54:F54"/>
    <mergeCell ref="B55:F55"/>
    <mergeCell ref="B56:F56"/>
    <mergeCell ref="B57:F57"/>
    <mergeCell ref="A59:F59"/>
    <mergeCell ref="B60:F60"/>
    <mergeCell ref="B61:F61"/>
    <mergeCell ref="B62:F62"/>
    <mergeCell ref="B63:F63"/>
    <mergeCell ref="B64:F64"/>
    <mergeCell ref="B65:F65"/>
    <mergeCell ref="B66:F66"/>
    <mergeCell ref="B67:F67"/>
    <mergeCell ref="A69:F69"/>
    <mergeCell ref="B70:F70"/>
    <mergeCell ref="B71:F71"/>
    <mergeCell ref="B72:F72"/>
    <mergeCell ref="B73:F73"/>
    <mergeCell ref="B74:F74"/>
    <mergeCell ref="A76:F76"/>
    <mergeCell ref="B77:F77"/>
    <mergeCell ref="B78:F78"/>
    <mergeCell ref="B79:F7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4" min="2" style="1" width="18"/>
  </cols>
  <sheetData>
    <row r="1" customFormat="false" ht="19.5" hidden="false" customHeight="true" outlineLevel="0" collapsed="false">
      <c r="A1" s="2" t="s">
        <v>138</v>
      </c>
    </row>
    <row r="3" customFormat="false" ht="15" hidden="false" customHeight="true" outlineLevel="0" collapsed="false">
      <c r="A3" s="29" t="s">
        <v>139</v>
      </c>
      <c r="B3" s="29" t="s">
        <v>140</v>
      </c>
      <c r="C3" s="29" t="s">
        <v>141</v>
      </c>
      <c r="D3" s="29" t="s">
        <v>142</v>
      </c>
    </row>
    <row r="4" customFormat="false" ht="15" hidden="false" customHeight="true" outlineLevel="0" collapsed="false">
      <c r="A4" s="5" t="s">
        <v>143</v>
      </c>
      <c r="B4" s="6" t="n">
        <v>0</v>
      </c>
      <c r="C4" s="6" t="n">
        <v>0</v>
      </c>
      <c r="D4" s="10" t="n">
        <f aca="false">C4-B4</f>
        <v>0</v>
      </c>
    </row>
    <row r="5" customFormat="false" ht="15" hidden="false" customHeight="true" outlineLevel="0" collapsed="false">
      <c r="A5" s="5" t="s">
        <v>144</v>
      </c>
      <c r="B5" s="6" t="n">
        <v>0</v>
      </c>
      <c r="C5" s="6" t="n">
        <v>0</v>
      </c>
      <c r="D5" s="10" t="n">
        <f aca="false">C5-B5</f>
        <v>0</v>
      </c>
    </row>
    <row r="6" customFormat="false" ht="15" hidden="false" customHeight="true" outlineLevel="0" collapsed="false">
      <c r="A6" s="17" t="s">
        <v>145</v>
      </c>
      <c r="B6" s="7" t="n">
        <f aca="false">SUM(B4:B5)</f>
        <v>0</v>
      </c>
      <c r="C6" s="7" t="n">
        <f aca="false">SUM(C4:C5)</f>
        <v>0</v>
      </c>
      <c r="D6" s="7" t="n">
        <f aca="false">SUM(D4:D5)</f>
        <v>0</v>
      </c>
    </row>
    <row r="9" customFormat="false" ht="15" hidden="false" customHeight="true" outlineLevel="0" collapsed="false">
      <c r="A9" s="4" t="s">
        <v>146</v>
      </c>
    </row>
    <row r="10" customFormat="false" ht="15" hidden="false" customHeight="true" outlineLevel="0" collapsed="false">
      <c r="A10" s="29" t="s">
        <v>147</v>
      </c>
      <c r="B10" s="29" t="s">
        <v>148</v>
      </c>
      <c r="C10" s="29" t="s">
        <v>149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14"/>
    <col collapsed="false" customWidth="true" hidden="false" outlineLevel="0" max="7" min="3" style="1" width="16"/>
  </cols>
  <sheetData>
    <row r="1" customFormat="false" ht="19.5" hidden="false" customHeight="true" outlineLevel="0" collapsed="false">
      <c r="A1" s="2" t="s">
        <v>150</v>
      </c>
    </row>
    <row r="3" customFormat="false" ht="15" hidden="false" customHeight="true" outlineLevel="0" collapsed="false">
      <c r="A3" s="29" t="s">
        <v>151</v>
      </c>
      <c r="B3" s="29" t="s">
        <v>152</v>
      </c>
      <c r="C3" s="29" t="s">
        <v>153</v>
      </c>
      <c r="D3" s="29" t="s">
        <v>154</v>
      </c>
      <c r="E3" s="29" t="s">
        <v>155</v>
      </c>
      <c r="F3" s="29" t="s">
        <v>156</v>
      </c>
      <c r="G3" s="29" t="s">
        <v>157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4"/>
    <col collapsed="false" customWidth="true" hidden="false" outlineLevel="0" max="3" min="3" style="1" width="50"/>
    <col collapsed="false" customWidth="true" hidden="false" outlineLevel="0" max="4" min="4" style="1" width="18"/>
    <col collapsed="false" customWidth="true" hidden="false" outlineLevel="0" max="5" min="5" style="1" width="12"/>
  </cols>
  <sheetData>
    <row r="1" customFormat="false" ht="19.5" hidden="false" customHeight="true" outlineLevel="0" collapsed="false">
      <c r="A1" s="2" t="s">
        <v>158</v>
      </c>
    </row>
    <row r="3" customFormat="false" ht="15" hidden="false" customHeight="true" outlineLevel="0" collapsed="false">
      <c r="A3" s="29" t="s">
        <v>159</v>
      </c>
      <c r="B3" s="29" t="s">
        <v>160</v>
      </c>
      <c r="C3" s="29" t="s">
        <v>148</v>
      </c>
      <c r="D3" s="29" t="s">
        <v>149</v>
      </c>
      <c r="E3" s="29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36"/>
    <col collapsed="false" customWidth="true" hidden="false" outlineLevel="0" max="8" min="3" style="1" width="14"/>
  </cols>
  <sheetData>
    <row r="1" customFormat="false" ht="19.5" hidden="false" customHeight="true" outlineLevel="0" collapsed="false">
      <c r="A1" s="2" t="s">
        <v>161</v>
      </c>
    </row>
    <row r="3" customFormat="false" ht="15" hidden="false" customHeight="true" outlineLevel="0" collapsed="false">
      <c r="A3" s="29" t="s">
        <v>162</v>
      </c>
      <c r="B3" s="29" t="s">
        <v>148</v>
      </c>
      <c r="C3" s="29" t="s">
        <v>140</v>
      </c>
      <c r="D3" s="29" t="s">
        <v>141</v>
      </c>
      <c r="E3" s="29" t="s">
        <v>163</v>
      </c>
      <c r="F3" s="29" t="s">
        <v>164</v>
      </c>
      <c r="G3" s="29" t="s">
        <v>165</v>
      </c>
      <c r="H3" s="29" t="s">
        <v>166</v>
      </c>
    </row>
    <row r="4" customFormat="false" ht="15" hidden="false" customHeight="true" outlineLevel="0" collapsed="false">
      <c r="A4" s="5" t="s">
        <v>167</v>
      </c>
      <c r="B4" s="5" t="s">
        <v>168</v>
      </c>
      <c r="C4" s="6" t="n">
        <v>0</v>
      </c>
      <c r="D4" s="6" t="n">
        <v>0</v>
      </c>
      <c r="E4" s="6" t="n">
        <v>2134.5</v>
      </c>
      <c r="F4" s="10" t="n">
        <f aca="false">D4-E4</f>
        <v>-2134.5</v>
      </c>
      <c r="G4" s="6" t="n">
        <v>0</v>
      </c>
      <c r="H4" s="30" t="n">
        <f aca="false">IFERROR(E4/D4,0)</f>
        <v>0</v>
      </c>
    </row>
    <row r="5" customFormat="false" ht="15" hidden="false" customHeight="true" outlineLevel="0" collapsed="false">
      <c r="A5" s="5" t="s">
        <v>169</v>
      </c>
      <c r="B5" s="5" t="s">
        <v>170</v>
      </c>
      <c r="C5" s="6" t="n">
        <v>0</v>
      </c>
      <c r="D5" s="6" t="n">
        <v>0</v>
      </c>
      <c r="E5" s="6" t="n">
        <v>106487.5</v>
      </c>
      <c r="F5" s="10" t="n">
        <f aca="false">D5-E5</f>
        <v>-106487.5</v>
      </c>
      <c r="G5" s="6" t="n">
        <v>0</v>
      </c>
      <c r="H5" s="30" t="n">
        <f aca="false">IFERROR(E5/D5,0)</f>
        <v>0</v>
      </c>
    </row>
    <row r="6" customFormat="false" ht="15" hidden="false" customHeight="true" outlineLevel="0" collapsed="false">
      <c r="A6" s="5" t="s">
        <v>171</v>
      </c>
      <c r="B6" s="5" t="s">
        <v>172</v>
      </c>
      <c r="C6" s="6" t="n">
        <v>0</v>
      </c>
      <c r="D6" s="6" t="n">
        <v>0</v>
      </c>
      <c r="E6" s="6" t="n">
        <v>922.35</v>
      </c>
      <c r="F6" s="10" t="n">
        <f aca="false">D6-E6</f>
        <v>-922.35</v>
      </c>
      <c r="G6" s="6" t="n">
        <v>0</v>
      </c>
      <c r="H6" s="30" t="n">
        <f aca="false">IFERROR(E6/D6,0)</f>
        <v>0</v>
      </c>
    </row>
    <row r="7" customFormat="false" ht="15" hidden="false" customHeight="true" outlineLevel="0" collapsed="false">
      <c r="A7" s="5" t="s">
        <v>173</v>
      </c>
      <c r="B7" s="5" t="s">
        <v>174</v>
      </c>
      <c r="C7" s="6" t="n">
        <v>0</v>
      </c>
      <c r="D7" s="6" t="n">
        <v>0</v>
      </c>
      <c r="E7" s="6" t="n">
        <v>6402</v>
      </c>
      <c r="F7" s="10" t="n">
        <f aca="false">D7-E7</f>
        <v>-6402</v>
      </c>
      <c r="G7" s="6" t="n">
        <v>0</v>
      </c>
      <c r="H7" s="30" t="n">
        <f aca="false">IFERROR(E7/D7,0)</f>
        <v>0</v>
      </c>
    </row>
    <row r="8" customFormat="false" ht="15" hidden="false" customHeight="true" outlineLevel="0" collapsed="false">
      <c r="A8" s="5" t="s">
        <v>175</v>
      </c>
      <c r="B8" s="5" t="s">
        <v>176</v>
      </c>
      <c r="C8" s="6" t="n">
        <v>0</v>
      </c>
      <c r="D8" s="6" t="n">
        <v>0</v>
      </c>
      <c r="E8" s="6" t="n">
        <v>1052.32</v>
      </c>
      <c r="F8" s="10" t="n">
        <f aca="false">D8-E8</f>
        <v>-1052.32</v>
      </c>
      <c r="G8" s="6" t="n">
        <v>0</v>
      </c>
      <c r="H8" s="30" t="n">
        <f aca="false">IFERROR(E8/D8,0)</f>
        <v>0</v>
      </c>
    </row>
    <row r="9" customFormat="false" ht="15" hidden="false" customHeight="true" outlineLevel="0" collapsed="false">
      <c r="A9" s="5" t="s">
        <v>177</v>
      </c>
      <c r="B9" s="5" t="s">
        <v>178</v>
      </c>
      <c r="C9" s="6" t="n">
        <v>0</v>
      </c>
      <c r="D9" s="6" t="n">
        <v>0</v>
      </c>
      <c r="E9" s="6" t="n">
        <v>163.3</v>
      </c>
      <c r="F9" s="10" t="n">
        <f aca="false">D9-E9</f>
        <v>-163.3</v>
      </c>
      <c r="G9" s="6" t="n">
        <v>0</v>
      </c>
      <c r="H9" s="30" t="n">
        <f aca="false">IFERROR(E9/D9,0)</f>
        <v>0</v>
      </c>
    </row>
    <row r="10" customFormat="false" ht="15" hidden="false" customHeight="true" outlineLevel="0" collapsed="false">
      <c r="A10" s="17" t="s">
        <v>179</v>
      </c>
      <c r="C10" s="7" t="n">
        <f aca="false">SUM(C4:C9)</f>
        <v>0</v>
      </c>
      <c r="D10" s="7" t="n">
        <f aca="false">SUM(D4:D9)</f>
        <v>0</v>
      </c>
      <c r="E10" s="7" t="n">
        <f aca="false">SUM(E4:E9)</f>
        <v>117161.97</v>
      </c>
      <c r="F10" s="7" t="n">
        <f aca="false">SUM(F4:F9)</f>
        <v>-117161.97</v>
      </c>
      <c r="G10" s="7" t="n">
        <f aca="false">SUM(G4:G9)</f>
        <v>0</v>
      </c>
      <c r="H10" s="8" t="n">
        <f aca="false">IFERROR(E10/D10,0)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0"/>
    <col collapsed="false" customWidth="true" hidden="false" outlineLevel="0" max="6" min="3" style="1" width="16"/>
  </cols>
  <sheetData>
    <row r="1" customFormat="false" ht="19.5" hidden="false" customHeight="true" outlineLevel="0" collapsed="false">
      <c r="A1" s="2" t="s">
        <v>180</v>
      </c>
    </row>
    <row r="3" customFormat="false" ht="15" hidden="false" customHeight="true" outlineLevel="0" collapsed="false">
      <c r="A3" s="29" t="s">
        <v>181</v>
      </c>
      <c r="B3" s="29" t="s">
        <v>182</v>
      </c>
      <c r="C3" s="29" t="s">
        <v>183</v>
      </c>
      <c r="D3" s="29" t="s">
        <v>163</v>
      </c>
      <c r="E3" s="29" t="s">
        <v>164</v>
      </c>
      <c r="F3" s="29" t="s">
        <v>166</v>
      </c>
    </row>
    <row r="4" customFormat="false" ht="15" hidden="false" customHeight="true" outlineLevel="0" collapsed="false">
      <c r="A4" s="17" t="s">
        <v>184</v>
      </c>
      <c r="B4" s="5" t="n">
        <v>1</v>
      </c>
      <c r="C4" s="6" t="n">
        <v>0</v>
      </c>
      <c r="D4" s="6" t="n">
        <v>2134.5</v>
      </c>
      <c r="E4" s="10" t="n">
        <f aca="false">C4-D4</f>
        <v>-2134.5</v>
      </c>
      <c r="F4" s="30" t="n">
        <f aca="false">IFERROR(D4/C4,0)</f>
        <v>0</v>
      </c>
    </row>
    <row r="5" customFormat="false" ht="15" hidden="false" customHeight="true" outlineLevel="0" collapsed="false">
      <c r="A5" s="17" t="s">
        <v>185</v>
      </c>
      <c r="B5" s="5" t="n">
        <v>0</v>
      </c>
      <c r="C5" s="6" t="n">
        <v>0</v>
      </c>
      <c r="D5" s="6" t="n">
        <v>0</v>
      </c>
      <c r="E5" s="10" t="n">
        <f aca="false">C5-D5</f>
        <v>0</v>
      </c>
      <c r="F5" s="30" t="n">
        <f aca="false">IFERROR(D5/C5,0)</f>
        <v>0</v>
      </c>
    </row>
    <row r="6" customFormat="false" ht="15" hidden="false" customHeight="true" outlineLevel="0" collapsed="false">
      <c r="A6" s="17" t="s">
        <v>186</v>
      </c>
      <c r="B6" s="5" t="n">
        <v>3</v>
      </c>
      <c r="C6" s="6" t="n">
        <v>0</v>
      </c>
      <c r="D6" s="6" t="n">
        <v>113811.85</v>
      </c>
      <c r="E6" s="10" t="n">
        <f aca="false">C6-D6</f>
        <v>-113811.85</v>
      </c>
      <c r="F6" s="30" t="n">
        <f aca="false">IFERROR(D6/C6,0)</f>
        <v>0</v>
      </c>
    </row>
    <row r="7" customFormat="false" ht="15" hidden="false" customHeight="true" outlineLevel="0" collapsed="false">
      <c r="A7" s="17" t="s">
        <v>187</v>
      </c>
      <c r="B7" s="5" t="n">
        <v>2</v>
      </c>
      <c r="C7" s="6" t="n">
        <v>0</v>
      </c>
      <c r="D7" s="6" t="n">
        <v>1215.62</v>
      </c>
      <c r="E7" s="10" t="n">
        <f aca="false">C7-D7</f>
        <v>-1215.62</v>
      </c>
      <c r="F7" s="30" t="n">
        <f aca="false">IFERROR(D7/C7,0)</f>
        <v>0</v>
      </c>
    </row>
    <row r="8" customFormat="false" ht="15" hidden="false" customHeight="true" outlineLevel="0" collapsed="false">
      <c r="A8" s="17" t="s">
        <v>179</v>
      </c>
      <c r="B8" s="31" t="n">
        <f aca="false">SUM(B4:B7)</f>
        <v>6</v>
      </c>
      <c r="C8" s="7" t="n">
        <f aca="false">SUM(C4:C7)</f>
        <v>0</v>
      </c>
      <c r="D8" s="7" t="n">
        <f aca="false">SUM(D4:D7)</f>
        <v>117161.97</v>
      </c>
      <c r="E8" s="7" t="n">
        <f aca="false">SUM(E4:E7)</f>
        <v>-117161.97</v>
      </c>
      <c r="F8" s="8" t="n">
        <f aca="false">IFERROR(D8/C8,0)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36"/>
    <col collapsed="false" customWidth="true" hidden="false" outlineLevel="0" max="5" min="3" style="1" width="14"/>
    <col collapsed="false" customWidth="true" hidden="false" outlineLevel="0" max="6" min="6" style="1" width="10"/>
    <col collapsed="false" customWidth="true" hidden="false" outlineLevel="0" max="7" min="7" style="1" width="14"/>
  </cols>
  <sheetData>
    <row r="1" customFormat="false" ht="19.5" hidden="false" customHeight="true" outlineLevel="0" collapsed="false">
      <c r="A1" s="2" t="s">
        <v>188</v>
      </c>
    </row>
    <row r="2" customFormat="false" ht="15" hidden="false" customHeight="true" outlineLevel="0" collapsed="false">
      <c r="A2" s="32" t="s">
        <v>189</v>
      </c>
    </row>
    <row r="4" customFormat="false" ht="15" hidden="false" customHeight="true" outlineLevel="0" collapsed="false">
      <c r="A4" s="29" t="s">
        <v>162</v>
      </c>
      <c r="B4" s="29" t="s">
        <v>148</v>
      </c>
      <c r="C4" s="29" t="s">
        <v>141</v>
      </c>
      <c r="D4" s="29" t="s">
        <v>163</v>
      </c>
      <c r="E4" s="29" t="s">
        <v>164</v>
      </c>
      <c r="F4" s="29" t="s">
        <v>190</v>
      </c>
      <c r="G4" s="29" t="s">
        <v>39</v>
      </c>
    </row>
    <row r="5" customFormat="false" ht="15" hidden="false" customHeight="true" outlineLevel="0" collapsed="false">
      <c r="A5" s="5" t="s">
        <v>167</v>
      </c>
      <c r="B5" s="5" t="s">
        <v>168</v>
      </c>
      <c r="C5" s="6" t="n">
        <v>0</v>
      </c>
      <c r="D5" s="6" t="n">
        <v>2134.5</v>
      </c>
      <c r="E5" s="10" t="n">
        <f aca="false">C5-D5</f>
        <v>-2134.5</v>
      </c>
      <c r="F5" s="30" t="n">
        <f aca="false">IFERROR((D5-C5)/C5,0)</f>
        <v>0</v>
      </c>
      <c r="G5" s="33" t="str">
        <f aca="false">IF(C5=0,"UNBUDGETED",IF(F5&gt;0.5,"CRITICAL",IF(F5&gt;0.1,"OVER",IF(F5&lt;-0.1,"UNDER","ON"))))</f>
        <v>UNBUDGETED</v>
      </c>
    </row>
    <row r="6" customFormat="false" ht="15" hidden="false" customHeight="true" outlineLevel="0" collapsed="false">
      <c r="A6" s="5" t="s">
        <v>169</v>
      </c>
      <c r="B6" s="5" t="s">
        <v>170</v>
      </c>
      <c r="C6" s="6" t="n">
        <v>0</v>
      </c>
      <c r="D6" s="6" t="n">
        <v>106487.5</v>
      </c>
      <c r="E6" s="10" t="n">
        <f aca="false">C6-D6</f>
        <v>-106487.5</v>
      </c>
      <c r="F6" s="30" t="n">
        <f aca="false">IFERROR((D6-C6)/C6,0)</f>
        <v>0</v>
      </c>
      <c r="G6" s="33" t="str">
        <f aca="false">IF(C6=0,"UNBUDGETED",IF(F6&gt;0.5,"CRITICAL",IF(F6&gt;0.1,"OVER",IF(F6&lt;-0.1,"UNDER","ON"))))</f>
        <v>UNBUDGETED</v>
      </c>
    </row>
    <row r="7" customFormat="false" ht="15" hidden="false" customHeight="true" outlineLevel="0" collapsed="false">
      <c r="A7" s="5" t="s">
        <v>171</v>
      </c>
      <c r="B7" s="5" t="s">
        <v>172</v>
      </c>
      <c r="C7" s="6" t="n">
        <v>0</v>
      </c>
      <c r="D7" s="6" t="n">
        <v>922.35</v>
      </c>
      <c r="E7" s="10" t="n">
        <f aca="false">C7-D7</f>
        <v>-922.35</v>
      </c>
      <c r="F7" s="30" t="n">
        <f aca="false">IFERROR((D7-C7)/C7,0)</f>
        <v>0</v>
      </c>
      <c r="G7" s="33" t="str">
        <f aca="false">IF(C7=0,"UNBUDGETED",IF(F7&gt;0.5,"CRITICAL",IF(F7&gt;0.1,"OVER",IF(F7&lt;-0.1,"UNDER","ON"))))</f>
        <v>UNBUDGETED</v>
      </c>
    </row>
    <row r="8" customFormat="false" ht="15" hidden="false" customHeight="true" outlineLevel="0" collapsed="false">
      <c r="A8" s="5" t="s">
        <v>173</v>
      </c>
      <c r="B8" s="5" t="s">
        <v>174</v>
      </c>
      <c r="C8" s="6" t="n">
        <v>0</v>
      </c>
      <c r="D8" s="6" t="n">
        <v>6402</v>
      </c>
      <c r="E8" s="10" t="n">
        <f aca="false">C8-D8</f>
        <v>-6402</v>
      </c>
      <c r="F8" s="30" t="n">
        <f aca="false">IFERROR((D8-C8)/C8,0)</f>
        <v>0</v>
      </c>
      <c r="G8" s="33" t="str">
        <f aca="false">IF(C8=0,"UNBUDGETED",IF(F8&gt;0.5,"CRITICAL",IF(F8&gt;0.1,"OVER",IF(F8&lt;-0.1,"UNDER","ON"))))</f>
        <v>UNBUDGETED</v>
      </c>
    </row>
    <row r="9" customFormat="false" ht="15" hidden="false" customHeight="true" outlineLevel="0" collapsed="false">
      <c r="A9" s="5" t="s">
        <v>175</v>
      </c>
      <c r="B9" s="5" t="s">
        <v>176</v>
      </c>
      <c r="C9" s="6" t="n">
        <v>0</v>
      </c>
      <c r="D9" s="6" t="n">
        <v>1052.32</v>
      </c>
      <c r="E9" s="10" t="n">
        <f aca="false">C9-D9</f>
        <v>-1052.32</v>
      </c>
      <c r="F9" s="30" t="n">
        <f aca="false">IFERROR((D9-C9)/C9,0)</f>
        <v>0</v>
      </c>
      <c r="G9" s="33" t="str">
        <f aca="false">IF(C9=0,"UNBUDGETED",IF(F9&gt;0.5,"CRITICAL",IF(F9&gt;0.1,"OVER",IF(F9&lt;-0.1,"UNDER","ON"))))</f>
        <v>UNBUDGETED</v>
      </c>
    </row>
    <row r="10" customFormat="false" ht="15" hidden="false" customHeight="true" outlineLevel="0" collapsed="false">
      <c r="A10" s="5" t="s">
        <v>177</v>
      </c>
      <c r="B10" s="5" t="s">
        <v>178</v>
      </c>
      <c r="C10" s="6" t="n">
        <v>0</v>
      </c>
      <c r="D10" s="6" t="n">
        <v>163.3</v>
      </c>
      <c r="E10" s="10" t="n">
        <f aca="false">C10-D10</f>
        <v>-163.3</v>
      </c>
      <c r="F10" s="30" t="n">
        <f aca="false">IFERROR((D10-C10)/C10,0)</f>
        <v>0</v>
      </c>
      <c r="G10" s="33" t="str">
        <f aca="false">IF(C10=0,"UNBUDGETED",IF(F10&gt;0.5,"CRITICAL",IF(F10&gt;0.1,"OVER",IF(F10&lt;-0.1,"UNDER","ON"))))</f>
        <v>UNBUDGETED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4"/>
    <col collapsed="false" customWidth="true" hidden="false" outlineLevel="0" max="3" min="3" style="1" width="12"/>
    <col collapsed="false" customWidth="true" hidden="false" outlineLevel="0" max="4" min="4" style="1" width="14"/>
  </cols>
  <sheetData>
    <row r="1" customFormat="false" ht="19.5" hidden="false" customHeight="true" outlineLevel="0" collapsed="false">
      <c r="A1" s="2" t="s">
        <v>191</v>
      </c>
    </row>
    <row r="3" customFormat="false" ht="15" hidden="false" customHeight="true" outlineLevel="0" collapsed="false">
      <c r="A3" s="29" t="s">
        <v>192</v>
      </c>
      <c r="B3" s="29" t="s">
        <v>193</v>
      </c>
      <c r="C3" s="29" t="s">
        <v>194</v>
      </c>
      <c r="D3" s="29" t="s">
        <v>195</v>
      </c>
    </row>
    <row r="4" customFormat="false" ht="15" hidden="false" customHeight="true" outlineLevel="0" collapsed="false">
      <c r="A4" s="5" t="s">
        <v>196</v>
      </c>
      <c r="B4" s="6" t="n">
        <v>90628.75</v>
      </c>
      <c r="C4" s="5" t="n">
        <v>9</v>
      </c>
      <c r="D4" s="30" t="n">
        <f aca="false">IFERROR(B4/SUM(B$4:B$6),0)</f>
        <v>0.925225949969935</v>
      </c>
    </row>
    <row r="5" customFormat="false" ht="15" hidden="false" customHeight="true" outlineLevel="0" collapsed="false">
      <c r="A5" s="5" t="s">
        <v>197</v>
      </c>
      <c r="B5" s="6" t="n">
        <v>6402</v>
      </c>
      <c r="C5" s="5" t="n">
        <v>2</v>
      </c>
      <c r="D5" s="30" t="n">
        <f aca="false">IFERROR(B5/SUM(B$4:B$6),0)</f>
        <v>0.0653578089922626</v>
      </c>
    </row>
    <row r="6" customFormat="false" ht="15" hidden="false" customHeight="true" outlineLevel="0" collapsed="false">
      <c r="A6" s="5" t="s">
        <v>198</v>
      </c>
      <c r="B6" s="6" t="n">
        <v>922.35</v>
      </c>
      <c r="C6" s="5" t="n">
        <v>1</v>
      </c>
      <c r="D6" s="30" t="n">
        <f aca="false">IFERROR(B6/SUM(B$4:B$6),0)</f>
        <v>0.00941624103780279</v>
      </c>
    </row>
    <row r="7" customFormat="false" ht="15" hidden="false" customHeight="true" outlineLevel="0" collapsed="false">
      <c r="A7" s="17" t="s">
        <v>199</v>
      </c>
      <c r="B7" s="7" t="n">
        <f aca="false">SUM(B4:B6)</f>
        <v>97953.1</v>
      </c>
      <c r="C7" s="34" t="n">
        <f aca="false">SUM(C4:C6)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2"/>
    <col collapsed="false" customWidth="true" hidden="false" outlineLevel="0" max="3" min="3" style="1" width="14"/>
    <col collapsed="false" customWidth="true" hidden="false" outlineLevel="0" max="5" min="4" style="1" width="12"/>
  </cols>
  <sheetData>
    <row r="1" customFormat="false" ht="19.5" hidden="false" customHeight="true" outlineLevel="0" collapsed="false">
      <c r="A1" s="2" t="s">
        <v>200</v>
      </c>
    </row>
    <row r="3" customFormat="false" ht="15" hidden="false" customHeight="true" outlineLevel="0" collapsed="false">
      <c r="A3" s="29" t="s">
        <v>201</v>
      </c>
      <c r="B3" s="29" t="s">
        <v>202</v>
      </c>
      <c r="C3" s="29" t="s">
        <v>203</v>
      </c>
      <c r="D3" s="29" t="s">
        <v>204</v>
      </c>
      <c r="E3" s="29" t="s">
        <v>205</v>
      </c>
    </row>
    <row r="4" customFormat="false" ht="15" hidden="false" customHeight="true" outlineLevel="0" collapsed="false">
      <c r="A4" s="5" t="s">
        <v>206</v>
      </c>
      <c r="B4" s="35" t="n">
        <v>20.5</v>
      </c>
      <c r="C4" s="6" t="n">
        <v>1414</v>
      </c>
      <c r="D4" s="36" t="n">
        <f aca="false">IFERROR(C4/B4,0)</f>
        <v>68.9756097560976</v>
      </c>
      <c r="E4" s="5" t="s">
        <v>207</v>
      </c>
    </row>
    <row r="5" customFormat="false" ht="15" hidden="false" customHeight="true" outlineLevel="0" collapsed="false">
      <c r="A5" s="5" t="s">
        <v>208</v>
      </c>
      <c r="B5" s="35" t="n">
        <v>12</v>
      </c>
      <c r="C5" s="6" t="n">
        <v>720</v>
      </c>
      <c r="D5" s="36" t="n">
        <f aca="false">IFERROR(C5/B5,0)</f>
        <v>60</v>
      </c>
      <c r="E5" s="5" t="s">
        <v>207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5" min="4" style="1" width="14"/>
  </cols>
  <sheetData>
    <row r="1" customFormat="false" ht="19.5" hidden="false" customHeight="true" outlineLevel="0" collapsed="false">
      <c r="A1" s="2" t="s">
        <v>209</v>
      </c>
    </row>
    <row r="3" customFormat="false" ht="15" hidden="false" customHeight="true" outlineLevel="0" collapsed="false">
      <c r="A3" s="29" t="s">
        <v>205</v>
      </c>
      <c r="B3" s="29" t="s">
        <v>210</v>
      </c>
      <c r="C3" s="29" t="s">
        <v>202</v>
      </c>
      <c r="D3" s="29" t="s">
        <v>203</v>
      </c>
      <c r="E3" s="29" t="s">
        <v>211</v>
      </c>
    </row>
    <row r="4" customFormat="false" ht="15" hidden="false" customHeight="true" outlineLevel="0" collapsed="false">
      <c r="A4" s="17" t="s">
        <v>207</v>
      </c>
      <c r="B4" s="5" t="n">
        <v>2</v>
      </c>
      <c r="C4" s="35" t="n">
        <v>32.5</v>
      </c>
      <c r="D4" s="6" t="n">
        <v>2134</v>
      </c>
      <c r="E4" s="30" t="n">
        <f aca="false">IFERROR(C4/SUM(C$4:C$7),0)</f>
        <v>1</v>
      </c>
    </row>
    <row r="5" customFormat="false" ht="15" hidden="false" customHeight="true" outlineLevel="0" collapsed="false">
      <c r="A5" s="17" t="s">
        <v>212</v>
      </c>
      <c r="B5" s="5" t="n">
        <v>0</v>
      </c>
      <c r="C5" s="35" t="n">
        <v>0</v>
      </c>
      <c r="D5" s="6" t="n">
        <v>0</v>
      </c>
      <c r="E5" s="30" t="n">
        <f aca="false">IFERROR(C5/SUM(C$4:C$7),0)</f>
        <v>0</v>
      </c>
    </row>
    <row r="6" customFormat="false" ht="15" hidden="false" customHeight="true" outlineLevel="0" collapsed="false">
      <c r="A6" s="17" t="s">
        <v>213</v>
      </c>
      <c r="B6" s="5" t="n">
        <v>0</v>
      </c>
      <c r="C6" s="35" t="n">
        <v>0</v>
      </c>
      <c r="D6" s="6" t="n">
        <v>0</v>
      </c>
      <c r="E6" s="30" t="n">
        <f aca="false">IFERROR(C6/SUM(C$4:C$7),0)</f>
        <v>0</v>
      </c>
    </row>
    <row r="7" customFormat="false" ht="15" hidden="false" customHeight="true" outlineLevel="0" collapsed="false">
      <c r="A7" s="17" t="s">
        <v>214</v>
      </c>
      <c r="B7" s="5" t="n">
        <v>0</v>
      </c>
      <c r="C7" s="35" t="n">
        <v>0</v>
      </c>
      <c r="D7" s="6" t="n">
        <v>0</v>
      </c>
      <c r="E7" s="30" t="n">
        <f aca="false">IFERROR(C7/SUM(C$4:C$7),0)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8"/>
  </cols>
  <sheetData>
    <row r="1" customFormat="false" ht="19.5" hidden="false" customHeight="true" outlineLevel="0" collapsed="false">
      <c r="A1" s="2" t="s">
        <v>215</v>
      </c>
    </row>
    <row r="3" customFormat="false" ht="15" hidden="false" customHeight="true" outlineLevel="0" collapsed="false">
      <c r="A3" s="5" t="s">
        <v>216</v>
      </c>
      <c r="B3" s="35" t="n">
        <v>32</v>
      </c>
    </row>
    <row r="4" customFormat="false" ht="15" hidden="false" customHeight="true" outlineLevel="0" collapsed="false">
      <c r="A4" s="5" t="s">
        <v>217</v>
      </c>
      <c r="B4" s="37" t="n">
        <v>2</v>
      </c>
    </row>
    <row r="5" customFormat="false" ht="15" hidden="false" customHeight="true" outlineLevel="0" collapsed="false">
      <c r="A5" s="5" t="s">
        <v>218</v>
      </c>
      <c r="B5" s="35" t="n">
        <v>0.1</v>
      </c>
    </row>
    <row r="6" customFormat="false" ht="15" hidden="false" customHeight="true" outlineLevel="0" collapsed="false">
      <c r="A6" s="5" t="s">
        <v>219</v>
      </c>
      <c r="B6" s="38" t="n">
        <v>2812.37</v>
      </c>
    </row>
    <row r="7" customFormat="false" ht="15" hidden="false" customHeight="true" outlineLevel="0" collapsed="false">
      <c r="A7" s="5" t="s">
        <v>12</v>
      </c>
      <c r="B7" s="39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4" min="2" style="1" width="14"/>
  </cols>
  <sheetData>
    <row r="1" customFormat="false" ht="19.5" hidden="false" customHeight="true" outlineLevel="0" collapsed="false">
      <c r="A1" s="2" t="s">
        <v>220</v>
      </c>
    </row>
    <row r="3" customFormat="false" ht="15" hidden="false" customHeight="true" outlineLevel="0" collapsed="false">
      <c r="A3" s="29" t="s">
        <v>221</v>
      </c>
      <c r="B3" s="29" t="s">
        <v>222</v>
      </c>
      <c r="C3" s="29" t="s">
        <v>223</v>
      </c>
      <c r="D3" s="29" t="s">
        <v>142</v>
      </c>
    </row>
    <row r="4" customFormat="false" ht="15" hidden="false" customHeight="true" outlineLevel="0" collapsed="false">
      <c r="A4" s="5" t="s">
        <v>224</v>
      </c>
      <c r="B4" s="39" t="n">
        <v>0</v>
      </c>
      <c r="C4" s="39" t="n">
        <v>0.34</v>
      </c>
      <c r="D4" s="30" t="n">
        <f aca="false">B4-C4</f>
        <v>-0.34</v>
      </c>
    </row>
    <row r="5" customFormat="false" ht="15" hidden="false" customHeight="true" outlineLevel="0" collapsed="false">
      <c r="A5" s="5" t="s">
        <v>225</v>
      </c>
      <c r="B5" s="39" t="n">
        <v>0</v>
      </c>
      <c r="C5" s="39" t="n">
        <v>0.45</v>
      </c>
      <c r="D5" s="30" t="n">
        <f aca="false">B5-C5</f>
        <v>-0.45</v>
      </c>
    </row>
    <row r="6" customFormat="false" ht="15" hidden="false" customHeight="true" outlineLevel="0" collapsed="false">
      <c r="A6" s="5" t="s">
        <v>226</v>
      </c>
      <c r="B6" s="39" t="n">
        <v>0.925225949969935</v>
      </c>
      <c r="C6" s="39" t="n">
        <v>0.38</v>
      </c>
      <c r="D6" s="30" t="n">
        <f aca="false">B6-C6</f>
        <v>0.545225949969935</v>
      </c>
    </row>
    <row r="7" customFormat="false" ht="15" hidden="false" customHeight="true" outlineLevel="0" collapsed="false">
      <c r="A7" s="5" t="s">
        <v>227</v>
      </c>
      <c r="B7" s="35" t="n">
        <v>0.123574144486692</v>
      </c>
      <c r="C7" s="35" t="n">
        <v>95</v>
      </c>
      <c r="D7" s="40" t="n">
        <f aca="false">B7-C7</f>
        <v>-94.8764258555133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8"/>
    <col collapsed="false" customWidth="true" hidden="false" outlineLevel="0" max="3" min="3" style="1" width="22"/>
    <col collapsed="false" customWidth="true" hidden="false" outlineLevel="0" max="4" min="4" style="1" width="24"/>
    <col collapsed="false" customWidth="true" hidden="false" outlineLevel="0" max="5" min="5" style="1" width="12"/>
  </cols>
  <sheetData>
    <row r="1" customFormat="false" ht="19.5" hidden="false" customHeight="true" outlineLevel="0" collapsed="false">
      <c r="A1" s="41" t="s">
        <v>228</v>
      </c>
      <c r="F1" s="1"/>
    </row>
    <row r="2" customFormat="false" ht="15" hidden="false" customHeight="true" outlineLevel="0" collapsed="false">
      <c r="F2" s="1"/>
    </row>
    <row r="3" customFormat="false" ht="15" hidden="false" customHeight="true" outlineLevel="0" collapsed="false">
      <c r="A3" s="42" t="s">
        <v>159</v>
      </c>
      <c r="B3" s="42" t="s">
        <v>229</v>
      </c>
      <c r="C3" s="42" t="s">
        <v>230</v>
      </c>
      <c r="D3" s="42" t="s">
        <v>231</v>
      </c>
      <c r="E3" s="42" t="s">
        <v>232</v>
      </c>
      <c r="F3" s="1"/>
    </row>
    <row r="4" customFormat="false" ht="15" hidden="false" customHeight="true" outlineLevel="0" collapsed="false">
      <c r="A4" s="43" t="n">
        <v>1</v>
      </c>
      <c r="B4" s="44" t="s">
        <v>233</v>
      </c>
      <c r="C4" s="43" t="s">
        <v>234</v>
      </c>
      <c r="D4" s="43" t="s">
        <v>235</v>
      </c>
      <c r="E4" s="45" t="s">
        <v>236</v>
      </c>
      <c r="F4" s="1"/>
    </row>
    <row r="5" customFormat="false" ht="15" hidden="false" customHeight="true" outlineLevel="0" collapsed="false">
      <c r="A5" s="43" t="n">
        <v>2</v>
      </c>
      <c r="B5" s="44" t="s">
        <v>237</v>
      </c>
      <c r="C5" s="43" t="s">
        <v>110</v>
      </c>
      <c r="D5" s="43" t="s">
        <v>238</v>
      </c>
      <c r="E5" s="45" t="s">
        <v>236</v>
      </c>
      <c r="F5" s="1"/>
    </row>
    <row r="6" customFormat="false" ht="15" hidden="false" customHeight="true" outlineLevel="0" collapsed="false">
      <c r="A6" s="43" t="n">
        <v>3</v>
      </c>
      <c r="B6" s="44" t="s">
        <v>239</v>
      </c>
      <c r="C6" s="43" t="s">
        <v>110</v>
      </c>
      <c r="D6" s="43" t="s">
        <v>240</v>
      </c>
      <c r="E6" s="45" t="s">
        <v>236</v>
      </c>
      <c r="F6" s="1"/>
    </row>
    <row r="7" customFormat="false" ht="15" hidden="false" customHeight="true" outlineLevel="0" collapsed="false">
      <c r="A7" s="43" t="n">
        <v>4</v>
      </c>
      <c r="B7" s="44" t="s">
        <v>155</v>
      </c>
      <c r="C7" s="43" t="s">
        <v>241</v>
      </c>
      <c r="D7" s="43" t="s">
        <v>242</v>
      </c>
      <c r="E7" s="45" t="s">
        <v>236</v>
      </c>
      <c r="F7" s="1"/>
    </row>
    <row r="8" customFormat="false" ht="15" hidden="false" customHeight="true" outlineLevel="0" collapsed="false">
      <c r="A8" s="43" t="n">
        <v>5</v>
      </c>
      <c r="B8" s="43" t="s">
        <v>243</v>
      </c>
      <c r="C8" s="43" t="s">
        <v>244</v>
      </c>
      <c r="D8" s="43" t="s">
        <v>245</v>
      </c>
      <c r="E8" s="19" t="s">
        <v>246</v>
      </c>
      <c r="F8" s="1"/>
    </row>
    <row r="9" customFormat="false" ht="15" hidden="false" customHeight="true" outlineLevel="0" collapsed="false">
      <c r="A9" s="43" t="n">
        <v>6</v>
      </c>
      <c r="B9" s="43" t="s">
        <v>247</v>
      </c>
      <c r="C9" s="43" t="s">
        <v>40</v>
      </c>
      <c r="D9" s="43" t="s">
        <v>248</v>
      </c>
      <c r="E9" s="46" t="s">
        <v>249</v>
      </c>
      <c r="F9" s="1"/>
    </row>
    <row r="10" customFormat="false" ht="15" hidden="false" customHeight="true" outlineLevel="0" collapsed="false">
      <c r="A10" s="43" t="n">
        <v>7</v>
      </c>
      <c r="B10" s="43" t="s">
        <v>250</v>
      </c>
      <c r="C10" s="43" t="s">
        <v>44</v>
      </c>
      <c r="D10" s="43" t="s">
        <v>241</v>
      </c>
      <c r="E10" s="46" t="s">
        <v>249</v>
      </c>
      <c r="F10" s="1"/>
    </row>
    <row r="11" customFormat="false" ht="15" hidden="false" customHeight="true" outlineLevel="0" collapsed="false">
      <c r="A11" s="43" t="n">
        <v>8</v>
      </c>
      <c r="B11" s="43" t="s">
        <v>251</v>
      </c>
      <c r="C11" s="43" t="s">
        <v>42</v>
      </c>
      <c r="D11" s="43" t="s">
        <v>252</v>
      </c>
      <c r="E11" s="47" t="s">
        <v>253</v>
      </c>
      <c r="F11" s="1"/>
    </row>
    <row r="12" customFormat="false" ht="15" hidden="false" customHeight="true" outlineLevel="0" collapsed="false">
      <c r="A12" s="43" t="n">
        <v>9</v>
      </c>
      <c r="B12" s="43" t="s">
        <v>254</v>
      </c>
      <c r="C12" s="43" t="s">
        <v>110</v>
      </c>
      <c r="D12" s="43" t="s">
        <v>255</v>
      </c>
      <c r="E12" s="47" t="s">
        <v>253</v>
      </c>
      <c r="F12" s="1"/>
    </row>
    <row r="13" customFormat="false" ht="15" hidden="false" customHeight="true" outlineLevel="0" collapsed="false">
      <c r="A13" s="43" t="n">
        <v>10</v>
      </c>
      <c r="B13" s="43" t="s">
        <v>256</v>
      </c>
      <c r="C13" s="43" t="s">
        <v>257</v>
      </c>
      <c r="D13" s="43" t="s">
        <v>255</v>
      </c>
      <c r="E13" s="46" t="s">
        <v>249</v>
      </c>
      <c r="F13" s="1"/>
    </row>
    <row r="14" customFormat="false" ht="15" hidden="false" customHeight="true" outlineLevel="0" collapsed="false">
      <c r="F14" s="1"/>
    </row>
    <row r="15" customFormat="false" ht="15" hidden="false" customHeight="true" outlineLevel="0" collapsed="false">
      <c r="F15" s="1"/>
    </row>
    <row r="16" customFormat="false" ht="15" hidden="false" customHeight="true" outlineLevel="0" collapsed="false">
      <c r="F16" s="1"/>
    </row>
    <row r="17" customFormat="false" ht="15" hidden="false" customHeight="true" outlineLevel="0" collapsed="false">
      <c r="F17" s="1"/>
    </row>
    <row r="18" customFormat="false" ht="15" hidden="false" customHeight="true" outlineLevel="0" collapsed="false">
      <c r="F18" s="1"/>
    </row>
    <row r="19" customFormat="false" ht="15" hidden="false" customHeight="true" outlineLevel="0" collapsed="false">
      <c r="F19" s="1"/>
    </row>
    <row r="20" customFormat="false" ht="15" hidden="false" customHeight="true" outlineLevel="0" collapsed="false">
      <c r="F20" s="1"/>
    </row>
    <row r="21" customFormat="false" ht="15" hidden="false" customHeight="true" outlineLevel="0" collapsed="false">
      <c r="F21" s="1"/>
    </row>
    <row r="22" customFormat="false" ht="15" hidden="false" customHeight="true" outlineLevel="0" collapsed="false">
      <c r="F22" s="1"/>
    </row>
    <row r="23" customFormat="false" ht="15" hidden="false" customHeight="true" outlineLevel="0" collapsed="false">
      <c r="F23" s="1"/>
    </row>
    <row r="24" customFormat="false" ht="15" hidden="false" customHeight="true" outlineLevel="0" collapsed="false">
      <c r="F24" s="1"/>
    </row>
    <row r="25" customFormat="false" ht="15" hidden="false" customHeight="true" outlineLevel="0" collapsed="false">
      <c r="F25" s="1"/>
    </row>
    <row r="26" customFormat="false" ht="15" hidden="false" customHeight="true" outlineLevel="0" collapsed="false">
      <c r="F26" s="1"/>
    </row>
    <row r="27" customFormat="false" ht="15" hidden="false" customHeight="true" outlineLevel="0" collapsed="false">
      <c r="F27" s="1"/>
    </row>
    <row r="28" customFormat="false" ht="15" hidden="false" customHeight="true" outlineLevel="0" collapsed="false">
      <c r="F28" s="1"/>
    </row>
    <row r="29" customFormat="false" ht="15" hidden="false" customHeight="true" outlineLevel="0" collapsed="false">
      <c r="F29" s="1"/>
    </row>
    <row r="30" customFormat="false" ht="15" hidden="false" customHeight="true" outlineLevel="0" collapsed="false">
      <c r="F30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8"/>
    <col collapsed="false" customWidth="true" hidden="false" outlineLevel="0" max="4" min="2" style="1" width="18"/>
  </cols>
  <sheetData>
    <row r="1" customFormat="false" ht="19.5" hidden="false" customHeight="true" outlineLevel="0" collapsed="false">
      <c r="A1" s="2" t="s">
        <v>258</v>
      </c>
    </row>
    <row r="3" customFormat="false" ht="15" hidden="false" customHeight="true" outlineLevel="0" collapsed="false">
      <c r="A3" s="29" t="s">
        <v>14</v>
      </c>
      <c r="B3" s="29" t="s">
        <v>259</v>
      </c>
      <c r="C3" s="29" t="s">
        <v>260</v>
      </c>
      <c r="D3" s="29" t="s">
        <v>142</v>
      </c>
    </row>
    <row r="4" customFormat="false" ht="15" hidden="false" customHeight="true" outlineLevel="0" collapsed="false">
      <c r="A4" s="5" t="s">
        <v>261</v>
      </c>
      <c r="B4" s="6" t="n">
        <v>117161.97</v>
      </c>
      <c r="C4" s="6" t="n">
        <v>117161.97</v>
      </c>
      <c r="D4" s="10" t="n">
        <f aca="false">IF(ISNUMBER(B4),B4-C4,"—")</f>
        <v>0</v>
      </c>
    </row>
    <row r="5" customFormat="false" ht="15" hidden="false" customHeight="true" outlineLevel="0" collapsed="false">
      <c r="A5" s="5" t="s">
        <v>262</v>
      </c>
      <c r="B5" s="6" t="n">
        <v>-91402</v>
      </c>
      <c r="C5" s="6" t="n">
        <v>91402</v>
      </c>
      <c r="D5" s="10" t="n">
        <f aca="false">IF(ISNUMBER(B5),B5-C5,"—")</f>
        <v>-182804</v>
      </c>
    </row>
    <row r="6" customFormat="false" ht="15" hidden="false" customHeight="true" outlineLevel="0" collapsed="false">
      <c r="A6" s="5" t="s">
        <v>263</v>
      </c>
      <c r="C6" s="6" t="n">
        <v>97953.1</v>
      </c>
      <c r="D6" s="10" t="str">
        <f aca="false">IF(ISNUMBER(B6),B6-C6,"—")</f>
        <v>—</v>
      </c>
    </row>
    <row r="7" customFormat="false" ht="15" hidden="false" customHeight="true" outlineLevel="0" collapsed="false">
      <c r="A7" s="5" t="s">
        <v>264</v>
      </c>
      <c r="C7" s="6" t="n">
        <v>3350.12</v>
      </c>
      <c r="D7" s="10" t="str">
        <f aca="false">IF(ISNUMBER(B7),B7-C7,"—")</f>
        <v>—</v>
      </c>
    </row>
    <row r="8" customFormat="false" ht="15" hidden="false" customHeight="true" outlineLevel="0" collapsed="false">
      <c r="A8" s="5" t="s">
        <v>265</v>
      </c>
      <c r="C8" s="6" t="n">
        <v>15858.75</v>
      </c>
      <c r="D8" s="10" t="str">
        <f aca="false">IF(ISNUMBER(B8),B8-C8,"—")</f>
        <v>—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20"/>
    <col collapsed="false" customWidth="true" hidden="false" outlineLevel="0" max="3" min="3" style="1" width="50"/>
  </cols>
  <sheetData>
    <row r="1" customFormat="false" ht="19.5" hidden="false" customHeight="true" outlineLevel="0" collapsed="false">
      <c r="A1" s="2" t="s">
        <v>266</v>
      </c>
    </row>
    <row r="3" customFormat="false" ht="15" hidden="false" customHeight="true" outlineLevel="0" collapsed="false">
      <c r="A3" s="29" t="s">
        <v>221</v>
      </c>
      <c r="B3" s="29" t="s">
        <v>267</v>
      </c>
      <c r="C3" s="29" t="s">
        <v>268</v>
      </c>
    </row>
    <row r="4" customFormat="false" ht="15" hidden="false" customHeight="true" outlineLevel="0" collapsed="false">
      <c r="A4" s="48" t="s">
        <v>224</v>
      </c>
      <c r="B4" s="48" t="s">
        <v>269</v>
      </c>
      <c r="C4" s="48" t="s">
        <v>270</v>
      </c>
    </row>
    <row r="5" customFormat="false" ht="15" hidden="false" customHeight="true" outlineLevel="0" collapsed="false">
      <c r="A5" s="48" t="s">
        <v>12</v>
      </c>
      <c r="B5" s="48" t="s">
        <v>269</v>
      </c>
      <c r="C5" s="48" t="s">
        <v>271</v>
      </c>
    </row>
    <row r="6" customFormat="false" ht="15" hidden="false" customHeight="true" outlineLevel="0" collapsed="false">
      <c r="A6" s="48" t="s">
        <v>272</v>
      </c>
      <c r="B6" s="48" t="s">
        <v>273</v>
      </c>
      <c r="C6" s="48" t="s">
        <v>274</v>
      </c>
    </row>
    <row r="7" customFormat="false" ht="15" hidden="false" customHeight="true" outlineLevel="0" collapsed="false">
      <c r="A7" s="48" t="s">
        <v>226</v>
      </c>
      <c r="B7" s="48" t="s">
        <v>275</v>
      </c>
      <c r="C7" s="48" t="s">
        <v>276</v>
      </c>
    </row>
    <row r="8" customFormat="false" ht="15" hidden="false" customHeight="true" outlineLevel="0" collapsed="false">
      <c r="A8" s="48" t="s">
        <v>227</v>
      </c>
      <c r="B8" s="48" t="s">
        <v>277</v>
      </c>
      <c r="C8" s="48" t="s">
        <v>278</v>
      </c>
    </row>
    <row r="9" customFormat="false" ht="23.25" hidden="false" customHeight="true" outlineLevel="0" collapsed="false">
      <c r="A9" s="48" t="s">
        <v>279</v>
      </c>
      <c r="B9" s="48" t="s">
        <v>280</v>
      </c>
      <c r="C9" s="48" t="s">
        <v>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"/>
    <col collapsed="false" customWidth="true" hidden="false" outlineLevel="0" max="3" min="3" style="1" width="50"/>
  </cols>
  <sheetData>
    <row r="1" customFormat="false" ht="19.5" hidden="false" customHeight="true" outlineLevel="0" collapsed="false">
      <c r="A1" s="2" t="s">
        <v>282</v>
      </c>
    </row>
    <row r="3" customFormat="false" ht="15" hidden="false" customHeight="true" outlineLevel="0" collapsed="false">
      <c r="A3" s="29" t="s">
        <v>283</v>
      </c>
      <c r="B3" s="29" t="s">
        <v>284</v>
      </c>
      <c r="C3" s="29" t="s">
        <v>285</v>
      </c>
    </row>
    <row r="4" customFormat="false" ht="15" hidden="false" customHeight="true" outlineLevel="0" collapsed="false">
      <c r="A4" s="5" t="s">
        <v>286</v>
      </c>
      <c r="B4" s="5" t="s">
        <v>287</v>
      </c>
      <c r="C4" s="5" t="s">
        <v>288</v>
      </c>
    </row>
    <row r="5" customFormat="false" ht="68.25" hidden="false" customHeight="true" outlineLevel="0" collapsed="false">
      <c r="A5" s="49" t="s">
        <v>289</v>
      </c>
      <c r="B5" s="50" t="s">
        <v>290</v>
      </c>
      <c r="C5" s="51" t="s">
        <v>291</v>
      </c>
    </row>
    <row r="6" customFormat="false" ht="68.65" hidden="false" customHeight="false" outlineLevel="0" collapsed="false">
      <c r="A6" s="52" t="s">
        <v>289</v>
      </c>
      <c r="B6" s="22" t="s">
        <v>292</v>
      </c>
      <c r="C6" s="51" t="s">
        <v>293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2026-04-27T19:53:04Z</dcterms:created>
  <dc:creator>openpyxl</dc:creator>
  <dc:description/>
  <dc:language>en-US</dc:language>
  <cp:lastModifiedBy/>
  <dcterms:modified xsi:type="dcterms:W3CDTF">2026-04-27T20:36:55Z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