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 Overview" sheetId="1" state="visible" r:id="rId3"/>
    <sheet name="02 Job Info" sheetId="2" state="visible" r:id="rId4"/>
    <sheet name="03 Contract" sheetId="3" state="visible" r:id="rId5"/>
    <sheet name="04 SOV-PayApps" sheetId="4" state="visible" r:id="rId6"/>
    <sheet name="05 Change Orders" sheetId="5" state="visible" r:id="rId7"/>
    <sheet name="06 Cost Codes" sheetId="6" state="visible" r:id="rId8"/>
    <sheet name="07 Cost Categories" sheetId="7" state="visible" r:id="rId9"/>
    <sheet name="08 BVA" sheetId="8" state="visible" r:id="rId10"/>
    <sheet name="09 Vendor Analysis" sheetId="9" state="visible" r:id="rId11"/>
    <sheet name="10 Crew Roster" sheetId="10" state="visible" r:id="rId12"/>
    <sheet name="11 Wage Tiers" sheetId="11" state="visible" r:id="rId13"/>
    <sheet name="12 Productivity" sheetId="12" state="visible" r:id="rId14"/>
    <sheet name="13 Benchmarks" sheetId="13" state="visible" r:id="rId15"/>
    <sheet name="14 Predictive Signals" sheetId="14" state="visible" r:id="rId16"/>
    <sheet name="15 Reconciliation" sheetId="15" state="visible" r:id="rId17"/>
    <sheet name="16 Metric Registry" sheetId="16" state="visible" r:id="rId18"/>
    <sheet name="17 Change Log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<sst xmlns="http://schemas.openxmlformats.org/spreadsheetml/2006/main" count="430" uniqueCount="348">
  <si>
    <t xml:space="preserve">OWP #2108 · R&amp;G Apartments</t>
  </si>
  <si>
    <t xml:space="preserve">Braseth · 263 units · ON HOLD · Summer 2026?</t>
  </si>
  <si>
    <t xml:space="preserve">Forecast at Completion (Revised Basis)</t>
  </si>
  <si>
    <t xml:space="preserve">Revised contract value</t>
  </si>
  <si>
    <t xml:space="preserve">Revised budget (expenses)</t>
  </si>
  <si>
    <t xml:space="preserve">Forecast net profit</t>
  </si>
  <si>
    <t xml:space="preserve">Forecast margin</t>
  </si>
  <si>
    <t xml:space="preserve">Progress to Date</t>
  </si>
  <si>
    <t xml:space="preserve">Work complete (billed)</t>
  </si>
  <si>
    <t xml:space="preserve">Retention held</t>
  </si>
  <si>
    <t xml:space="preserve">Earned less retention</t>
  </si>
  <si>
    <t xml:space="preserve">Balance to finish</t>
  </si>
  <si>
    <t xml:space="preserve">Percent complete</t>
  </si>
  <si>
    <t xml:space="preserve">Transaction Totals by Source</t>
  </si>
  <si>
    <t xml:space="preserve">Source</t>
  </si>
  <si>
    <t xml:space="preserve">Dollars</t>
  </si>
  <si>
    <t xml:space="preserve">GL</t>
  </si>
  <si>
    <t xml:space="preserve">AP</t>
  </si>
  <si>
    <t xml:space="preserve">PR</t>
  </si>
  <si>
    <t xml:space="preserve">AR</t>
  </si>
  <si>
    <t xml:space="preserve">PROJECT TEAM · KEY PLAYERS</t>
  </si>
  <si>
    <t xml:space="preserve">Pre-construction · ON HOLD pending Braseth go-ahead. Final BID submitted Feb 27 2025 ($4,619,052 / 263u). Bid history: 2021 BMDC budget at 226u → 2024 Braseth bid at 263u (scope grew, price dropped) → 2025 final BID +3.6%.</t>
  </si>
  <si>
    <t xml:space="preserve">ROLE</t>
  </si>
  <si>
    <t xml:space="preserve">VALUE</t>
  </si>
  <si>
    <t xml:space="preserve">General Contractor</t>
  </si>
  <si>
    <t xml:space="preserve">Braseth Construction</t>
  </si>
  <si>
    <t xml:space="preserve">Owner</t>
  </si>
  <si>
    <t xml:space="preserve">Lake Union Partners (per JDR AR section · invoice 038534)</t>
  </si>
  <si>
    <t xml:space="preserve">Architect</t>
  </si>
  <si>
    <t xml:space="preserve">Skb Architects</t>
  </si>
  <si>
    <t xml:space="preserve">MEP / Plumbing Engineer</t>
  </si>
  <si>
    <t xml:space="preserve">Emerald City Engineering (per Master Project List Projects Bid tab) · Franklin Engineering on AP for $90,629 design fee — likely OWP's 3rd-party design-build engineer alongside Emerald City as bridge MEP</t>
  </si>
  <si>
    <t xml:space="preserve">OWP Estimator</t>
  </si>
  <si>
    <t xml:space="preserve">Jeffrey S. Gerard / Jordan E. Gerard (takeoff team)</t>
  </si>
  <si>
    <t xml:space="preserve">OWP Signatory</t>
  </si>
  <si>
    <t xml:space="preserve">Richard Donelson</t>
  </si>
  <si>
    <t xml:space="preserve">Site Address</t>
  </si>
  <si>
    <t xml:space="preserve">Rainier Ave S × S Genesee St, Seattle WA (Columbia City corridor / South Seattle)</t>
  </si>
  <si>
    <t xml:space="preserve">Insurance</t>
  </si>
  <si>
    <t xml:space="preserve">Standard (COI) — non-Wrap (per build_2108 META)</t>
  </si>
  <si>
    <t xml:space="preserve">Status</t>
  </si>
  <si>
    <t xml:space="preserve">ON HOLD · Summer 2026?</t>
  </si>
  <si>
    <t xml:space="preserve">Latest BID submitted</t>
  </si>
  <si>
    <t xml:space="preserve">$4,619,052 (Feb 27 2025 · 263u)</t>
  </si>
  <si>
    <t xml:space="preserve">AR Billed to date</t>
  </si>
  <si>
    <t xml:space="preserve">$91,402 (takeoff phase)</t>
  </si>
  <si>
    <t xml:space="preserve">Direct Cost (sunk)</t>
  </si>
  <si>
    <t xml:space="preserve">$117,162</t>
  </si>
  <si>
    <t xml:space="preserve">Carrying Loss</t>
  </si>
  <si>
    <t xml:space="preserve">$(25,760)</t>
  </si>
  <si>
    <t xml:space="preserve">Active Crew</t>
  </si>
  <si>
    <t xml:space="preserve">2 OWP estimating leads · 32.5 hrs</t>
  </si>
  <si>
    <t xml:space="preserve">Bid history</t>
  </si>
  <si>
    <t xml:space="preserve">2021 BMDC budget 226u/$5.15M → 2024 Braseth bid 263u/$4.46M → 2025 final BID 263u/$4.62M</t>
  </si>
  <si>
    <t xml:space="preserve">JOB #2108 · R&amp;G APARTMENTS (RAINIER &amp; GENESEE) · KEY PLAYERS &amp; METADATA</t>
  </si>
  <si>
    <t xml:space="preserve">Pre-construction · on hold · early takeoff phase. OWP has $117,162 sunk against $91,402 billed = -$25,760 carrying loss. Final BID submitted Feb 27 2025 to Braseth ($4,619,052 / 263 units). Project paused pending Braseth go-ahead. Sources: Sage JDR + OWP Master Project List (3-bid history Sep 2021 → Feb 2025) + JDR AR section vendor identification (Lake Union Partners owner recovered from invoice 038534).</t>
  </si>
  <si>
    <t xml:space="preserve">IDENTITY</t>
  </si>
  <si>
    <t xml:space="preserve">Job Number</t>
  </si>
  <si>
    <t xml:space="preserve">2108</t>
  </si>
  <si>
    <t xml:space="preserve">Job Name</t>
  </si>
  <si>
    <t xml:space="preserve">R&amp;G Apartments (Rainier &amp; Genesee)</t>
  </si>
  <si>
    <t xml:space="preserve">Short Name</t>
  </si>
  <si>
    <t xml:space="preserve">R&amp;G Apartments</t>
  </si>
  <si>
    <t xml:space="preserve">Project Type</t>
  </si>
  <si>
    <t xml:space="preserve">263-unit multi-family apartments · Columbia City corridor / South Seattle</t>
  </si>
  <si>
    <t xml:space="preserve">Permit</t>
  </si>
  <si>
    <t xml:space="preserve">Pre-permit (no permit applied for yet)</t>
  </si>
  <si>
    <t xml:space="preserve">Scope of Work</t>
  </si>
  <si>
    <t xml:space="preserve">Multi-family apartments — design-build plumbing scope</t>
  </si>
  <si>
    <t xml:space="preserve">SCHEDULE</t>
  </si>
  <si>
    <t xml:space="preserve">Project Start</t>
  </si>
  <si>
    <t xml:space="preserve">Summer 2026 / Q1 2027 (target · pending Braseth go-ahead)</t>
  </si>
  <si>
    <t xml:space="preserve">Project End</t>
  </si>
  <si>
    <t xml:space="preserve">TBD</t>
  </si>
  <si>
    <t xml:space="preserve">Duration (est.)</t>
  </si>
  <si>
    <t xml:space="preserve">28 months</t>
  </si>
  <si>
    <t xml:space="preserve">Schedule Note</t>
  </si>
  <si>
    <t xml:space="preserve">Pre-construction · on hold · target field start Summer 2026 / Q1 2027 if Braseth confirms · est. 24-30 month duration to TCO</t>
  </si>
  <si>
    <t xml:space="preserve">Subcontract Execution</t>
  </si>
  <si>
    <t xml:space="preserve">Pending — Braseth has not committed start date</t>
  </si>
  <si>
    <t xml:space="preserve">FINANCIAL POSTURE (PRE-CONSTRUCTION · TAKEOFF PHASE)</t>
  </si>
  <si>
    <t xml:space="preserve">Original Contract</t>
  </si>
  <si>
    <t xml:space="preserve">Not yet executed</t>
  </si>
  <si>
    <t xml:space="preserve">First Braseth BID</t>
  </si>
  <si>
    <t xml:space="preserve">$4,460,000 (Oct 8 2024 · 263u · before revision)</t>
  </si>
  <si>
    <t xml:space="preserve">Original 2021 BMDC budget</t>
  </si>
  <si>
    <t xml:space="preserve">$5,150,000 (BMDC, 226u — Rainier &amp; Genesee project name)</t>
  </si>
  <si>
    <t xml:space="preserve">AR Billed to Date</t>
  </si>
  <si>
    <t xml:space="preserve">$91,402 (4 progress billings · takeoff phase)</t>
  </si>
  <si>
    <t xml:space="preserve">$(25,760) — write-off if project doesn't activate</t>
  </si>
  <si>
    <t xml:space="preserve">Retainage</t>
  </si>
  <si>
    <t xml:space="preserve">$0 (no field billing)</t>
  </si>
  <si>
    <t xml:space="preserve">Lien Position</t>
  </si>
  <si>
    <t xml:space="preserve">Not yet recorded — no AR billed</t>
  </si>
  <si>
    <t xml:space="preserve">Warranty</t>
  </si>
  <si>
    <t xml:space="preserve">Pending project activation</t>
  </si>
  <si>
    <t xml:space="preserve">Contract on File</t>
  </si>
  <si>
    <t xml:space="preserve">Subcontract NOT yet executed — final BID submitted Feb 27 2025 ($4,619,052 / 263u). Project on hold pending Braseth go-ahead</t>
  </si>
  <si>
    <t xml:space="preserve">SCOPE &amp; FIXTURE PROFILE</t>
  </si>
  <si>
    <t xml:space="preserve">Plumbing Units</t>
  </si>
  <si>
    <t xml:space="preserve">263 units ✓ CONFIRMED via OWP Master List Schedule rows 106 + 195 + Projects Bid r339/r364 (3 corroborating entries)</t>
  </si>
  <si>
    <t xml:space="preserve">Unit count evolution</t>
  </si>
  <si>
    <t xml:space="preserve">226 (2021 BMDC budget) → 263 (2024 Braseth bid) — +37 units (+16.4%) growth between bid stages</t>
  </si>
  <si>
    <t xml:space="preserve">Total Fixtures</t>
  </si>
  <si>
    <t xml:space="preserve">TBD — no Job Ticket exists (pre-construction). Fixture schedule will populate when Skb Architects publishes the unit-trim schedule. Estimated ~1,180 trim fixtures based on 4.5/unit ratio from #2061 Al</t>
  </si>
  <si>
    <t xml:space="preserve">Floors</t>
  </si>
  <si>
    <t xml:space="preserve">TBD — Skb Architects design not yet released to OWP</t>
  </si>
  <si>
    <t xml:space="preserve">Fixture Provenance</t>
  </si>
  <si>
    <t xml:space="preserve">No Job Ticket exists yet (pre-construction). Will populate when project activates and Skb releases IFC drawings.</t>
  </si>
  <si>
    <t xml:space="preserve">PROJECT TEAM — GENERAL CONTRACTOR (Braseth)</t>
  </si>
  <si>
    <t xml:space="preserve">GC Project Manager</t>
  </si>
  <si>
    <t xml:space="preserve">TBD (Braseth) — primary contact pending subcontract execution</t>
  </si>
  <si>
    <t xml:space="preserve">GC Superintendent</t>
  </si>
  <si>
    <t xml:space="preserve">GC Project Engineer</t>
  </si>
  <si>
    <t xml:space="preserve">Braseth engagement count</t>
  </si>
  <si>
    <t xml:space="preserve">OWP's 1st engagement with Braseth Construction. New-GC relationship — no closed-job history. Compare against historical Chinn/Exxel/Compass benchmarks for payment + CO behavior once project activates.</t>
  </si>
  <si>
    <t xml:space="preserve">PROJECT TEAM — OWP STAFF</t>
  </si>
  <si>
    <t xml:space="preserve">OWP Roughin Foreman</t>
  </si>
  <si>
    <t xml:space="preserve">TBD · project on hold (target activation Summer 2026)</t>
  </si>
  <si>
    <t xml:space="preserve">OWP Trim Foreman</t>
  </si>
  <si>
    <t xml:space="preserve">OWP Estimator (takeoff)</t>
  </si>
  <si>
    <t xml:space="preserve">PROJECT TEAM — OWNER &amp; DEVELOPMENT</t>
  </si>
  <si>
    <t xml:space="preserve">Owner of Record</t>
  </si>
  <si>
    <t xml:space="preserve">Developer</t>
  </si>
  <si>
    <t xml:space="preserve">Lake Union Partners (joint venture w/ Braseth as design-build GC)</t>
  </si>
  <si>
    <t xml:space="preserve">Owner-developer note</t>
  </si>
  <si>
    <t xml:space="preserve">Lake Union Partners (Seattle developer) is OWP's repeat owner — same as #2061 Alta Columbia City (also at the Rainier corridor) and likely associated with #2106 Phoenix Property Co. South Seattle / Columbia City corridor is becoming a recurring portfolio for OWP.</t>
  </si>
  <si>
    <t xml:space="preserve">PROJECT TEAM — DESIGN</t>
  </si>
  <si>
    <t xml:space="preserve">Structural Engineer</t>
  </si>
  <si>
    <t xml:space="preserve">Civil Engineer</t>
  </si>
  <si>
    <t xml:space="preserve">Landscape Architect</t>
  </si>
  <si>
    <t xml:space="preserve">BID HISTORY (from OWP Master Project List)</t>
  </si>
  <si>
    <t xml:space="preserve">Bid Date</t>
  </si>
  <si>
    <t xml:space="preserve">Type</t>
  </si>
  <si>
    <t xml:space="preserve">GC</t>
  </si>
  <si>
    <t xml:space="preserve">Units</t>
  </si>
  <si>
    <t xml:space="preserve">Price</t>
  </si>
  <si>
    <t xml:space="preserve">Note</t>
  </si>
  <si>
    <t xml:space="preserve">2021-09-29</t>
  </si>
  <si>
    <t xml:space="preserve">BUDGET</t>
  </si>
  <si>
    <t xml:space="preserve">BMDC</t>
  </si>
  <si>
    <t xml:space="preserve">$5,150,000</t>
  </si>
  <si>
    <t xml:space="preserve">Original 'Rainier &amp; Genesee' budget bid · BMDC GC · 226 units · $5.15M (per Master Project List Projects Bid r160)</t>
  </si>
  <si>
    <t xml:space="preserve">2024-10-08</t>
  </si>
  <si>
    <t xml:space="preserve">BID</t>
  </si>
  <si>
    <t xml:space="preserve">Braseth</t>
  </si>
  <si>
    <t xml:space="preserve">$4,460,000</t>
  </si>
  <si>
    <t xml:space="preserve">Renamed 'R&amp;G Apartments' · switched GC to Braseth · scope grew to 263 units (+37u) but bid dropped to $4.46M (-$690k from 2021 BMDC) per Master Project List r339</t>
  </si>
  <si>
    <t xml:space="preserve">2025-02-27</t>
  </si>
  <si>
    <t xml:space="preserve">$4,619,052</t>
  </si>
  <si>
    <t xml:space="preserve">FINAL revised BID · same GC/units · price up 3.6% to $4.62M per Master Project List r364</t>
  </si>
  <si>
    <t xml:space="preserve">AP VENDOR PROFILE (TAKEOFF PHASE)</t>
  </si>
  <si>
    <t xml:space="preserve">Top Vendor</t>
  </si>
  <si>
    <t xml:space="preserve">Franklin Engineering ($90,629 / 9 invoices / 92.5% of $97k AP)</t>
  </si>
  <si>
    <t xml:space="preserve">Total AP Spend</t>
  </si>
  <si>
    <t xml:space="preserve">$97,953</t>
  </si>
  <si>
    <t xml:space="preserve">Active Vendors</t>
  </si>
  <si>
    <t xml:space="preserve">3 unique vendors (Franklin Engineering, Bank of America CC, Herc Rentals)</t>
  </si>
  <si>
    <t xml:space="preserve">Concentration Note</t>
  </si>
  <si>
    <t xml:space="preserve">Franklin Engineering at 92.5% concentration is normal for early design-build phase — will diversify when field work begins (typical Braseth jobs use Pacific Plumbing, Consolidated, Rosen, Keller as top suppliers).</t>
  </si>
  <si>
    <t xml:space="preserve">DOCUMENT META (current · pre-construction)</t>
  </si>
  <si>
    <t xml:space="preserve">Pay Apps (filed)</t>
  </si>
  <si>
    <t xml:space="preserve">0 SOV pay apps · 4 AR transactions in JDR (takeoff progress billings)</t>
  </si>
  <si>
    <t xml:space="preserve">Executed COs</t>
  </si>
  <si>
    <t xml:space="preserve">0 (subcontract pending)</t>
  </si>
  <si>
    <t xml:space="preserve">CORs</t>
  </si>
  <si>
    <t xml:space="preserve">0</t>
  </si>
  <si>
    <t xml:space="preserve">RFIs</t>
  </si>
  <si>
    <t xml:space="preserve">ASIs</t>
  </si>
  <si>
    <t xml:space="preserve">Submittals</t>
  </si>
  <si>
    <t xml:space="preserve">0 (pre-construction)</t>
  </si>
  <si>
    <t xml:space="preserve">POs</t>
  </si>
  <si>
    <t xml:space="preserve">Permit Count</t>
  </si>
  <si>
    <t xml:space="preserve">0 (pre-permit)</t>
  </si>
  <si>
    <t xml:space="preserve">Notes</t>
  </si>
  <si>
    <t xml:space="preserve">Project hasn't reached document-generation phase. Only OWP estimating + Franklin Engineering have touched the file (takeoff + design coordination).</t>
  </si>
  <si>
    <t xml:space="preserve">DATA SOURCES</t>
  </si>
  <si>
    <t xml:space="preserve">JDR PDF</t>
  </si>
  <si>
    <t xml:space="preserve">2108 Job Detail Report (Sage Timberline · Apr 3 2026 run · 4 pages · 6 cost codes · 52 line items)</t>
  </si>
  <si>
    <t xml:space="preserve">Parsed Data</t>
  </si>
  <si>
    <t xml:space="preserve">2108_data.json</t>
  </si>
  <si>
    <t xml:space="preserve">Dashboard Arrays</t>
  </si>
  <si>
    <t xml:space="preserve">2108_dashboard_arrays.json (16 arrays mirroring index.html PROJECTS['2108'])</t>
  </si>
  <si>
    <t xml:space="preserve">Master Project List</t>
  </si>
  <si>
    <t xml:space="preserve">OWP Project List with Schedule - UPDATED 04-01-26.xlsx (Schedule r106/r195 + Projects Bid r160/r339/r364)</t>
  </si>
  <si>
    <t xml:space="preserve">Owner identification</t>
  </si>
  <si>
    <t xml:space="preserve">Recovered from JDR AR section: invoice 038448 'Rainier &amp; Genesee, LLC' + invoice 038534 'Lake Union Partners $R&amp;G Apts'</t>
  </si>
  <si>
    <t xml:space="preserve">GDrive Folder</t>
  </si>
  <si>
    <t xml:space="preserve">Not yet created (project hasn't reached active stage)</t>
  </si>
  <si>
    <t xml:space="preserve">GDrive Status</t>
  </si>
  <si>
    <t xml:space="preserve">No GDrive Job Book folder created yet (project hasn't reached active stage). All team data sourced from JDR identity block + OWP Master Project List Projects Bid tab + JDR AR section vendor identification.</t>
  </si>
  <si>
    <t xml:space="preserve">RISK FLAGS / WATCH ITEMS</t>
  </si>
  <si>
    <t xml:space="preserve">Carrying $25.8k loss</t>
  </si>
  <si>
    <t xml:space="preserve">OWP has $117k sunk against $91k billed = -$25,760 carrying loss. If Braseth doesn't activate, OWP absorbs as write-off.</t>
  </si>
  <si>
    <t xml:space="preserve">New GC (Braseth)</t>
  </si>
  <si>
    <t xml:space="preserve">OWP has 0 closed-job history with Braseth. Once project activates, watch payment cadence + change-order behavior closely against Chinn/Exxel benchmarks.</t>
  </si>
  <si>
    <t xml:space="preserve">Top-vendor concentration</t>
  </si>
  <si>
    <t xml:space="preserve">Franklin Engineering at 92.5% of AP. All design-build engineering fees. Normal for takeoff phase.</t>
  </si>
  <si>
    <t xml:space="preserve">Bid drift (226 → 263 units)</t>
  </si>
  <si>
    <t xml:space="preserve">Project scope grew by 37 units (+16%) between 2021 BMDC version and 2024 Braseth version, but bid dropped 13% — driven by leaner scope and tighter pricing.</t>
  </si>
  <si>
    <t xml:space="preserve">Lake Union Partners repeat client</t>
  </si>
  <si>
    <t xml:space="preserve">Positive risk indicator — OWP delivered 41.4% margin on #2061 Alta Columbia City (Lake Union Partners owner). Strong relationship signal for 2108.</t>
  </si>
  <si>
    <t xml:space="preserve">Activation watchpoint</t>
  </si>
  <si>
    <t xml:space="preserve">Reach out to Braseth PM Q2 2026 to confirm summer 2026 start. If push beyond Q4 2026, re-evaluate carrying the design cost.</t>
  </si>
  <si>
    <t xml:space="preserve">PROJECT NARRATIVE</t>
  </si>
  <si>
    <t xml:space="preserve">Project history</t>
  </si>
  <si>
    <t xml:space="preserve">OWP has been pursuing this project since 2021, originally as 'Rainier &amp; Genesee' with BMDC as GC at 226 units / $5.15M. Project was redesigned and re-released in late 2024 with Braseth as GC, expanded to 263 units, and OWP rebid at $4.46M (a -13.4% price drop from 2021 despite +16% unit growth — driven by Braseth's tighter pricing and a leaner scope). Final revised BID Feb 2025 at $4,619,052. Project then went on hold.</t>
  </si>
  <si>
    <t xml:space="preserve">Sunk-cost posture</t>
  </si>
  <si>
    <t xml:space="preserve">OWP has billed $91,402 against $117,162 of sunk design+takeoff cost = -$25,760 carrying loss. $90,629 of that sunk cost is the Franklin Engineering MEP design-build fee (92.5% of OWP's AP for the project). If Braseth doesn't activate the project, OWP absorbs the $25.8k as a write-off.</t>
  </si>
  <si>
    <t xml:space="preserve">Owner-developer continuity</t>
  </si>
  <si>
    <t xml:space="preserve">Lake Union Partners is OWP's repeat client at the Rainier corridor — same owner-developer pattern as #2061 Alta Columbia City and likely #2106 6220 Roosevelt (also Phoenix Property Co · adjacent). South Seattle / Columbia City is becoming a recurring portfolio for OWP.</t>
  </si>
  <si>
    <t xml:space="preserve">Activation triggers</t>
  </si>
  <si>
    <t xml:space="preserve">Watch for: (a) Braseth confirming summer 2026 start, (b) Skb Architects releasing IFC drawings, (c) permit application. OWP's takeoff is complete and ready to mobilize on 30 days notice.</t>
  </si>
  <si>
    <t xml:space="preserve">Risk profile</t>
  </si>
  <si>
    <t xml:space="preserve">New GC (Braseth) — OWP has no closed-job history. Watch payment cadence + change-order behavior closely once project activates. Compare margin profile against #2107 (Chinn) and #2061 (Exxel Pacific) baselines. Modest-margin estimating exposure: $4.6M target with 25-30% margin expectation = $1.15-1.4M net profit potential.</t>
  </si>
  <si>
    <t xml:space="preserve">Contract Summary</t>
  </si>
  <si>
    <t xml:space="preserve">Item</t>
  </si>
  <si>
    <t xml:space="preserve">Original</t>
  </si>
  <si>
    <t xml:space="preserve">Revised</t>
  </si>
  <si>
    <t xml:space="preserve">Delta</t>
  </si>
  <si>
    <t xml:space="preserve">Base construction contract</t>
  </si>
  <si>
    <t xml:space="preserve">Executed change orders (net)</t>
  </si>
  <si>
    <t xml:space="preserve">Total contract value</t>
  </si>
  <si>
    <t xml:space="preserve">Executed Change Orders</t>
  </si>
  <si>
    <t xml:space="preserve">CO #</t>
  </si>
  <si>
    <t xml:space="preserve">Description</t>
  </si>
  <si>
    <t xml:space="preserve">Amount</t>
  </si>
  <si>
    <t xml:space="preserve">Schedule of Values / Pay Application History</t>
  </si>
  <si>
    <t xml:space="preserve">Pay App</t>
  </si>
  <si>
    <t xml:space="preserve">Period End</t>
  </si>
  <si>
    <t xml:space="preserve">This Period</t>
  </si>
  <si>
    <t xml:space="preserve">Completed to Date</t>
  </si>
  <si>
    <t xml:space="preserve">Retention Held</t>
  </si>
  <si>
    <t xml:space="preserve">Previous Billed</t>
  </si>
  <si>
    <t xml:space="preserve">Current Balance</t>
  </si>
  <si>
    <t xml:space="preserve">Change Order Log</t>
  </si>
  <si>
    <t xml:space="preserve">#</t>
  </si>
  <si>
    <t xml:space="preserve">Cost Code Detail (Revised Basis)</t>
  </si>
  <si>
    <t xml:space="preserve">Code</t>
  </si>
  <si>
    <t xml:space="preserve">Actual</t>
  </si>
  <si>
    <t xml:space="preserve">Variance</t>
  </si>
  <si>
    <t xml:space="preserve">Net Due</t>
  </si>
  <si>
    <t xml:space="preserve">% Complete</t>
  </si>
  <si>
    <t xml:space="preserve">101</t>
  </si>
  <si>
    <t xml:space="preserve">Takeoff &amp; Purchase Labor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</si>
  <si>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</si>
  <si>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</si>
  <si>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</si>
  <si>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</si>
  <si>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</si>
  <si>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</si>
  <si>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995</t>
  </si>
  <si>
    <t xml:space="preserve">Payroll Burden</t>
  </si>
  <si>
    <t xml:space="preserve">998</t>
  </si>
  <si>
    <t xml:space="preserve">Payroll Taxes</t>
  </si>
  <si>
    <t xml:space="preserve">TOTAL</t>
  </si>
  <si>
    <t xml:space="preserve">Cost Category Rollup</t>
  </si>
  <si>
    <t xml:space="preserve">Category</t>
  </si>
  <si>
    <t xml:space="preserve"># Codes</t>
  </si>
  <si>
    <t xml:space="preserve">Revised Budget</t>
  </si>
  <si>
    <t xml:space="preserve">Labor</t>
  </si>
  <si>
    <t xml:space="preserve">Material</t>
  </si>
  <si>
    <t xml:space="preserve">Overhead</t>
  </si>
  <si>
    <t xml:space="preserve">Burden</t>
  </si>
  <si>
    <t xml:space="preserve">Budget vs Actual — Flag list</t>
  </si>
  <si>
    <t xml:space="preserve">Revised budget is canonical basis. Flags: OVER &gt;10%, CRITICAL &gt;50%, ON ±10%, UNDER &lt;-10%.</t>
  </si>
  <si>
    <t xml:space="preserve">% Var</t>
  </si>
  <si>
    <t xml:space="preserve">Vendor Spend (AP source)</t>
  </si>
  <si>
    <t xml:space="preserve">Vendor</t>
  </si>
  <si>
    <t xml:space="preserve">Spend ($)</t>
  </si>
  <si>
    <t xml:space="preserve">Invoices</t>
  </si>
  <si>
    <t xml:space="preserve">% of Total AP</t>
  </si>
  <si>
    <t xml:space="preserve">Franklin Engineering</t>
  </si>
  <si>
    <t xml:space="preserve">Bank of America CC</t>
  </si>
  <si>
    <t xml:space="preserve">Herc Rentals, Inc.</t>
  </si>
  <si>
    <t xml:space="preserve">TOTAL AP</t>
  </si>
  <si>
    <t xml:space="preserve">Crew Roster (PR source)</t>
  </si>
  <si>
    <t xml:space="preserve">Worker</t>
  </si>
  <si>
    <t xml:space="preserve">Hours</t>
  </si>
  <si>
    <t xml:space="preserve">Labor $</t>
  </si>
  <si>
    <t xml:space="preserve">Avg $/hr</t>
  </si>
  <si>
    <t xml:space="preserve">Tier</t>
  </si>
  <si>
    <t xml:space="preserve">Gerard, Jeffrey S</t>
  </si>
  <si>
    <t xml:space="preserve">LEAD/SUPERVISOR</t>
  </si>
  <si>
    <t xml:space="preserve">Gerard, Jordan E</t>
  </si>
  <si>
    <t xml:space="preserve">Wage Tier Distribution</t>
  </si>
  <si>
    <t xml:space="preserve"># Workers</t>
  </si>
  <si>
    <t xml:space="preserve">% of Hours</t>
  </si>
  <si>
    <t xml:space="preserve">JOURNEYMAN</t>
  </si>
  <si>
    <t xml:space="preserve">APPRENTICE/HELPER</t>
  </si>
  <si>
    <t xml:space="preserve">OT-ONLY</t>
  </si>
  <si>
    <t xml:space="preserve">Productivity Metrics</t>
  </si>
  <si>
    <t xml:space="preserve">Total labor hours (to date)</t>
  </si>
  <si>
    <t xml:space="preserve">Active workers</t>
  </si>
  <si>
    <t xml:space="preserve">Hours per unit (to date)</t>
  </si>
  <si>
    <t xml:space="preserve">Revenue per labor hour (billed)</t>
  </si>
  <si>
    <t xml:space="preserve">Portfolio Benchmarks (vs. closed jobs)</t>
  </si>
  <si>
    <t xml:space="preserve">Metric</t>
  </si>
  <si>
    <t xml:space="preserve">This Job</t>
  </si>
  <si>
    <t xml:space="preserve">Portfolio Median</t>
  </si>
  <si>
    <t xml:space="preserve">Forecast margin %</t>
  </si>
  <si>
    <t xml:space="preserve">Roughin labor share (code 120)</t>
  </si>
  <si>
    <t xml:space="preserve">Top vendor concentration</t>
  </si>
  <si>
    <t xml:space="preserve">Hours per unit</t>
  </si>
  <si>
    <t xml:space="preserve">Predictive Signals (cancelled project)</t>
  </si>
  <si>
    <t xml:space="preserve">Signal</t>
  </si>
  <si>
    <t xml:space="preserve">Engineering/Plans (601) unbudgeted</t>
  </si>
  <si>
    <t xml:space="preserve">⚠ WATCH</t>
  </si>
  <si>
    <t xml:space="preserve">No revised budget but $106,488 actual spend — needs CO or budget transfer</t>
  </si>
  <si>
    <t xml:space="preserve">Top vendor concentration (Franklin Engineering)</t>
  </si>
  <si>
    <t xml:space="preserve">93% of AP ($90,629) — high, monitor</t>
  </si>
  <si>
    <t xml:space="preserve">Retention aging</t>
  </si>
  <si>
    <t xml:space="preserve">✓ OK</t>
  </si>
  <si>
    <t xml:space="preserve">$0 held · 0.0% of billed · zero (cancelled)</t>
  </si>
  <si>
    <t xml:space="preserve">0.0% forecast margin — monitor</t>
  </si>
  <si>
    <t xml:space="preserve">JDR Reconciliation</t>
  </si>
  <si>
    <t xml:space="preserve">Reported</t>
  </si>
  <si>
    <t xml:space="preserve">Calculated</t>
  </si>
  <si>
    <t xml:space="preserve">Total expenses (from code totals)</t>
  </si>
  <si>
    <t xml:space="preserve">Revenue billed (AR ·-1)</t>
  </si>
  <si>
    <t xml:space="preserve">AP source total</t>
  </si>
  <si>
    <t xml:space="preserve">PR source total</t>
  </si>
  <si>
    <t xml:space="preserve">GL source total</t>
  </si>
  <si>
    <t xml:space="preserve">Metric Registry</t>
  </si>
  <si>
    <t xml:space="preserve">Source Tab</t>
  </si>
  <si>
    <t xml:space="preserve">Definition</t>
  </si>
  <si>
    <t xml:space="preserve">01 Overview</t>
  </si>
  <si>
    <t xml:space="preserve">Forecast net profit / Revised contract value</t>
  </si>
  <si>
    <t xml:space="preserve">Billed to date / Revised contract value</t>
  </si>
  <si>
    <t xml:space="preserve">Roughin labor share</t>
  </si>
  <si>
    <t xml:space="preserve">06 Cost Codes</t>
  </si>
  <si>
    <t xml:space="preserve">Code 120 revised / Total labor revised budget</t>
  </si>
  <si>
    <t xml:space="preserve">09 Vendor Analysis</t>
  </si>
  <si>
    <t xml:space="preserve">Largest single vendor AP spend / Total AP</t>
  </si>
  <si>
    <t xml:space="preserve">12 Productivity</t>
  </si>
  <si>
    <t xml:space="preserve">Total PR hours to date / Unit count</t>
  </si>
  <si>
    <t xml:space="preserve">BVA status codes</t>
  </si>
  <si>
    <t xml:space="preserve">08 BVA</t>
  </si>
  <si>
    <t xml:space="preserve">OVER / CRITICAL / UNDER / ON / UNBUDGETED on revised basis</t>
  </si>
  <si>
    <t xml:space="preserve">Workbook Change Log</t>
  </si>
  <si>
    <t xml:space="preserve">Date</t>
  </si>
  <si>
    <t xml:space="preserve">Version</t>
  </si>
  <si>
    <t xml:space="preserve">2026-04-25</t>
  </si>
  <si>
    <t xml:space="preserve">v1.0 · cancelled</t>
  </si>
  <si>
    <t xml:space="preserve">Initial build for #2108 cancelled project. 17-tab JCR schema on revised budget basis.</t>
  </si>
  <si>
    <t xml:space="preserve">2026-04-27</t>
  </si>
  <si>
    <t xml:space="preserve">v1.4 · 2020-gold depth</t>
  </si>
  <si>
    <t xml:space="preserve">Upgraded Job Info to 2020/2061 gold-standard depth: 13-section sectioned layout with BID HISTORY table (3 entries: 2021 BMDC budget → 2024 Braseth bid → 2025 final BID), AP Vendor Profile section (Franklin Engineering 92.5% concentration), Document Meta (pre-construction state), Data Sources, Risk Flags + Watch Items, and PROJECT NARRATIVE section (5 narrative blocks: project history, sunk-cost posture, owner-developer continuity, activation triggers, risk profile). Owner enriched: Lake Union Partners (per JDR AR section invoice 038534). Site address: Rainier Ave S × S Genesee St (Columbia City corridor). Architect Skb Architects + MEP Emerald City Engineering (per Master Project List). Unit count: 263 ✓ CONFIRMED via 4 corroborating Master List entries (Schedule r106/r195 + Projects Bid r339/r364). Fixture count remains TBD (no Job Ticket — pre-construction).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</si>
</sst>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#,##0"/>
    <numFmt numFmtId="168" formatCode="#,##0.0"/>
    <numFmt numFmtId="169" formatCode="\$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2B29"/>
      <name val="Arial"/>
      <family val="0"/>
      <charset val="1"/>
    </font>
    <font>
      <b val="true"/>
      <sz val="10"/>
      <color rgb="FF9A4F02"/>
      <name val="Arial"/>
      <family val="0"/>
      <charset val="1"/>
    </font>
    <font>
      <b val="true"/>
      <sz val="12"/>
      <color rgb="FF2C2B29"/>
      <name val="Arial"/>
      <family val="0"/>
      <charset val="1"/>
    </font>
    <font>
      <sz val="10"/>
      <color rgb="FF2C2B2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4"/>
      <color rgb="FF1F1F1F"/>
      <name val="Arial"/>
      <family val="0"/>
      <charset val="1"/>
    </font>
    <font>
      <b val="true"/>
      <sz val="10"/>
      <color rgb="FF2C2B29"/>
      <name val="Arial"/>
      <family val="0"/>
      <charset val="1"/>
    </font>
    <font>
      <i val="true"/>
      <sz val="9"/>
      <color rgb="FF70655C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C2B29"/>
        <bgColor rgb="FF1F1F1F"/>
      </patternFill>
    </fill>
    <fill>
      <patternFill patternType="solid">
        <fgColor rgb="FFECF0F1"/>
        <bgColor rgb="FFFFF8E7"/>
      </patternFill>
    </fill>
    <fill>
      <patternFill patternType="solid">
        <fgColor rgb="FF2C3E50"/>
        <bgColor rgb="FF2C2B29"/>
      </patternFill>
    </fill>
    <fill>
      <patternFill patternType="solid">
        <fgColor rgb="FFFFF8E7"/>
        <bgColor rgb="FFFFF3CD"/>
      </patternFill>
    </fill>
    <fill>
      <patternFill patternType="solid">
        <fgColor rgb="FFFFF3CD"/>
        <bgColor rgb="FFFFF8E7"/>
      </patternFill>
    </fill>
    <fill>
      <patternFill patternType="solid">
        <fgColor rgb="FFE8CEC3"/>
        <bgColor rgb="FFD5D8DC"/>
      </patternFill>
    </fill>
    <fill>
      <patternFill patternType="solid">
        <fgColor rgb="FFD5DEC5"/>
        <bgColor rgb="FFD5D8D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/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BFB8AE"/>
      </left>
      <right style="thin">
        <color rgb="FFBFB8AE"/>
      </right>
      <top style="thin">
        <color rgb="FFBFB8AE"/>
      </top>
      <bottom style="thin">
        <color rgb="FFBFB8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5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7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8AE"/>
      <rgbColor rgb="FF70655C"/>
      <rgbColor rgb="FF9999FF"/>
      <rgbColor rgb="FF993366"/>
      <rgbColor rgb="FFFFF3CD"/>
      <rgbColor rgb="FFECF0F1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DEC5"/>
      <rgbColor rgb="FFFFF8E7"/>
      <rgbColor rgb="FF99CCFF"/>
      <rgbColor rgb="FFFF99CC"/>
      <rgbColor rgb="FFCC99FF"/>
      <rgbColor rgb="FFE8CEC3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A4F02"/>
      <rgbColor rgb="FF993366"/>
      <rgbColor rgb="FF2C3E50"/>
      <rgbColor rgb="FF2C2B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8"/>
  </cols>
  <sheetData>
    <row r="1" customFormat="false" ht="19.7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  <c r="B5" s="6" t="n">
        <v>0</v>
      </c>
    </row>
    <row r="6" customFormat="false" ht="15" hidden="false" customHeight="false" outlineLevel="0" collapsed="false">
      <c r="A6" s="5" t="s">
        <v>4</v>
      </c>
      <c r="B6" s="6" t="n">
        <v>0</v>
      </c>
    </row>
    <row r="7" customFormat="false" ht="15" hidden="false" customHeight="false" outlineLevel="0" collapsed="false">
      <c r="A7" s="5" t="s">
        <v>5</v>
      </c>
      <c r="B7" s="7" t="n">
        <f aca="false">B5-B6</f>
        <v>0</v>
      </c>
    </row>
    <row r="8" customFormat="false" ht="15" hidden="false" customHeight="false" outlineLevel="0" collapsed="false">
      <c r="A8" s="5" t="s">
        <v>6</v>
      </c>
      <c r="B8" s="8" t="n">
        <f aca="false">IFERROR(B7/B5,0)</f>
        <v>0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5" t="s">
        <v>8</v>
      </c>
      <c r="B11" s="6" t="n">
        <v>91402</v>
      </c>
    </row>
    <row r="12" customFormat="false" ht="15" hidden="false" customHeight="false" outlineLevel="0" collapsed="false">
      <c r="A12" s="5" t="s">
        <v>9</v>
      </c>
      <c r="B12" s="6" t="n">
        <v>0</v>
      </c>
    </row>
    <row r="13" customFormat="false" ht="15" hidden="false" customHeight="false" outlineLevel="0" collapsed="false">
      <c r="A13" s="5" t="s">
        <v>10</v>
      </c>
      <c r="B13" s="7" t="n">
        <f aca="false">B11-B12</f>
        <v>91402</v>
      </c>
    </row>
    <row r="14" customFormat="false" ht="15" hidden="false" customHeight="false" outlineLevel="0" collapsed="false">
      <c r="A14" s="5" t="s">
        <v>11</v>
      </c>
      <c r="B14" s="7" t="n">
        <f aca="false">B5-B11</f>
        <v>-91402</v>
      </c>
    </row>
    <row r="15" customFormat="false" ht="15" hidden="false" customHeight="false" outlineLevel="0" collapsed="false">
      <c r="A15" s="5" t="s">
        <v>12</v>
      </c>
      <c r="B15" s="8" t="n">
        <f aca="false">IFERROR(B11/B5,0)</f>
        <v>0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9" t="s">
        <v>14</v>
      </c>
      <c r="B18" s="9" t="s">
        <v>15</v>
      </c>
    </row>
    <row r="19" customFormat="false" ht="15" hidden="false" customHeight="false" outlineLevel="0" collapsed="false">
      <c r="A19" s="5" t="s">
        <v>16</v>
      </c>
      <c r="B19" s="10" t="n">
        <v>15858.75</v>
      </c>
    </row>
    <row r="20" customFormat="false" ht="15" hidden="false" customHeight="false" outlineLevel="0" collapsed="false">
      <c r="A20" s="5" t="s">
        <v>17</v>
      </c>
      <c r="B20" s="10" t="n">
        <v>97953.1</v>
      </c>
    </row>
    <row r="21" customFormat="false" ht="15" hidden="false" customHeight="false" outlineLevel="0" collapsed="false">
      <c r="A21" s="5" t="s">
        <v>18</v>
      </c>
      <c r="B21" s="10" t="n">
        <v>3350.12</v>
      </c>
    </row>
    <row r="22" customFormat="false" ht="15" hidden="false" customHeight="false" outlineLevel="0" collapsed="false">
      <c r="A22" s="5" t="s">
        <v>19</v>
      </c>
      <c r="B22" s="10" t="n">
        <v>-91402</v>
      </c>
    </row>
    <row r="30" customFormat="false" ht="15" hidden="false" customHeight="false" outlineLevel="0" collapsed="false">
      <c r="A30" s="11" t="s">
        <v>20</v>
      </c>
      <c r="B30" s="11"/>
      <c r="C30" s="11"/>
      <c r="D30" s="11"/>
      <c r="E30" s="11"/>
      <c r="F30" s="11"/>
      <c r="G30" s="11"/>
      <c r="H30" s="12"/>
    </row>
    <row r="31" customFormat="false" ht="15" hidden="false" customHeight="false" outlineLevel="0" collapsed="false">
      <c r="A31" s="13" t="s">
        <v>21</v>
      </c>
      <c r="B31" s="13"/>
      <c r="C31" s="13"/>
      <c r="D31" s="13"/>
      <c r="E31" s="13"/>
      <c r="F31" s="13"/>
      <c r="G31" s="13"/>
      <c r="H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</row>
    <row r="33" customFormat="false" ht="15" hidden="false" customHeight="false" outlineLevel="0" collapsed="false">
      <c r="A33" s="14" t="s">
        <v>22</v>
      </c>
      <c r="B33" s="14" t="s">
        <v>23</v>
      </c>
      <c r="C33" s="12"/>
      <c r="D33" s="12"/>
      <c r="E33" s="12"/>
      <c r="F33" s="12"/>
      <c r="G33" s="12"/>
      <c r="H33" s="12"/>
    </row>
    <row r="34" customFormat="false" ht="15" hidden="false" customHeight="false" outlineLevel="0" collapsed="false">
      <c r="A34" s="15" t="s">
        <v>24</v>
      </c>
      <c r="B34" s="16" t="s">
        <v>25</v>
      </c>
      <c r="C34" s="12"/>
      <c r="D34" s="12"/>
      <c r="E34" s="12"/>
      <c r="F34" s="12"/>
      <c r="G34" s="12"/>
      <c r="H34" s="12"/>
    </row>
    <row r="35" customFormat="false" ht="35.05" hidden="false" customHeight="false" outlineLevel="0" collapsed="false">
      <c r="A35" s="15" t="s">
        <v>26</v>
      </c>
      <c r="B35" s="16" t="s">
        <v>27</v>
      </c>
      <c r="C35" s="12"/>
      <c r="D35" s="12"/>
      <c r="E35" s="12"/>
      <c r="F35" s="12"/>
      <c r="G35" s="12"/>
      <c r="H35" s="12"/>
    </row>
    <row r="36" customFormat="false" ht="15" hidden="false" customHeight="false" outlineLevel="0" collapsed="false">
      <c r="A36" s="15" t="s">
        <v>28</v>
      </c>
      <c r="B36" s="16" t="s">
        <v>29</v>
      </c>
      <c r="C36" s="12"/>
      <c r="D36" s="12"/>
      <c r="E36" s="12"/>
      <c r="F36" s="12"/>
      <c r="G36" s="12"/>
      <c r="H36" s="12"/>
    </row>
    <row r="37" customFormat="false" ht="124.6" hidden="false" customHeight="false" outlineLevel="0" collapsed="false">
      <c r="A37" s="15" t="s">
        <v>30</v>
      </c>
      <c r="B37" s="16" t="s">
        <v>31</v>
      </c>
      <c r="C37" s="12"/>
      <c r="D37" s="12"/>
      <c r="E37" s="12"/>
      <c r="F37" s="12"/>
      <c r="G37" s="12"/>
      <c r="H37" s="12"/>
    </row>
    <row r="38" customFormat="false" ht="35.05" hidden="false" customHeight="false" outlineLevel="0" collapsed="false">
      <c r="A38" s="15" t="s">
        <v>32</v>
      </c>
      <c r="B38" s="16" t="s">
        <v>33</v>
      </c>
      <c r="C38" s="12"/>
      <c r="D38" s="12"/>
      <c r="E38" s="12"/>
      <c r="F38" s="12"/>
      <c r="G38" s="12"/>
      <c r="H38" s="12"/>
    </row>
    <row r="39" customFormat="false" ht="15" hidden="false" customHeight="false" outlineLevel="0" collapsed="false">
      <c r="A39" s="15" t="s">
        <v>34</v>
      </c>
      <c r="B39" s="16" t="s">
        <v>35</v>
      </c>
      <c r="C39" s="12"/>
      <c r="D39" s="12"/>
      <c r="E39" s="12"/>
      <c r="F39" s="12"/>
      <c r="G39" s="12"/>
      <c r="H39" s="12"/>
    </row>
    <row r="40" customFormat="false" ht="57.45" hidden="false" customHeight="false" outlineLevel="0" collapsed="false">
      <c r="A40" s="15" t="s">
        <v>36</v>
      </c>
      <c r="B40" s="16" t="s">
        <v>37</v>
      </c>
      <c r="C40" s="12"/>
      <c r="D40" s="12"/>
      <c r="E40" s="12"/>
      <c r="F40" s="12"/>
      <c r="G40" s="12"/>
      <c r="H40" s="12"/>
    </row>
    <row r="41" customFormat="false" ht="35.05" hidden="false" customHeight="false" outlineLevel="0" collapsed="false">
      <c r="A41" s="15" t="s">
        <v>38</v>
      </c>
      <c r="B41" s="16" t="s">
        <v>39</v>
      </c>
      <c r="C41" s="12"/>
      <c r="D41" s="12"/>
      <c r="E41" s="12"/>
      <c r="F41" s="12"/>
      <c r="G41" s="12"/>
      <c r="H41" s="12"/>
    </row>
    <row r="42" customFormat="false" ht="23.85" hidden="false" customHeight="false" outlineLevel="0" collapsed="false">
      <c r="A42" s="15" t="s">
        <v>40</v>
      </c>
      <c r="B42" s="16" t="s">
        <v>41</v>
      </c>
      <c r="C42" s="12"/>
      <c r="D42" s="12"/>
      <c r="E42" s="12"/>
      <c r="F42" s="12"/>
      <c r="G42" s="12"/>
      <c r="H42" s="12"/>
    </row>
    <row r="43" customFormat="false" ht="23.85" hidden="false" customHeight="false" outlineLevel="0" collapsed="false">
      <c r="A43" s="15" t="s">
        <v>42</v>
      </c>
      <c r="B43" s="16" t="s">
        <v>43</v>
      </c>
      <c r="C43" s="12"/>
      <c r="D43" s="12"/>
      <c r="E43" s="12"/>
      <c r="F43" s="12"/>
      <c r="G43" s="12"/>
      <c r="H43" s="12"/>
    </row>
    <row r="44" customFormat="false" ht="23.85" hidden="false" customHeight="false" outlineLevel="0" collapsed="false">
      <c r="A44" s="15" t="s">
        <v>44</v>
      </c>
      <c r="B44" s="16" t="s">
        <v>45</v>
      </c>
      <c r="C44" s="12"/>
      <c r="D44" s="12"/>
      <c r="E44" s="12"/>
      <c r="F44" s="12"/>
      <c r="G44" s="12"/>
      <c r="H44" s="12"/>
    </row>
    <row r="45" customFormat="false" ht="15" hidden="false" customHeight="false" outlineLevel="0" collapsed="false">
      <c r="A45" s="15" t="s">
        <v>46</v>
      </c>
      <c r="B45" s="16" t="s">
        <v>47</v>
      </c>
      <c r="C45" s="12"/>
      <c r="D45" s="12"/>
      <c r="E45" s="12"/>
      <c r="F45" s="12"/>
      <c r="G45" s="12"/>
      <c r="H45" s="12"/>
    </row>
    <row r="46" customFormat="false" ht="15" hidden="false" customHeight="false" outlineLevel="0" collapsed="false">
      <c r="A46" s="15" t="s">
        <v>48</v>
      </c>
      <c r="B46" s="16" t="s">
        <v>49</v>
      </c>
      <c r="C46" s="12"/>
      <c r="D46" s="12"/>
      <c r="E46" s="12"/>
      <c r="F46" s="12"/>
      <c r="G46" s="12"/>
      <c r="H46" s="12"/>
    </row>
    <row r="47" customFormat="false" ht="23.85" hidden="false" customHeight="false" outlineLevel="0" collapsed="false">
      <c r="A47" s="15" t="s">
        <v>50</v>
      </c>
      <c r="B47" s="16" t="s">
        <v>51</v>
      </c>
      <c r="C47" s="12"/>
      <c r="D47" s="12"/>
      <c r="E47" s="12"/>
      <c r="F47" s="12"/>
      <c r="G47" s="12"/>
      <c r="H47" s="12"/>
    </row>
    <row r="48" customFormat="false" ht="68.65" hidden="false" customHeight="false" outlineLevel="0" collapsed="false">
      <c r="A48" s="15" t="s">
        <v>52</v>
      </c>
      <c r="B48" s="16" t="s">
        <v>53</v>
      </c>
      <c r="C48" s="12"/>
      <c r="D48" s="12"/>
      <c r="E48" s="12"/>
      <c r="F48" s="12"/>
      <c r="G48" s="12"/>
      <c r="H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2"/>
      <c r="H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2"/>
      <c r="H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2"/>
      <c r="H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2"/>
      <c r="H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2"/>
      <c r="H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2"/>
      <c r="H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2"/>
      <c r="H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2"/>
      <c r="H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2"/>
      <c r="H60" s="12"/>
    </row>
  </sheetData>
  <mergeCells count="2">
    <mergeCell ref="A30:G30"/>
    <mergeCell ref="A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36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50"/>
  </cols>
  <sheetData>
    <row r="1" customFormat="false" ht="17.35" hidden="false" customHeight="false" outlineLevel="0" collapsed="false">
      <c r="A1" s="17" t="s">
        <v>54</v>
      </c>
      <c r="B1" s="17"/>
      <c r="C1" s="17"/>
      <c r="D1" s="17"/>
      <c r="E1" s="17"/>
      <c r="F1" s="17"/>
    </row>
    <row r="2" customFormat="false" ht="15" hidden="false" customHeight="false" outlineLevel="0" collapsed="false">
      <c r="A2" s="13" t="s">
        <v>55</v>
      </c>
      <c r="B2" s="13"/>
      <c r="C2" s="13"/>
      <c r="D2" s="13"/>
      <c r="E2" s="13"/>
      <c r="F2" s="13"/>
    </row>
    <row r="3" customFormat="false" ht="15" hidden="false" customHeight="false" outlineLevel="0" collapsed="false">
      <c r="A3" s="18"/>
      <c r="B3" s="19"/>
      <c r="C3" s="12"/>
      <c r="D3" s="12"/>
      <c r="E3" s="12"/>
      <c r="F3" s="12"/>
    </row>
    <row r="4" customFormat="false" ht="15" hidden="false" customHeight="false" outlineLevel="0" collapsed="false">
      <c r="A4" s="20" t="s">
        <v>56</v>
      </c>
      <c r="B4" s="20"/>
      <c r="C4" s="20"/>
      <c r="D4" s="20"/>
      <c r="E4" s="20"/>
      <c r="F4" s="20"/>
    </row>
    <row r="5" customFormat="false" ht="15" hidden="false" customHeight="true" outlineLevel="0" collapsed="false">
      <c r="A5" s="21" t="s">
        <v>57</v>
      </c>
      <c r="B5" s="22" t="s">
        <v>58</v>
      </c>
      <c r="C5" s="22"/>
      <c r="D5" s="22"/>
      <c r="E5" s="22"/>
      <c r="F5" s="22"/>
    </row>
    <row r="6" customFormat="false" ht="15" hidden="false" customHeight="true" outlineLevel="0" collapsed="false">
      <c r="A6" s="21" t="s">
        <v>59</v>
      </c>
      <c r="B6" s="22" t="s">
        <v>60</v>
      </c>
      <c r="C6" s="22"/>
      <c r="D6" s="22"/>
      <c r="E6" s="22"/>
      <c r="F6" s="22"/>
    </row>
    <row r="7" customFormat="false" ht="15" hidden="false" customHeight="true" outlineLevel="0" collapsed="false">
      <c r="A7" s="21" t="s">
        <v>61</v>
      </c>
      <c r="B7" s="22" t="s">
        <v>62</v>
      </c>
      <c r="C7" s="22"/>
      <c r="D7" s="22"/>
      <c r="E7" s="22"/>
      <c r="F7" s="22"/>
    </row>
    <row r="8" customFormat="false" ht="15" hidden="false" customHeight="true" outlineLevel="0" collapsed="false">
      <c r="A8" s="21" t="s">
        <v>63</v>
      </c>
      <c r="B8" s="22" t="s">
        <v>64</v>
      </c>
      <c r="C8" s="22"/>
      <c r="D8" s="22"/>
      <c r="E8" s="22"/>
      <c r="F8" s="22"/>
    </row>
    <row r="9" customFormat="false" ht="15" hidden="false" customHeight="true" outlineLevel="0" collapsed="false">
      <c r="A9" s="21" t="s">
        <v>36</v>
      </c>
      <c r="B9" s="22" t="s">
        <v>37</v>
      </c>
      <c r="C9" s="22"/>
      <c r="D9" s="22"/>
      <c r="E9" s="22"/>
      <c r="F9" s="22"/>
    </row>
    <row r="10" customFormat="false" ht="15" hidden="false" customHeight="true" outlineLevel="0" collapsed="false">
      <c r="A10" s="21" t="s">
        <v>65</v>
      </c>
      <c r="B10" s="22" t="s">
        <v>66</v>
      </c>
      <c r="C10" s="22"/>
      <c r="D10" s="22"/>
      <c r="E10" s="22"/>
      <c r="F10" s="22"/>
    </row>
    <row r="11" customFormat="false" ht="15" hidden="false" customHeight="true" outlineLevel="0" collapsed="false">
      <c r="A11" s="21" t="s">
        <v>40</v>
      </c>
      <c r="B11" s="22" t="s">
        <v>41</v>
      </c>
      <c r="C11" s="22"/>
      <c r="D11" s="22"/>
      <c r="E11" s="22"/>
      <c r="F11" s="22"/>
    </row>
    <row r="12" customFormat="false" ht="15" hidden="false" customHeight="true" outlineLevel="0" collapsed="false">
      <c r="A12" s="21" t="s">
        <v>67</v>
      </c>
      <c r="B12" s="22" t="s">
        <v>68</v>
      </c>
      <c r="C12" s="22"/>
      <c r="D12" s="22"/>
      <c r="E12" s="22"/>
      <c r="F12" s="22"/>
    </row>
    <row r="13" customFormat="false" ht="15" hidden="false" customHeight="false" outlineLevel="0" collapsed="false">
      <c r="A13" s="18"/>
      <c r="B13" s="19"/>
      <c r="C13" s="12"/>
      <c r="D13" s="12"/>
      <c r="E13" s="12"/>
      <c r="F13" s="12"/>
    </row>
    <row r="14" customFormat="false" ht="15" hidden="false" customHeight="false" outlineLevel="0" collapsed="false">
      <c r="A14" s="20" t="s">
        <v>69</v>
      </c>
      <c r="B14" s="20"/>
      <c r="C14" s="20"/>
      <c r="D14" s="20"/>
      <c r="E14" s="20"/>
      <c r="F14" s="20"/>
    </row>
    <row r="15" customFormat="false" ht="15" hidden="false" customHeight="true" outlineLevel="0" collapsed="false">
      <c r="A15" s="21" t="s">
        <v>70</v>
      </c>
      <c r="B15" s="22" t="s">
        <v>71</v>
      </c>
      <c r="C15" s="22"/>
      <c r="D15" s="22"/>
      <c r="E15" s="22"/>
      <c r="F15" s="22"/>
    </row>
    <row r="16" customFormat="false" ht="15" hidden="false" customHeight="true" outlineLevel="0" collapsed="false">
      <c r="A16" s="21" t="s">
        <v>72</v>
      </c>
      <c r="B16" s="22" t="s">
        <v>73</v>
      </c>
      <c r="C16" s="22"/>
      <c r="D16" s="22"/>
      <c r="E16" s="22"/>
      <c r="F16" s="22"/>
    </row>
    <row r="17" customFormat="false" ht="15" hidden="false" customHeight="true" outlineLevel="0" collapsed="false">
      <c r="A17" s="21" t="s">
        <v>74</v>
      </c>
      <c r="B17" s="22" t="s">
        <v>75</v>
      </c>
      <c r="C17" s="22"/>
      <c r="D17" s="22"/>
      <c r="E17" s="22"/>
      <c r="F17" s="22"/>
    </row>
    <row r="18" customFormat="false" ht="15" hidden="false" customHeight="true" outlineLevel="0" collapsed="false">
      <c r="A18" s="21" t="s">
        <v>76</v>
      </c>
      <c r="B18" s="22" t="s">
        <v>77</v>
      </c>
      <c r="C18" s="22"/>
      <c r="D18" s="22"/>
      <c r="E18" s="22"/>
      <c r="F18" s="22"/>
    </row>
    <row r="19" customFormat="false" ht="15" hidden="false" customHeight="true" outlineLevel="0" collapsed="false">
      <c r="A19" s="21" t="s">
        <v>78</v>
      </c>
      <c r="B19" s="22" t="s">
        <v>79</v>
      </c>
      <c r="C19" s="22"/>
      <c r="D19" s="22"/>
      <c r="E19" s="22"/>
      <c r="F19" s="22"/>
    </row>
    <row r="21" customFormat="false" ht="15" hidden="false" customHeight="false" outlineLevel="0" collapsed="false">
      <c r="A21" s="20" t="s">
        <v>80</v>
      </c>
      <c r="B21" s="20"/>
      <c r="C21" s="20"/>
      <c r="D21" s="20"/>
      <c r="E21" s="20"/>
      <c r="F21" s="20"/>
    </row>
    <row r="22" customFormat="false" ht="15" hidden="false" customHeight="true" outlineLevel="0" collapsed="false">
      <c r="A22" s="21" t="s">
        <v>81</v>
      </c>
      <c r="B22" s="22" t="s">
        <v>82</v>
      </c>
      <c r="C22" s="22"/>
      <c r="D22" s="22"/>
      <c r="E22" s="22"/>
      <c r="F22" s="22"/>
    </row>
    <row r="23" customFormat="false" ht="15" hidden="false" customHeight="true" outlineLevel="0" collapsed="false">
      <c r="A23" s="21" t="s">
        <v>42</v>
      </c>
      <c r="B23" s="22" t="s">
        <v>43</v>
      </c>
      <c r="C23" s="22"/>
      <c r="D23" s="22"/>
      <c r="E23" s="22"/>
      <c r="F23" s="22"/>
    </row>
    <row r="24" customFormat="false" ht="15" hidden="false" customHeight="true" outlineLevel="0" collapsed="false">
      <c r="A24" s="21" t="s">
        <v>83</v>
      </c>
      <c r="B24" s="22" t="s">
        <v>84</v>
      </c>
      <c r="C24" s="22"/>
      <c r="D24" s="22"/>
      <c r="E24" s="22"/>
      <c r="F24" s="22"/>
    </row>
    <row r="25" customFormat="false" ht="15" hidden="false" customHeight="true" outlineLevel="0" collapsed="false">
      <c r="A25" s="21" t="s">
        <v>85</v>
      </c>
      <c r="B25" s="22" t="s">
        <v>86</v>
      </c>
      <c r="C25" s="22"/>
      <c r="D25" s="22"/>
      <c r="E25" s="22"/>
      <c r="F25" s="22"/>
    </row>
    <row r="26" customFormat="false" ht="15" hidden="false" customHeight="true" outlineLevel="0" collapsed="false">
      <c r="A26" s="21" t="s">
        <v>87</v>
      </c>
      <c r="B26" s="22" t="s">
        <v>88</v>
      </c>
      <c r="C26" s="22"/>
      <c r="D26" s="22"/>
      <c r="E26" s="22"/>
      <c r="F26" s="22"/>
    </row>
    <row r="27" customFormat="false" ht="15" hidden="false" customHeight="true" outlineLevel="0" collapsed="false">
      <c r="A27" s="21" t="s">
        <v>46</v>
      </c>
      <c r="B27" s="22" t="s">
        <v>47</v>
      </c>
      <c r="C27" s="22"/>
      <c r="D27" s="22"/>
      <c r="E27" s="22"/>
      <c r="F27" s="22"/>
    </row>
    <row r="28" customFormat="false" ht="15" hidden="false" customHeight="true" outlineLevel="0" collapsed="false">
      <c r="A28" s="21" t="s">
        <v>48</v>
      </c>
      <c r="B28" s="22" t="s">
        <v>89</v>
      </c>
      <c r="C28" s="22"/>
      <c r="D28" s="22"/>
      <c r="E28" s="22"/>
      <c r="F28" s="22"/>
    </row>
    <row r="29" customFormat="false" ht="15" hidden="false" customHeight="true" outlineLevel="0" collapsed="false">
      <c r="A29" s="21" t="s">
        <v>90</v>
      </c>
      <c r="B29" s="22" t="s">
        <v>91</v>
      </c>
      <c r="C29" s="22"/>
      <c r="D29" s="22"/>
      <c r="E29" s="22"/>
      <c r="F29" s="22"/>
    </row>
    <row r="30" customFormat="false" ht="15" hidden="false" customHeight="true" outlineLevel="0" collapsed="false">
      <c r="A30" s="21" t="s">
        <v>38</v>
      </c>
      <c r="B30" s="22" t="s">
        <v>39</v>
      </c>
      <c r="C30" s="22"/>
      <c r="D30" s="22"/>
      <c r="E30" s="22"/>
      <c r="F30" s="22"/>
    </row>
    <row r="31" customFormat="false" ht="15" hidden="false" customHeight="true" outlineLevel="0" collapsed="false">
      <c r="A31" s="21" t="s">
        <v>92</v>
      </c>
      <c r="B31" s="22" t="s">
        <v>93</v>
      </c>
      <c r="C31" s="22"/>
      <c r="D31" s="22"/>
      <c r="E31" s="22"/>
      <c r="F31" s="22"/>
    </row>
    <row r="32" customFormat="false" ht="15" hidden="false" customHeight="true" outlineLevel="0" collapsed="false">
      <c r="A32" s="21" t="s">
        <v>94</v>
      </c>
      <c r="B32" s="22" t="s">
        <v>95</v>
      </c>
      <c r="C32" s="22"/>
      <c r="D32" s="22"/>
      <c r="E32" s="22"/>
      <c r="F32" s="22"/>
    </row>
    <row r="33" customFormat="false" ht="15" hidden="false" customHeight="true" outlineLevel="0" collapsed="false">
      <c r="A33" s="21" t="s">
        <v>96</v>
      </c>
      <c r="B33" s="22" t="s">
        <v>97</v>
      </c>
      <c r="C33" s="22"/>
      <c r="D33" s="22"/>
      <c r="E33" s="22"/>
      <c r="F33" s="22"/>
    </row>
    <row r="35" customFormat="false" ht="15" hidden="false" customHeight="false" outlineLevel="0" collapsed="false">
      <c r="A35" s="20" t="s">
        <v>98</v>
      </c>
      <c r="B35" s="20"/>
      <c r="C35" s="20"/>
      <c r="D35" s="20"/>
      <c r="E35" s="20"/>
      <c r="F35" s="20"/>
    </row>
    <row r="36" customFormat="false" ht="15" hidden="false" customHeight="true" outlineLevel="0" collapsed="false">
      <c r="A36" s="21" t="s">
        <v>99</v>
      </c>
      <c r="B36" s="22" t="s">
        <v>100</v>
      </c>
      <c r="C36" s="22"/>
      <c r="D36" s="22"/>
      <c r="E36" s="22"/>
      <c r="F36" s="22"/>
    </row>
    <row r="37" customFormat="false" ht="15" hidden="false" customHeight="true" outlineLevel="0" collapsed="false">
      <c r="A37" s="21" t="s">
        <v>101</v>
      </c>
      <c r="B37" s="22" t="s">
        <v>102</v>
      </c>
      <c r="C37" s="22"/>
      <c r="D37" s="22"/>
      <c r="E37" s="22"/>
      <c r="F37" s="22"/>
    </row>
    <row r="38" customFormat="false" ht="23.85" hidden="false" customHeight="true" outlineLevel="0" collapsed="false">
      <c r="A38" s="21" t="s">
        <v>103</v>
      </c>
      <c r="B38" s="22" t="s">
        <v>104</v>
      </c>
      <c r="C38" s="22"/>
      <c r="D38" s="22"/>
      <c r="E38" s="22"/>
      <c r="F38" s="22"/>
    </row>
    <row r="39" customFormat="false" ht="15" hidden="false" customHeight="true" outlineLevel="0" collapsed="false">
      <c r="A39" s="21" t="s">
        <v>105</v>
      </c>
      <c r="B39" s="22" t="s">
        <v>106</v>
      </c>
      <c r="C39" s="22"/>
      <c r="D39" s="22"/>
      <c r="E39" s="22"/>
      <c r="F39" s="22"/>
    </row>
    <row r="40" customFormat="false" ht="15" hidden="false" customHeight="true" outlineLevel="0" collapsed="false">
      <c r="A40" s="21" t="s">
        <v>107</v>
      </c>
      <c r="B40" s="22" t="s">
        <v>108</v>
      </c>
      <c r="C40" s="22"/>
      <c r="D40" s="22"/>
      <c r="E40" s="22"/>
      <c r="F40" s="22"/>
    </row>
    <row r="42" customFormat="false" ht="15" hidden="false" customHeight="false" outlineLevel="0" collapsed="false">
      <c r="A42" s="20" t="s">
        <v>109</v>
      </c>
      <c r="B42" s="20"/>
      <c r="C42" s="20"/>
      <c r="D42" s="20"/>
      <c r="E42" s="20"/>
      <c r="F42" s="20"/>
    </row>
    <row r="43" customFormat="false" ht="15" hidden="false" customHeight="true" outlineLevel="0" collapsed="false">
      <c r="A43" s="15" t="s">
        <v>24</v>
      </c>
      <c r="B43" s="23" t="s">
        <v>25</v>
      </c>
      <c r="C43" s="23"/>
      <c r="D43" s="23"/>
      <c r="E43" s="23"/>
      <c r="F43" s="23"/>
    </row>
    <row r="44" customFormat="false" ht="15" hidden="false" customHeight="true" outlineLevel="0" collapsed="false">
      <c r="A44" s="15" t="s">
        <v>110</v>
      </c>
      <c r="B44" s="23" t="s">
        <v>111</v>
      </c>
      <c r="C44" s="23"/>
      <c r="D44" s="23"/>
      <c r="E44" s="23"/>
      <c r="F44" s="23"/>
    </row>
    <row r="45" customFormat="false" ht="15" hidden="false" customHeight="true" outlineLevel="0" collapsed="false">
      <c r="A45" s="15" t="s">
        <v>112</v>
      </c>
      <c r="B45" s="23" t="s">
        <v>73</v>
      </c>
      <c r="C45" s="23"/>
      <c r="D45" s="23"/>
      <c r="E45" s="23"/>
      <c r="F45" s="23"/>
    </row>
    <row r="46" customFormat="false" ht="15" hidden="false" customHeight="true" outlineLevel="0" collapsed="false">
      <c r="A46" s="15" t="s">
        <v>113</v>
      </c>
      <c r="B46" s="23" t="s">
        <v>73</v>
      </c>
      <c r="C46" s="23"/>
      <c r="D46" s="23"/>
      <c r="E46" s="23"/>
      <c r="F46" s="23"/>
    </row>
    <row r="47" customFormat="false" ht="23.85" hidden="false" customHeight="true" outlineLevel="0" collapsed="false">
      <c r="A47" s="15" t="s">
        <v>114</v>
      </c>
      <c r="B47" s="23" t="s">
        <v>115</v>
      </c>
      <c r="C47" s="23"/>
      <c r="D47" s="23"/>
      <c r="E47" s="23"/>
      <c r="F47" s="23"/>
    </row>
    <row r="49" customFormat="false" ht="15" hidden="false" customHeight="false" outlineLevel="0" collapsed="false">
      <c r="A49" s="20" t="s">
        <v>116</v>
      </c>
      <c r="B49" s="20"/>
      <c r="C49" s="20"/>
      <c r="D49" s="20"/>
      <c r="E49" s="20"/>
      <c r="F49" s="20"/>
    </row>
    <row r="50" customFormat="false" ht="15" hidden="false" customHeight="true" outlineLevel="0" collapsed="false">
      <c r="A50" s="15" t="s">
        <v>117</v>
      </c>
      <c r="B50" s="23" t="s">
        <v>118</v>
      </c>
      <c r="C50" s="23"/>
      <c r="D50" s="23"/>
      <c r="E50" s="23"/>
      <c r="F50" s="23"/>
    </row>
    <row r="51" customFormat="false" ht="15" hidden="false" customHeight="true" outlineLevel="0" collapsed="false">
      <c r="A51" s="15" t="s">
        <v>119</v>
      </c>
      <c r="B51" s="23" t="s">
        <v>73</v>
      </c>
      <c r="C51" s="23"/>
      <c r="D51" s="23"/>
      <c r="E51" s="23"/>
      <c r="F51" s="23"/>
    </row>
    <row r="52" customFormat="false" ht="15" hidden="false" customHeight="true" outlineLevel="0" collapsed="false">
      <c r="A52" s="15" t="s">
        <v>120</v>
      </c>
      <c r="B52" s="23" t="s">
        <v>33</v>
      </c>
      <c r="C52" s="23"/>
      <c r="D52" s="23"/>
      <c r="E52" s="23"/>
      <c r="F52" s="23"/>
    </row>
    <row r="53" customFormat="false" ht="15" hidden="false" customHeight="true" outlineLevel="0" collapsed="false">
      <c r="A53" s="15" t="s">
        <v>34</v>
      </c>
      <c r="B53" s="23" t="s">
        <v>35</v>
      </c>
      <c r="C53" s="23"/>
      <c r="D53" s="23"/>
      <c r="E53" s="23"/>
      <c r="F53" s="23"/>
    </row>
    <row r="55" customFormat="false" ht="15" hidden="false" customHeight="false" outlineLevel="0" collapsed="false">
      <c r="A55" s="20" t="s">
        <v>121</v>
      </c>
      <c r="B55" s="20"/>
      <c r="C55" s="20"/>
      <c r="D55" s="20"/>
      <c r="E55" s="20"/>
      <c r="F55" s="20"/>
    </row>
    <row r="56" customFormat="false" ht="15" hidden="false" customHeight="true" outlineLevel="0" collapsed="false">
      <c r="A56" s="15" t="s">
        <v>122</v>
      </c>
      <c r="B56" s="23" t="s">
        <v>27</v>
      </c>
      <c r="C56" s="23"/>
      <c r="D56" s="23"/>
      <c r="E56" s="23"/>
      <c r="F56" s="23"/>
    </row>
    <row r="57" customFormat="false" ht="15" hidden="false" customHeight="true" outlineLevel="0" collapsed="false">
      <c r="A57" s="15" t="s">
        <v>123</v>
      </c>
      <c r="B57" s="23" t="s">
        <v>124</v>
      </c>
      <c r="C57" s="23"/>
      <c r="D57" s="23"/>
      <c r="E57" s="23"/>
      <c r="F57" s="23"/>
    </row>
    <row r="58" customFormat="false" ht="23.85" hidden="false" customHeight="true" outlineLevel="0" collapsed="false">
      <c r="A58" s="15" t="s">
        <v>125</v>
      </c>
      <c r="B58" s="23" t="s">
        <v>126</v>
      </c>
      <c r="C58" s="23"/>
      <c r="D58" s="23"/>
      <c r="E58" s="23"/>
      <c r="F58" s="23"/>
    </row>
    <row r="60" customFormat="false" ht="15" hidden="false" customHeight="false" outlineLevel="0" collapsed="false">
      <c r="A60" s="20" t="s">
        <v>127</v>
      </c>
      <c r="B60" s="20"/>
      <c r="C60" s="20"/>
      <c r="D60" s="20"/>
      <c r="E60" s="20"/>
      <c r="F60" s="20"/>
    </row>
    <row r="61" customFormat="false" ht="15" hidden="false" customHeight="true" outlineLevel="0" collapsed="false">
      <c r="A61" s="15" t="s">
        <v>28</v>
      </c>
      <c r="B61" s="23" t="s">
        <v>29</v>
      </c>
      <c r="C61" s="23"/>
      <c r="D61" s="23"/>
      <c r="E61" s="23"/>
      <c r="F61" s="23"/>
    </row>
    <row r="62" customFormat="false" ht="15" hidden="false" customHeight="true" outlineLevel="0" collapsed="false">
      <c r="A62" s="15" t="s">
        <v>128</v>
      </c>
      <c r="B62" s="23" t="s">
        <v>73</v>
      </c>
      <c r="C62" s="23"/>
      <c r="D62" s="23"/>
      <c r="E62" s="23"/>
      <c r="F62" s="23"/>
    </row>
    <row r="63" customFormat="false" ht="23.85" hidden="false" customHeight="true" outlineLevel="0" collapsed="false">
      <c r="A63" s="15" t="s">
        <v>30</v>
      </c>
      <c r="B63" s="23" t="s">
        <v>31</v>
      </c>
      <c r="C63" s="23"/>
      <c r="D63" s="23"/>
      <c r="E63" s="23"/>
      <c r="F63" s="23"/>
    </row>
    <row r="64" customFormat="false" ht="15" hidden="false" customHeight="true" outlineLevel="0" collapsed="false">
      <c r="A64" s="15" t="s">
        <v>129</v>
      </c>
      <c r="B64" s="23" t="s">
        <v>73</v>
      </c>
      <c r="C64" s="23"/>
      <c r="D64" s="23"/>
      <c r="E64" s="23"/>
      <c r="F64" s="23"/>
    </row>
    <row r="65" customFormat="false" ht="15" hidden="false" customHeight="true" outlineLevel="0" collapsed="false">
      <c r="A65" s="15" t="s">
        <v>130</v>
      </c>
      <c r="B65" s="23" t="s">
        <v>73</v>
      </c>
      <c r="C65" s="23"/>
      <c r="D65" s="23"/>
      <c r="E65" s="23"/>
      <c r="F65" s="23"/>
    </row>
    <row r="67" customFormat="false" ht="15" hidden="false" customHeight="false" outlineLevel="0" collapsed="false">
      <c r="A67" s="20" t="s">
        <v>131</v>
      </c>
      <c r="B67" s="20"/>
      <c r="C67" s="20"/>
      <c r="D67" s="20"/>
      <c r="E67" s="20"/>
      <c r="F67" s="20"/>
    </row>
    <row r="68" customFormat="false" ht="15" hidden="false" customHeight="false" outlineLevel="0" collapsed="false">
      <c r="A68" s="14" t="s">
        <v>132</v>
      </c>
      <c r="B68" s="14" t="s">
        <v>133</v>
      </c>
      <c r="C68" s="14" t="s">
        <v>134</v>
      </c>
      <c r="D68" s="14" t="s">
        <v>135</v>
      </c>
      <c r="E68" s="14" t="s">
        <v>136</v>
      </c>
      <c r="F68" s="14" t="s">
        <v>137</v>
      </c>
    </row>
    <row r="69" customFormat="false" ht="23.85" hidden="false" customHeight="false" outlineLevel="0" collapsed="false">
      <c r="A69" s="24" t="s">
        <v>138</v>
      </c>
      <c r="B69" s="24" t="s">
        <v>139</v>
      </c>
      <c r="C69" s="24" t="s">
        <v>140</v>
      </c>
      <c r="D69" s="24" t="n">
        <v>226</v>
      </c>
      <c r="E69" s="24" t="s">
        <v>141</v>
      </c>
      <c r="F69" s="25" t="s">
        <v>142</v>
      </c>
    </row>
    <row r="70" customFormat="false" ht="35.05" hidden="false" customHeight="false" outlineLevel="0" collapsed="false">
      <c r="A70" s="26" t="s">
        <v>143</v>
      </c>
      <c r="B70" s="27" t="s">
        <v>144</v>
      </c>
      <c r="C70" s="26" t="s">
        <v>145</v>
      </c>
      <c r="D70" s="26" t="n">
        <v>263</v>
      </c>
      <c r="E70" s="26" t="s">
        <v>146</v>
      </c>
      <c r="F70" s="28" t="s">
        <v>147</v>
      </c>
    </row>
    <row r="71" customFormat="false" ht="23.85" hidden="false" customHeight="false" outlineLevel="0" collapsed="false">
      <c r="A71" s="26" t="s">
        <v>148</v>
      </c>
      <c r="B71" s="27" t="s">
        <v>144</v>
      </c>
      <c r="C71" s="26" t="s">
        <v>145</v>
      </c>
      <c r="D71" s="26" t="n">
        <v>263</v>
      </c>
      <c r="E71" s="26" t="s">
        <v>149</v>
      </c>
      <c r="F71" s="28" t="s">
        <v>150</v>
      </c>
    </row>
    <row r="73" customFormat="false" ht="15" hidden="false" customHeight="false" outlineLevel="0" collapsed="false">
      <c r="A73" s="20" t="s">
        <v>151</v>
      </c>
      <c r="B73" s="20"/>
      <c r="C73" s="20"/>
      <c r="D73" s="20"/>
      <c r="E73" s="20"/>
      <c r="F73" s="20"/>
    </row>
    <row r="74" customFormat="false" ht="15" hidden="false" customHeight="true" outlineLevel="0" collapsed="false">
      <c r="A74" s="15" t="s">
        <v>152</v>
      </c>
      <c r="B74" s="23" t="s">
        <v>153</v>
      </c>
      <c r="C74" s="23"/>
      <c r="D74" s="23"/>
      <c r="E74" s="23"/>
      <c r="F74" s="23"/>
    </row>
    <row r="75" customFormat="false" ht="15" hidden="false" customHeight="true" outlineLevel="0" collapsed="false">
      <c r="A75" s="15" t="s">
        <v>154</v>
      </c>
      <c r="B75" s="23" t="s">
        <v>155</v>
      </c>
      <c r="C75" s="23"/>
      <c r="D75" s="23"/>
      <c r="E75" s="23"/>
      <c r="F75" s="23"/>
    </row>
    <row r="76" customFormat="false" ht="15" hidden="false" customHeight="true" outlineLevel="0" collapsed="false">
      <c r="A76" s="15" t="s">
        <v>156</v>
      </c>
      <c r="B76" s="23" t="s">
        <v>157</v>
      </c>
      <c r="C76" s="23"/>
      <c r="D76" s="23"/>
      <c r="E76" s="23"/>
      <c r="F76" s="23"/>
    </row>
    <row r="77" customFormat="false" ht="23.85" hidden="false" customHeight="true" outlineLevel="0" collapsed="false">
      <c r="A77" s="15" t="s">
        <v>158</v>
      </c>
      <c r="B77" s="23" t="s">
        <v>159</v>
      </c>
      <c r="C77" s="23"/>
      <c r="D77" s="23"/>
      <c r="E77" s="23"/>
      <c r="F77" s="23"/>
    </row>
    <row r="79" customFormat="false" ht="15" hidden="false" customHeight="false" outlineLevel="0" collapsed="false">
      <c r="A79" s="20" t="s">
        <v>160</v>
      </c>
      <c r="B79" s="20"/>
      <c r="C79" s="20"/>
      <c r="D79" s="20"/>
      <c r="E79" s="20"/>
      <c r="F79" s="20"/>
    </row>
    <row r="80" customFormat="false" ht="15" hidden="false" customHeight="true" outlineLevel="0" collapsed="false">
      <c r="A80" s="15" t="s">
        <v>161</v>
      </c>
      <c r="B80" s="23" t="s">
        <v>162</v>
      </c>
      <c r="C80" s="23"/>
      <c r="D80" s="23"/>
      <c r="E80" s="23"/>
      <c r="F80" s="23"/>
    </row>
    <row r="81" customFormat="false" ht="15" hidden="false" customHeight="true" outlineLevel="0" collapsed="false">
      <c r="A81" s="15" t="s">
        <v>163</v>
      </c>
      <c r="B81" s="23" t="s">
        <v>164</v>
      </c>
      <c r="C81" s="23"/>
      <c r="D81" s="23"/>
      <c r="E81" s="23"/>
      <c r="F81" s="23"/>
    </row>
    <row r="82" customFormat="false" ht="15" hidden="false" customHeight="true" outlineLevel="0" collapsed="false">
      <c r="A82" s="15" t="s">
        <v>165</v>
      </c>
      <c r="B82" s="23" t="s">
        <v>166</v>
      </c>
      <c r="C82" s="23"/>
      <c r="D82" s="23"/>
      <c r="E82" s="23"/>
      <c r="F82" s="23"/>
    </row>
    <row r="83" customFormat="false" ht="15" hidden="false" customHeight="true" outlineLevel="0" collapsed="false">
      <c r="A83" s="15" t="s">
        <v>167</v>
      </c>
      <c r="B83" s="23" t="s">
        <v>166</v>
      </c>
      <c r="C83" s="23"/>
      <c r="D83" s="23"/>
      <c r="E83" s="23"/>
      <c r="F83" s="23"/>
    </row>
    <row r="84" customFormat="false" ht="15" hidden="false" customHeight="true" outlineLevel="0" collapsed="false">
      <c r="A84" s="15" t="s">
        <v>168</v>
      </c>
      <c r="B84" s="23" t="s">
        <v>166</v>
      </c>
      <c r="C84" s="23"/>
      <c r="D84" s="23"/>
      <c r="E84" s="23"/>
      <c r="F84" s="23"/>
    </row>
    <row r="85" customFormat="false" ht="15" hidden="false" customHeight="true" outlineLevel="0" collapsed="false">
      <c r="A85" s="15" t="s">
        <v>169</v>
      </c>
      <c r="B85" s="23" t="s">
        <v>170</v>
      </c>
      <c r="C85" s="23"/>
      <c r="D85" s="23"/>
      <c r="E85" s="23"/>
      <c r="F85" s="23"/>
    </row>
    <row r="86" customFormat="false" ht="15" hidden="false" customHeight="true" outlineLevel="0" collapsed="false">
      <c r="A86" s="15" t="s">
        <v>171</v>
      </c>
      <c r="B86" s="23" t="s">
        <v>166</v>
      </c>
      <c r="C86" s="23"/>
      <c r="D86" s="23"/>
      <c r="E86" s="23"/>
      <c r="F86" s="23"/>
    </row>
    <row r="87" customFormat="false" ht="15" hidden="false" customHeight="true" outlineLevel="0" collapsed="false">
      <c r="A87" s="15" t="s">
        <v>172</v>
      </c>
      <c r="B87" s="23" t="s">
        <v>173</v>
      </c>
      <c r="C87" s="23"/>
      <c r="D87" s="23"/>
      <c r="E87" s="23"/>
      <c r="F87" s="23"/>
    </row>
    <row r="88" customFormat="false" ht="15" hidden="false" customHeight="true" outlineLevel="0" collapsed="false">
      <c r="A88" s="15" t="s">
        <v>174</v>
      </c>
      <c r="B88" s="23" t="s">
        <v>175</v>
      </c>
      <c r="C88" s="23"/>
      <c r="D88" s="23"/>
      <c r="E88" s="23"/>
      <c r="F88" s="23"/>
    </row>
    <row r="90" customFormat="false" ht="15" hidden="false" customHeight="false" outlineLevel="0" collapsed="false">
      <c r="A90" s="20" t="s">
        <v>176</v>
      </c>
      <c r="B90" s="20"/>
      <c r="C90" s="20"/>
      <c r="D90" s="20"/>
      <c r="E90" s="20"/>
      <c r="F90" s="20"/>
    </row>
    <row r="91" customFormat="false" ht="15" hidden="false" customHeight="true" outlineLevel="0" collapsed="false">
      <c r="A91" s="21" t="s">
        <v>177</v>
      </c>
      <c r="B91" s="22" t="s">
        <v>178</v>
      </c>
      <c r="C91" s="22"/>
      <c r="D91" s="22"/>
      <c r="E91" s="22"/>
      <c r="F91" s="22"/>
    </row>
    <row r="92" customFormat="false" ht="15" hidden="false" customHeight="true" outlineLevel="0" collapsed="false">
      <c r="A92" s="21" t="s">
        <v>179</v>
      </c>
      <c r="B92" s="22" t="s">
        <v>180</v>
      </c>
      <c r="C92" s="22"/>
      <c r="D92" s="22"/>
      <c r="E92" s="22"/>
      <c r="F92" s="22"/>
    </row>
    <row r="93" customFormat="false" ht="15" hidden="false" customHeight="true" outlineLevel="0" collapsed="false">
      <c r="A93" s="21" t="s">
        <v>181</v>
      </c>
      <c r="B93" s="22" t="s">
        <v>182</v>
      </c>
      <c r="C93" s="22"/>
      <c r="D93" s="22"/>
      <c r="E93" s="22"/>
      <c r="F93" s="22"/>
    </row>
    <row r="94" customFormat="false" ht="15" hidden="false" customHeight="true" outlineLevel="0" collapsed="false">
      <c r="A94" s="21" t="s">
        <v>183</v>
      </c>
      <c r="B94" s="22" t="s">
        <v>184</v>
      </c>
      <c r="C94" s="22"/>
      <c r="D94" s="22"/>
      <c r="E94" s="22"/>
      <c r="F94" s="22"/>
    </row>
    <row r="95" customFormat="false" ht="15" hidden="false" customHeight="true" outlineLevel="0" collapsed="false">
      <c r="A95" s="21" t="s">
        <v>185</v>
      </c>
      <c r="B95" s="22" t="s">
        <v>186</v>
      </c>
      <c r="C95" s="22"/>
      <c r="D95" s="22"/>
      <c r="E95" s="22"/>
      <c r="F95" s="22"/>
    </row>
    <row r="96" customFormat="false" ht="15" hidden="false" customHeight="true" outlineLevel="0" collapsed="false">
      <c r="A96" s="21" t="s">
        <v>187</v>
      </c>
      <c r="B96" s="22" t="s">
        <v>188</v>
      </c>
      <c r="C96" s="22"/>
      <c r="D96" s="22"/>
      <c r="E96" s="22"/>
      <c r="F96" s="22"/>
    </row>
    <row r="97" customFormat="false" ht="23.85" hidden="false" customHeight="true" outlineLevel="0" collapsed="false">
      <c r="A97" s="21" t="s">
        <v>189</v>
      </c>
      <c r="B97" s="22" t="s">
        <v>190</v>
      </c>
      <c r="C97" s="22"/>
      <c r="D97" s="22"/>
      <c r="E97" s="22"/>
      <c r="F97" s="22"/>
    </row>
    <row r="99" customFormat="false" ht="15" hidden="false" customHeight="false" outlineLevel="0" collapsed="false">
      <c r="A99" s="20" t="s">
        <v>191</v>
      </c>
      <c r="B99" s="20"/>
      <c r="C99" s="20"/>
      <c r="D99" s="20"/>
      <c r="E99" s="20"/>
      <c r="F99" s="20"/>
    </row>
    <row r="100" customFormat="false" ht="15" hidden="false" customHeight="true" outlineLevel="0" collapsed="false">
      <c r="A100" s="15" t="s">
        <v>192</v>
      </c>
      <c r="B100" s="23" t="s">
        <v>193</v>
      </c>
      <c r="C100" s="23"/>
      <c r="D100" s="23"/>
      <c r="E100" s="23"/>
      <c r="F100" s="23"/>
    </row>
    <row r="101" customFormat="false" ht="15" hidden="false" customHeight="true" outlineLevel="0" collapsed="false">
      <c r="A101" s="15" t="s">
        <v>194</v>
      </c>
      <c r="B101" s="23" t="s">
        <v>195</v>
      </c>
      <c r="C101" s="23"/>
      <c r="D101" s="23"/>
      <c r="E101" s="23"/>
      <c r="F101" s="23"/>
    </row>
    <row r="102" customFormat="false" ht="15" hidden="false" customHeight="true" outlineLevel="0" collapsed="false">
      <c r="A102" s="15" t="s">
        <v>196</v>
      </c>
      <c r="B102" s="23" t="s">
        <v>197</v>
      </c>
      <c r="C102" s="23"/>
      <c r="D102" s="23"/>
      <c r="E102" s="23"/>
      <c r="F102" s="23"/>
    </row>
    <row r="103" customFormat="false" ht="23.85" hidden="false" customHeight="true" outlineLevel="0" collapsed="false">
      <c r="A103" s="15" t="s">
        <v>198</v>
      </c>
      <c r="B103" s="23" t="s">
        <v>199</v>
      </c>
      <c r="C103" s="23"/>
      <c r="D103" s="23"/>
      <c r="E103" s="23"/>
      <c r="F103" s="23"/>
    </row>
    <row r="104" customFormat="false" ht="15" hidden="false" customHeight="true" outlineLevel="0" collapsed="false">
      <c r="A104" s="15" t="s">
        <v>200</v>
      </c>
      <c r="B104" s="23" t="s">
        <v>201</v>
      </c>
      <c r="C104" s="23"/>
      <c r="D104" s="23"/>
      <c r="E104" s="23"/>
      <c r="F104" s="23"/>
    </row>
    <row r="105" customFormat="false" ht="15" hidden="false" customHeight="true" outlineLevel="0" collapsed="false">
      <c r="A105" s="15" t="s">
        <v>202</v>
      </c>
      <c r="B105" s="23" t="s">
        <v>203</v>
      </c>
      <c r="C105" s="23"/>
      <c r="D105" s="23"/>
      <c r="E105" s="23"/>
      <c r="F105" s="23"/>
    </row>
    <row r="107" customFormat="false" ht="15" hidden="false" customHeight="false" outlineLevel="0" collapsed="false">
      <c r="A107" s="20" t="s">
        <v>204</v>
      </c>
      <c r="B107" s="20"/>
      <c r="C107" s="20"/>
      <c r="D107" s="20"/>
      <c r="E107" s="20"/>
      <c r="F107" s="20"/>
    </row>
    <row r="108" customFormat="false" ht="35.05" hidden="false" customHeight="true" outlineLevel="0" collapsed="false">
      <c r="A108" s="15" t="s">
        <v>205</v>
      </c>
      <c r="B108" s="23" t="s">
        <v>206</v>
      </c>
      <c r="C108" s="23"/>
      <c r="D108" s="23"/>
      <c r="E108" s="23"/>
      <c r="F108" s="23"/>
    </row>
    <row r="109" customFormat="false" ht="23.85" hidden="false" customHeight="true" outlineLevel="0" collapsed="false">
      <c r="A109" s="15" t="s">
        <v>207</v>
      </c>
      <c r="B109" s="23" t="s">
        <v>208</v>
      </c>
      <c r="C109" s="23"/>
      <c r="D109" s="23"/>
      <c r="E109" s="23"/>
      <c r="F109" s="23"/>
    </row>
    <row r="110" customFormat="false" ht="23.85" hidden="false" customHeight="true" outlineLevel="0" collapsed="false">
      <c r="A110" s="15" t="s">
        <v>209</v>
      </c>
      <c r="B110" s="23" t="s">
        <v>210</v>
      </c>
      <c r="C110" s="23"/>
      <c r="D110" s="23"/>
      <c r="E110" s="23"/>
      <c r="F110" s="23"/>
    </row>
    <row r="111" customFormat="false" ht="23.85" hidden="false" customHeight="true" outlineLevel="0" collapsed="false">
      <c r="A111" s="15" t="s">
        <v>211</v>
      </c>
      <c r="B111" s="23" t="s">
        <v>212</v>
      </c>
      <c r="C111" s="23"/>
      <c r="D111" s="23"/>
      <c r="E111" s="23"/>
      <c r="F111" s="23"/>
    </row>
    <row r="112" customFormat="false" ht="35.05" hidden="false" customHeight="true" outlineLevel="0" collapsed="false">
      <c r="A112" s="15" t="s">
        <v>213</v>
      </c>
      <c r="B112" s="23" t="s">
        <v>214</v>
      </c>
      <c r="C112" s="23"/>
      <c r="D112" s="23"/>
      <c r="E112" s="23"/>
      <c r="F112" s="23"/>
    </row>
  </sheetData>
  <mergeCells count="94">
    <mergeCell ref="A1:F1"/>
    <mergeCell ref="A2:F2"/>
    <mergeCell ref="A4:F4"/>
    <mergeCell ref="B5:F5"/>
    <mergeCell ref="B6:F6"/>
    <mergeCell ref="B7:F7"/>
    <mergeCell ref="B8:F8"/>
    <mergeCell ref="B9:F9"/>
    <mergeCell ref="B10:F10"/>
    <mergeCell ref="B11:F11"/>
    <mergeCell ref="B12:F12"/>
    <mergeCell ref="A14:F14"/>
    <mergeCell ref="B15:F15"/>
    <mergeCell ref="B16:F16"/>
    <mergeCell ref="B17:F17"/>
    <mergeCell ref="B18:F18"/>
    <mergeCell ref="B19:F19"/>
    <mergeCell ref="A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A35:F35"/>
    <mergeCell ref="B36:F36"/>
    <mergeCell ref="B37:F37"/>
    <mergeCell ref="B38:F38"/>
    <mergeCell ref="B39:F39"/>
    <mergeCell ref="B40:F40"/>
    <mergeCell ref="A42:F42"/>
    <mergeCell ref="B43:F43"/>
    <mergeCell ref="B44:F44"/>
    <mergeCell ref="B45:F45"/>
    <mergeCell ref="B46:F46"/>
    <mergeCell ref="B47:F47"/>
    <mergeCell ref="A49:F49"/>
    <mergeCell ref="B50:F50"/>
    <mergeCell ref="B51:F51"/>
    <mergeCell ref="B52:F52"/>
    <mergeCell ref="B53:F53"/>
    <mergeCell ref="A55:F55"/>
    <mergeCell ref="B56:F56"/>
    <mergeCell ref="B57:F57"/>
    <mergeCell ref="B58:F58"/>
    <mergeCell ref="A60:F60"/>
    <mergeCell ref="B61:F61"/>
    <mergeCell ref="B62:F62"/>
    <mergeCell ref="B63:F63"/>
    <mergeCell ref="B64:F64"/>
    <mergeCell ref="B65:F65"/>
    <mergeCell ref="A67:F67"/>
    <mergeCell ref="A73:F73"/>
    <mergeCell ref="B74:F74"/>
    <mergeCell ref="B75:F75"/>
    <mergeCell ref="B76:F76"/>
    <mergeCell ref="B77:F77"/>
    <mergeCell ref="A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A90:F90"/>
    <mergeCell ref="B91:F91"/>
    <mergeCell ref="B92:F92"/>
    <mergeCell ref="B93:F93"/>
    <mergeCell ref="B94:F94"/>
    <mergeCell ref="B95:F95"/>
    <mergeCell ref="B96:F96"/>
    <mergeCell ref="B97:F97"/>
    <mergeCell ref="A99:F99"/>
    <mergeCell ref="B100:F100"/>
    <mergeCell ref="B101:F101"/>
    <mergeCell ref="B102:F102"/>
    <mergeCell ref="B103:F103"/>
    <mergeCell ref="B104:F104"/>
    <mergeCell ref="B105:F105"/>
    <mergeCell ref="A107:F107"/>
    <mergeCell ref="B108:F108"/>
    <mergeCell ref="B109:F109"/>
    <mergeCell ref="B110:F110"/>
    <mergeCell ref="B111:F111"/>
    <mergeCell ref="B112:F1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8"/>
  </cols>
  <sheetData>
    <row r="1" customFormat="false" ht="19.7" hidden="false" customHeight="false" outlineLevel="0" collapsed="false">
      <c r="A1" s="2" t="s">
        <v>215</v>
      </c>
    </row>
    <row r="3" customFormat="false" ht="15" hidden="false" customHeight="false" outlineLevel="0" collapsed="false">
      <c r="A3" s="29" t="s">
        <v>216</v>
      </c>
      <c r="B3" s="29" t="s">
        <v>217</v>
      </c>
      <c r="C3" s="29" t="s">
        <v>218</v>
      </c>
      <c r="D3" s="29" t="s">
        <v>219</v>
      </c>
    </row>
    <row r="4" customFormat="false" ht="15" hidden="false" customHeight="false" outlineLevel="0" collapsed="false">
      <c r="A4" s="5" t="s">
        <v>220</v>
      </c>
      <c r="B4" s="6" t="n">
        <v>0</v>
      </c>
      <c r="C4" s="6" t="n">
        <v>0</v>
      </c>
      <c r="D4" s="10" t="n">
        <f aca="false">C4-B4</f>
        <v>0</v>
      </c>
    </row>
    <row r="5" customFormat="false" ht="15" hidden="false" customHeight="false" outlineLevel="0" collapsed="false">
      <c r="A5" s="5" t="s">
        <v>221</v>
      </c>
      <c r="B5" s="6" t="n">
        <v>0</v>
      </c>
      <c r="C5" s="6" t="n">
        <v>0</v>
      </c>
      <c r="D5" s="10" t="n">
        <f aca="false">C5-B5</f>
        <v>0</v>
      </c>
    </row>
    <row r="6" customFormat="false" ht="15" hidden="false" customHeight="false" outlineLevel="0" collapsed="false">
      <c r="A6" s="30" t="s">
        <v>222</v>
      </c>
      <c r="B6" s="7" t="n">
        <f aca="false">SUM(B4:B5)</f>
        <v>0</v>
      </c>
      <c r="C6" s="7" t="n">
        <f aca="false">SUM(C4:C5)</f>
        <v>0</v>
      </c>
      <c r="D6" s="7" t="n">
        <f aca="false">SUM(D4:D5)</f>
        <v>0</v>
      </c>
    </row>
    <row r="9" customFormat="false" ht="15" hidden="false" customHeight="false" outlineLevel="0" collapsed="false">
      <c r="A9" s="4" t="s">
        <v>223</v>
      </c>
    </row>
    <row r="10" customFormat="false" ht="15" hidden="false" customHeight="false" outlineLevel="0" collapsed="false">
      <c r="A10" s="29" t="s">
        <v>224</v>
      </c>
      <c r="B10" s="29" t="s">
        <v>225</v>
      </c>
      <c r="C10" s="29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4"/>
    <col collapsed="false" customWidth="true" hidden="false" outlineLevel="0" max="7" min="3" style="1" width="16"/>
  </cols>
  <sheetData>
    <row r="1" customFormat="false" ht="19.7" hidden="false" customHeight="false" outlineLevel="0" collapsed="false">
      <c r="A1" s="2" t="s">
        <v>227</v>
      </c>
    </row>
    <row r="3" customFormat="false" ht="15" hidden="false" customHeight="false" outlineLevel="0" collapsed="false">
      <c r="A3" s="29" t="s">
        <v>228</v>
      </c>
      <c r="B3" s="29" t="s">
        <v>229</v>
      </c>
      <c r="C3" s="29" t="s">
        <v>230</v>
      </c>
      <c r="D3" s="29" t="s">
        <v>231</v>
      </c>
      <c r="E3" s="29" t="s">
        <v>232</v>
      </c>
      <c r="F3" s="29" t="s">
        <v>233</v>
      </c>
      <c r="G3" s="29" t="s">
        <v>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50"/>
    <col collapsed="false" customWidth="true" hidden="false" outlineLevel="0" max="4" min="4" style="1" width="18"/>
    <col collapsed="false" customWidth="true" hidden="false" outlineLevel="0" max="5" min="5" style="1" width="12"/>
  </cols>
  <sheetData>
    <row r="1" customFormat="false" ht="19.7" hidden="false" customHeight="false" outlineLevel="0" collapsed="false">
      <c r="A1" s="2" t="s">
        <v>235</v>
      </c>
    </row>
    <row r="3" customFormat="false" ht="15" hidden="false" customHeight="false" outlineLevel="0" collapsed="false">
      <c r="A3" s="29" t="s">
        <v>236</v>
      </c>
      <c r="B3" s="29" t="s">
        <v>133</v>
      </c>
      <c r="C3" s="29" t="s">
        <v>225</v>
      </c>
      <c r="D3" s="29" t="s">
        <v>226</v>
      </c>
      <c r="E3" s="29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8" min="3" style="1" width="14"/>
  </cols>
  <sheetData>
    <row r="1" customFormat="false" ht="19.7" hidden="false" customHeight="false" outlineLevel="0" collapsed="false">
      <c r="A1" s="2" t="s">
        <v>237</v>
      </c>
    </row>
    <row r="3" customFormat="false" ht="15" hidden="false" customHeight="false" outlineLevel="0" collapsed="false">
      <c r="A3" s="29" t="s">
        <v>238</v>
      </c>
      <c r="B3" s="29" t="s">
        <v>225</v>
      </c>
      <c r="C3" s="29" t="s">
        <v>217</v>
      </c>
      <c r="D3" s="29" t="s">
        <v>218</v>
      </c>
      <c r="E3" s="29" t="s">
        <v>239</v>
      </c>
      <c r="F3" s="29" t="s">
        <v>240</v>
      </c>
      <c r="G3" s="29" t="s">
        <v>241</v>
      </c>
      <c r="H3" s="29" t="s">
        <v>242</v>
      </c>
    </row>
    <row r="4" customFormat="false" ht="15" hidden="false" customHeight="false" outlineLevel="0" collapsed="false">
      <c r="A4" s="5" t="s">
        <v>243</v>
      </c>
      <c r="B4" s="5" t="s">
        <v>244</v>
      </c>
      <c r="C4" s="6" t="n">
        <v>0</v>
      </c>
      <c r="D4" s="6" t="n">
        <v>0</v>
      </c>
      <c r="E4" s="6" t="n">
        <v>2134.5</v>
      </c>
      <c r="F4" s="10" t="n">
        <f aca="false">D4-E4</f>
        <v>-2134.5</v>
      </c>
      <c r="G4" s="6" t="n">
        <v>0</v>
      </c>
      <c r="H4" s="31" t="n">
        <f aca="false">IFERROR(E4/D4,0)</f>
        <v>0</v>
      </c>
    </row>
    <row r="5" customFormat="false" ht="15" hidden="false" customHeight="false" outlineLevel="0" collapsed="false">
      <c r="A5" s="5" t="s">
        <v>245</v>
      </c>
      <c r="B5" s="5" t="s">
        <v>246</v>
      </c>
      <c r="C5" s="6" t="n">
        <v>0</v>
      </c>
      <c r="D5" s="6" t="n">
        <v>0</v>
      </c>
      <c r="E5" s="6" t="n">
        <v>106487.5</v>
      </c>
      <c r="F5" s="10" t="n">
        <f aca="false">D5-E5</f>
        <v>-106487.5</v>
      </c>
      <c r="G5" s="6" t="n">
        <v>0</v>
      </c>
      <c r="H5" s="31" t="n">
        <f aca="false">IFERROR(E5/D5,0)</f>
        <v>0</v>
      </c>
    </row>
    <row r="6" customFormat="false" ht="15" hidden="false" customHeight="false" outlineLevel="0" collapsed="false">
      <c r="A6" s="5" t="s">
        <v>247</v>
      </c>
      <c r="B6" s="5" t="s">
        <v>248</v>
      </c>
      <c r="C6" s="6" t="n">
        <v>0</v>
      </c>
      <c r="D6" s="6" t="n">
        <v>0</v>
      </c>
      <c r="E6" s="6" t="n">
        <v>922.35</v>
      </c>
      <c r="F6" s="10" t="n">
        <f aca="false">D6-E6</f>
        <v>-922.35</v>
      </c>
      <c r="G6" s="6" t="n">
        <v>0</v>
      </c>
      <c r="H6" s="31" t="n">
        <f aca="false">IFERROR(E6/D6,0)</f>
        <v>0</v>
      </c>
    </row>
    <row r="7" customFormat="false" ht="15" hidden="false" customHeight="false" outlineLevel="0" collapsed="false">
      <c r="A7" s="5" t="s">
        <v>249</v>
      </c>
      <c r="B7" s="5" t="s">
        <v>250</v>
      </c>
      <c r="C7" s="6" t="n">
        <v>0</v>
      </c>
      <c r="D7" s="6" t="n">
        <v>0</v>
      </c>
      <c r="E7" s="6" t="n">
        <v>6402</v>
      </c>
      <c r="F7" s="10" t="n">
        <f aca="false">D7-E7</f>
        <v>-6402</v>
      </c>
      <c r="G7" s="6" t="n">
        <v>0</v>
      </c>
      <c r="H7" s="31" t="n">
        <f aca="false">IFERROR(E7/D7,0)</f>
        <v>0</v>
      </c>
    </row>
    <row r="8" customFormat="false" ht="15" hidden="false" customHeight="false" outlineLevel="0" collapsed="false">
      <c r="A8" s="5" t="s">
        <v>251</v>
      </c>
      <c r="B8" s="5" t="s">
        <v>252</v>
      </c>
      <c r="C8" s="6" t="n">
        <v>0</v>
      </c>
      <c r="D8" s="6" t="n">
        <v>0</v>
      </c>
      <c r="E8" s="6" t="n">
        <v>1052.32</v>
      </c>
      <c r="F8" s="10" t="n">
        <f aca="false">D8-E8</f>
        <v>-1052.32</v>
      </c>
      <c r="G8" s="6" t="n">
        <v>0</v>
      </c>
      <c r="H8" s="31" t="n">
        <f aca="false">IFERROR(E8/D8,0)</f>
        <v>0</v>
      </c>
    </row>
    <row r="9" customFormat="false" ht="15" hidden="false" customHeight="false" outlineLevel="0" collapsed="false">
      <c r="A9" s="5" t="s">
        <v>253</v>
      </c>
      <c r="B9" s="5" t="s">
        <v>254</v>
      </c>
      <c r="C9" s="6" t="n">
        <v>0</v>
      </c>
      <c r="D9" s="6" t="n">
        <v>0</v>
      </c>
      <c r="E9" s="6" t="n">
        <v>163.3</v>
      </c>
      <c r="F9" s="10" t="n">
        <f aca="false">D9-E9</f>
        <v>-163.3</v>
      </c>
      <c r="G9" s="6" t="n">
        <v>0</v>
      </c>
      <c r="H9" s="31" t="n">
        <f aca="false">IFERROR(E9/D9,0)</f>
        <v>0</v>
      </c>
    </row>
    <row r="10" customFormat="false" ht="15" hidden="false" customHeight="false" outlineLevel="0" collapsed="false">
      <c r="A10" s="30" t="s">
        <v>255</v>
      </c>
      <c r="C10" s="7" t="n">
        <f aca="false">SUM(C4:C9)</f>
        <v>0</v>
      </c>
      <c r="D10" s="7" t="n">
        <f aca="false">SUM(D4:D9)</f>
        <v>0</v>
      </c>
      <c r="E10" s="7" t="n">
        <f aca="false">SUM(E4:E9)</f>
        <v>117161.97</v>
      </c>
      <c r="F10" s="7" t="n">
        <f aca="false">SUM(F4:F9)</f>
        <v>-117161.97</v>
      </c>
      <c r="G10" s="7" t="n">
        <f aca="false">SUM(G4:G9)</f>
        <v>0</v>
      </c>
      <c r="H10" s="8" t="n">
        <f aca="false">IFERROR(E10/D10,0)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6" min="3" style="1" width="16"/>
  </cols>
  <sheetData>
    <row r="1" customFormat="false" ht="19.7" hidden="false" customHeight="false" outlineLevel="0" collapsed="false">
      <c r="A1" s="2" t="s">
        <v>256</v>
      </c>
    </row>
    <row r="3" customFormat="false" ht="15" hidden="false" customHeight="false" outlineLevel="0" collapsed="false">
      <c r="A3" s="29" t="s">
        <v>257</v>
      </c>
      <c r="B3" s="29" t="s">
        <v>258</v>
      </c>
      <c r="C3" s="29" t="s">
        <v>259</v>
      </c>
      <c r="D3" s="29" t="s">
        <v>239</v>
      </c>
      <c r="E3" s="29" t="s">
        <v>240</v>
      </c>
      <c r="F3" s="29" t="s">
        <v>242</v>
      </c>
    </row>
    <row r="4" customFormat="false" ht="15" hidden="false" customHeight="false" outlineLevel="0" collapsed="false">
      <c r="A4" s="30" t="s">
        <v>260</v>
      </c>
      <c r="B4" s="5" t="n">
        <v>1</v>
      </c>
      <c r="C4" s="6" t="n">
        <v>0</v>
      </c>
      <c r="D4" s="6" t="n">
        <v>2134.5</v>
      </c>
      <c r="E4" s="10" t="n">
        <f aca="false">C4-D4</f>
        <v>-2134.5</v>
      </c>
      <c r="F4" s="31" t="n">
        <f aca="false">IFERROR(D4/C4,0)</f>
        <v>0</v>
      </c>
    </row>
    <row r="5" customFormat="false" ht="15" hidden="false" customHeight="false" outlineLevel="0" collapsed="false">
      <c r="A5" s="30" t="s">
        <v>261</v>
      </c>
      <c r="B5" s="5" t="n">
        <v>0</v>
      </c>
      <c r="C5" s="6" t="n">
        <v>0</v>
      </c>
      <c r="D5" s="6" t="n">
        <v>0</v>
      </c>
      <c r="E5" s="10" t="n">
        <f aca="false">C5-D5</f>
        <v>0</v>
      </c>
      <c r="F5" s="31" t="n">
        <f aca="false">IFERROR(D5/C5,0)</f>
        <v>0</v>
      </c>
    </row>
    <row r="6" customFormat="false" ht="15" hidden="false" customHeight="false" outlineLevel="0" collapsed="false">
      <c r="A6" s="30" t="s">
        <v>262</v>
      </c>
      <c r="B6" s="5" t="n">
        <v>3</v>
      </c>
      <c r="C6" s="6" t="n">
        <v>0</v>
      </c>
      <c r="D6" s="6" t="n">
        <v>113811.85</v>
      </c>
      <c r="E6" s="10" t="n">
        <f aca="false">C6-D6</f>
        <v>-113811.85</v>
      </c>
      <c r="F6" s="31" t="n">
        <f aca="false">IFERROR(D6/C6,0)</f>
        <v>0</v>
      </c>
    </row>
    <row r="7" customFormat="false" ht="15" hidden="false" customHeight="false" outlineLevel="0" collapsed="false">
      <c r="A7" s="30" t="s">
        <v>263</v>
      </c>
      <c r="B7" s="5" t="n">
        <v>2</v>
      </c>
      <c r="C7" s="6" t="n">
        <v>0</v>
      </c>
      <c r="D7" s="6" t="n">
        <v>1215.62</v>
      </c>
      <c r="E7" s="10" t="n">
        <f aca="false">C7-D7</f>
        <v>-1215.62</v>
      </c>
      <c r="F7" s="31" t="n">
        <f aca="false">IFERROR(D7/C7,0)</f>
        <v>0</v>
      </c>
    </row>
    <row r="8" customFormat="false" ht="15" hidden="false" customHeight="false" outlineLevel="0" collapsed="false">
      <c r="A8" s="30" t="s">
        <v>255</v>
      </c>
      <c r="B8" s="32" t="n">
        <f aca="false">SUM(B4:B7)</f>
        <v>6</v>
      </c>
      <c r="C8" s="7" t="n">
        <f aca="false">SUM(C4:C7)</f>
        <v>0</v>
      </c>
      <c r="D8" s="7" t="n">
        <f aca="false">SUM(D4:D7)</f>
        <v>117161.97</v>
      </c>
      <c r="E8" s="7" t="n">
        <f aca="false">SUM(E4:E7)</f>
        <v>-117161.97</v>
      </c>
      <c r="F8" s="8" t="n">
        <f aca="false">IFERROR(D8/C8,0)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5" min="3" style="1" width="14"/>
    <col collapsed="false" customWidth="true" hidden="false" outlineLevel="0" max="6" min="6" style="1" width="10"/>
    <col collapsed="false" customWidth="true" hidden="false" outlineLevel="0" max="7" min="7" style="1" width="14"/>
  </cols>
  <sheetData>
    <row r="1" customFormat="false" ht="19.7" hidden="false" customHeight="false" outlineLevel="0" collapsed="false">
      <c r="A1" s="2" t="s">
        <v>264</v>
      </c>
    </row>
    <row r="2" customFormat="false" ht="15" hidden="false" customHeight="false" outlineLevel="0" collapsed="false">
      <c r="A2" s="33" t="s">
        <v>265</v>
      </c>
    </row>
    <row r="4" customFormat="false" ht="15" hidden="false" customHeight="false" outlineLevel="0" collapsed="false">
      <c r="A4" s="29" t="s">
        <v>238</v>
      </c>
      <c r="B4" s="29" t="s">
        <v>225</v>
      </c>
      <c r="C4" s="29" t="s">
        <v>218</v>
      </c>
      <c r="D4" s="29" t="s">
        <v>239</v>
      </c>
      <c r="E4" s="29" t="s">
        <v>240</v>
      </c>
      <c r="F4" s="29" t="s">
        <v>266</v>
      </c>
      <c r="G4" s="29" t="s">
        <v>40</v>
      </c>
    </row>
    <row r="5" customFormat="false" ht="15" hidden="false" customHeight="false" outlineLevel="0" collapsed="false">
      <c r="A5" s="5" t="s">
        <v>243</v>
      </c>
      <c r="B5" s="5" t="s">
        <v>244</v>
      </c>
      <c r="C5" s="6" t="n">
        <v>0</v>
      </c>
      <c r="D5" s="6" t="n">
        <v>2134.5</v>
      </c>
      <c r="E5" s="10" t="n">
        <f aca="false">C5-D5</f>
        <v>-2134.5</v>
      </c>
      <c r="F5" s="31" t="n">
        <f aca="false">IFERROR((D5-C5)/C5,0)</f>
        <v>0</v>
      </c>
      <c r="G5" s="34" t="str">
        <f aca="false">IF(C5=0,"UNBUDGETED",IF(F5&gt;0.5,"CRITICAL",IF(F5&gt;0.1,"OVER",IF(F5&lt;-0.1,"UNDER","ON"))))</f>
        <v>UNBUDGETED</v>
      </c>
    </row>
    <row r="6" customFormat="false" ht="15" hidden="false" customHeight="false" outlineLevel="0" collapsed="false">
      <c r="A6" s="5" t="s">
        <v>245</v>
      </c>
      <c r="B6" s="5" t="s">
        <v>246</v>
      </c>
      <c r="C6" s="6" t="n">
        <v>0</v>
      </c>
      <c r="D6" s="6" t="n">
        <v>106487.5</v>
      </c>
      <c r="E6" s="10" t="n">
        <f aca="false">C6-D6</f>
        <v>-106487.5</v>
      </c>
      <c r="F6" s="31" t="n">
        <f aca="false">IFERROR((D6-C6)/C6,0)</f>
        <v>0</v>
      </c>
      <c r="G6" s="34" t="str">
        <f aca="false">IF(C6=0,"UNBUDGETED",IF(F6&gt;0.5,"CRITICAL",IF(F6&gt;0.1,"OVER",IF(F6&lt;-0.1,"UNDER","ON"))))</f>
        <v>UNBUDGETED</v>
      </c>
    </row>
    <row r="7" customFormat="false" ht="15" hidden="false" customHeight="false" outlineLevel="0" collapsed="false">
      <c r="A7" s="5" t="s">
        <v>247</v>
      </c>
      <c r="B7" s="5" t="s">
        <v>248</v>
      </c>
      <c r="C7" s="6" t="n">
        <v>0</v>
      </c>
      <c r="D7" s="6" t="n">
        <v>922.35</v>
      </c>
      <c r="E7" s="10" t="n">
        <f aca="false">C7-D7</f>
        <v>-922.35</v>
      </c>
      <c r="F7" s="31" t="n">
        <f aca="false">IFERROR((D7-C7)/C7,0)</f>
        <v>0</v>
      </c>
      <c r="G7" s="34" t="str">
        <f aca="false">IF(C7=0,"UNBUDGETED",IF(F7&gt;0.5,"CRITICAL",IF(F7&gt;0.1,"OVER",IF(F7&lt;-0.1,"UNDER","ON"))))</f>
        <v>UNBUDGETED</v>
      </c>
    </row>
    <row r="8" customFormat="false" ht="15" hidden="false" customHeight="false" outlineLevel="0" collapsed="false">
      <c r="A8" s="5" t="s">
        <v>249</v>
      </c>
      <c r="B8" s="5" t="s">
        <v>250</v>
      </c>
      <c r="C8" s="6" t="n">
        <v>0</v>
      </c>
      <c r="D8" s="6" t="n">
        <v>6402</v>
      </c>
      <c r="E8" s="10" t="n">
        <f aca="false">C8-D8</f>
        <v>-6402</v>
      </c>
      <c r="F8" s="31" t="n">
        <f aca="false">IFERROR((D8-C8)/C8,0)</f>
        <v>0</v>
      </c>
      <c r="G8" s="34" t="str">
        <f aca="false">IF(C8=0,"UNBUDGETED",IF(F8&gt;0.5,"CRITICAL",IF(F8&gt;0.1,"OVER",IF(F8&lt;-0.1,"UNDER","ON"))))</f>
        <v>UNBUDGETED</v>
      </c>
    </row>
    <row r="9" customFormat="false" ht="15" hidden="false" customHeight="false" outlineLevel="0" collapsed="false">
      <c r="A9" s="5" t="s">
        <v>251</v>
      </c>
      <c r="B9" s="5" t="s">
        <v>252</v>
      </c>
      <c r="C9" s="6" t="n">
        <v>0</v>
      </c>
      <c r="D9" s="6" t="n">
        <v>1052.32</v>
      </c>
      <c r="E9" s="10" t="n">
        <f aca="false">C9-D9</f>
        <v>-1052.32</v>
      </c>
      <c r="F9" s="31" t="n">
        <f aca="false">IFERROR((D9-C9)/C9,0)</f>
        <v>0</v>
      </c>
      <c r="G9" s="34" t="str">
        <f aca="false">IF(C9=0,"UNBUDGETED",IF(F9&gt;0.5,"CRITICAL",IF(F9&gt;0.1,"OVER",IF(F9&lt;-0.1,"UNDER","ON"))))</f>
        <v>UNBUDGETED</v>
      </c>
    </row>
    <row r="10" customFormat="false" ht="15" hidden="false" customHeight="false" outlineLevel="0" collapsed="false">
      <c r="A10" s="5" t="s">
        <v>253</v>
      </c>
      <c r="B10" s="5" t="s">
        <v>254</v>
      </c>
      <c r="C10" s="6" t="n">
        <v>0</v>
      </c>
      <c r="D10" s="6" t="n">
        <v>163.3</v>
      </c>
      <c r="E10" s="10" t="n">
        <f aca="false">C10-D10</f>
        <v>-163.3</v>
      </c>
      <c r="F10" s="31" t="n">
        <f aca="false">IFERROR((D10-C10)/C10,0)</f>
        <v>0</v>
      </c>
      <c r="G10" s="34" t="str">
        <f aca="false">IF(C10=0,"UNBUDGETED",IF(F10&gt;0.5,"CRITICAL",IF(F10&gt;0.1,"OVER",IF(F10&lt;-0.1,"UNDER","ON"))))</f>
        <v>UNBUDGETED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4"/>
  </cols>
  <sheetData>
    <row r="1" customFormat="false" ht="19.7" hidden="false" customHeight="false" outlineLevel="0" collapsed="false">
      <c r="A1" s="2" t="s">
        <v>267</v>
      </c>
    </row>
    <row r="3" customFormat="false" ht="15" hidden="false" customHeight="false" outlineLevel="0" collapsed="false">
      <c r="A3" s="29" t="s">
        <v>268</v>
      </c>
      <c r="B3" s="29" t="s">
        <v>269</v>
      </c>
      <c r="C3" s="29" t="s">
        <v>270</v>
      </c>
      <c r="D3" s="29" t="s">
        <v>271</v>
      </c>
    </row>
    <row r="4" customFormat="false" ht="15" hidden="false" customHeight="false" outlineLevel="0" collapsed="false">
      <c r="A4" s="5" t="s">
        <v>272</v>
      </c>
      <c r="B4" s="6" t="n">
        <v>90628.75</v>
      </c>
      <c r="C4" s="5" t="n">
        <v>9</v>
      </c>
      <c r="D4" s="31" t="n">
        <f aca="false">IFERROR(B4/SUM(B$4:B$6),0)</f>
        <v>0.925225949969935</v>
      </c>
    </row>
    <row r="5" customFormat="false" ht="15" hidden="false" customHeight="false" outlineLevel="0" collapsed="false">
      <c r="A5" s="5" t="s">
        <v>273</v>
      </c>
      <c r="B5" s="6" t="n">
        <v>6402</v>
      </c>
      <c r="C5" s="5" t="n">
        <v>2</v>
      </c>
      <c r="D5" s="31" t="n">
        <f aca="false">IFERROR(B5/SUM(B$4:B$6),0)</f>
        <v>0.0653578089922626</v>
      </c>
    </row>
    <row r="6" customFormat="false" ht="15" hidden="false" customHeight="false" outlineLevel="0" collapsed="false">
      <c r="A6" s="5" t="s">
        <v>274</v>
      </c>
      <c r="B6" s="6" t="n">
        <v>922.35</v>
      </c>
      <c r="C6" s="5" t="n">
        <v>1</v>
      </c>
      <c r="D6" s="31" t="n">
        <f aca="false">IFERROR(B6/SUM(B$4:B$6),0)</f>
        <v>0.00941624103780279</v>
      </c>
    </row>
    <row r="7" customFormat="false" ht="15" hidden="false" customHeight="false" outlineLevel="0" collapsed="false">
      <c r="A7" s="30" t="s">
        <v>275</v>
      </c>
      <c r="B7" s="7" t="n">
        <f aca="false">SUM(B4:B6)</f>
        <v>97953.1</v>
      </c>
      <c r="C7" s="35" t="n">
        <f aca="false">SUM(C4:C6)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5" min="4" style="1" width="12"/>
  </cols>
  <sheetData>
    <row r="1" customFormat="false" ht="19.7" hidden="false" customHeight="false" outlineLevel="0" collapsed="false">
      <c r="A1" s="2" t="s">
        <v>276</v>
      </c>
    </row>
    <row r="3" customFormat="false" ht="15" hidden="false" customHeight="false" outlineLevel="0" collapsed="false">
      <c r="A3" s="29" t="s">
        <v>277</v>
      </c>
      <c r="B3" s="29" t="s">
        <v>278</v>
      </c>
      <c r="C3" s="29" t="s">
        <v>279</v>
      </c>
      <c r="D3" s="29" t="s">
        <v>280</v>
      </c>
      <c r="E3" s="29" t="s">
        <v>281</v>
      </c>
    </row>
    <row r="4" customFormat="false" ht="15" hidden="false" customHeight="false" outlineLevel="0" collapsed="false">
      <c r="A4" s="5" t="s">
        <v>282</v>
      </c>
      <c r="B4" s="36" t="n">
        <v>20.5</v>
      </c>
      <c r="C4" s="6" t="n">
        <v>1414</v>
      </c>
      <c r="D4" s="37" t="n">
        <f aca="false">IFERROR(C4/B4,0)</f>
        <v>68.9756097560976</v>
      </c>
      <c r="E4" s="5" t="s">
        <v>283</v>
      </c>
    </row>
    <row r="5" customFormat="false" ht="15" hidden="false" customHeight="false" outlineLevel="0" collapsed="false">
      <c r="A5" s="5" t="s">
        <v>284</v>
      </c>
      <c r="B5" s="36" t="n">
        <v>12</v>
      </c>
      <c r="C5" s="6" t="n">
        <v>720</v>
      </c>
      <c r="D5" s="37" t="n">
        <f aca="false">IFERROR(C5/B5,0)</f>
        <v>60</v>
      </c>
      <c r="E5" s="5" t="s">
        <v>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5" min="4" style="1" width="14"/>
  </cols>
  <sheetData>
    <row r="1" customFormat="false" ht="19.7" hidden="false" customHeight="false" outlineLevel="0" collapsed="false">
      <c r="A1" s="2" t="s">
        <v>285</v>
      </c>
    </row>
    <row r="3" customFormat="false" ht="15" hidden="false" customHeight="false" outlineLevel="0" collapsed="false">
      <c r="A3" s="29" t="s">
        <v>281</v>
      </c>
      <c r="B3" s="29" t="s">
        <v>286</v>
      </c>
      <c r="C3" s="29" t="s">
        <v>278</v>
      </c>
      <c r="D3" s="29" t="s">
        <v>279</v>
      </c>
      <c r="E3" s="29" t="s">
        <v>287</v>
      </c>
    </row>
    <row r="4" customFormat="false" ht="15" hidden="false" customHeight="false" outlineLevel="0" collapsed="false">
      <c r="A4" s="30" t="s">
        <v>283</v>
      </c>
      <c r="B4" s="5" t="n">
        <v>2</v>
      </c>
      <c r="C4" s="36" t="n">
        <v>32.5</v>
      </c>
      <c r="D4" s="6" t="n">
        <v>2134</v>
      </c>
      <c r="E4" s="31" t="n">
        <f aca="false">IFERROR(C4/SUM(C$4:C$7),0)</f>
        <v>1</v>
      </c>
    </row>
    <row r="5" customFormat="false" ht="15" hidden="false" customHeight="false" outlineLevel="0" collapsed="false">
      <c r="A5" s="30" t="s">
        <v>288</v>
      </c>
      <c r="B5" s="5" t="n">
        <v>0</v>
      </c>
      <c r="C5" s="36" t="n">
        <v>0</v>
      </c>
      <c r="D5" s="6" t="n">
        <v>0</v>
      </c>
      <c r="E5" s="31" t="n">
        <f aca="false">IFERROR(C5/SUM(C$4:C$7),0)</f>
        <v>0</v>
      </c>
    </row>
    <row r="6" customFormat="false" ht="15" hidden="false" customHeight="false" outlineLevel="0" collapsed="false">
      <c r="A6" s="30" t="s">
        <v>289</v>
      </c>
      <c r="B6" s="5" t="n">
        <v>0</v>
      </c>
      <c r="C6" s="36" t="n">
        <v>0</v>
      </c>
      <c r="D6" s="6" t="n">
        <v>0</v>
      </c>
      <c r="E6" s="31" t="n">
        <f aca="false">IFERROR(C6/SUM(C$4:C$7),0)</f>
        <v>0</v>
      </c>
    </row>
    <row r="7" customFormat="false" ht="15" hidden="false" customHeight="false" outlineLevel="0" collapsed="false">
      <c r="A7" s="30" t="s">
        <v>290</v>
      </c>
      <c r="B7" s="5" t="n">
        <v>0</v>
      </c>
      <c r="C7" s="36" t="n">
        <v>0</v>
      </c>
      <c r="D7" s="6" t="n">
        <v>0</v>
      </c>
      <c r="E7" s="31" t="n">
        <f aca="false">IFERROR(C7/SUM(C$4:C$7),0)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</cols>
  <sheetData>
    <row r="1" customFormat="false" ht="19.7" hidden="false" customHeight="false" outlineLevel="0" collapsed="false">
      <c r="A1" s="2" t="s">
        <v>291</v>
      </c>
    </row>
    <row r="3" customFormat="false" ht="15" hidden="false" customHeight="false" outlineLevel="0" collapsed="false">
      <c r="A3" s="5" t="s">
        <v>292</v>
      </c>
      <c r="B3" s="36" t="n">
        <v>32</v>
      </c>
    </row>
    <row r="4" customFormat="false" ht="15" hidden="false" customHeight="false" outlineLevel="0" collapsed="false">
      <c r="A4" s="5" t="s">
        <v>293</v>
      </c>
      <c r="B4" s="38" t="n">
        <v>2</v>
      </c>
    </row>
    <row r="5" customFormat="false" ht="15" hidden="false" customHeight="false" outlineLevel="0" collapsed="false">
      <c r="A5" s="5" t="s">
        <v>294</v>
      </c>
      <c r="B5" s="36" t="n">
        <v>0.1</v>
      </c>
    </row>
    <row r="6" customFormat="false" ht="15" hidden="false" customHeight="false" outlineLevel="0" collapsed="false">
      <c r="A6" s="5" t="s">
        <v>295</v>
      </c>
      <c r="B6" s="39" t="n">
        <v>2812.37</v>
      </c>
    </row>
    <row r="7" customFormat="false" ht="15" hidden="false" customHeight="false" outlineLevel="0" collapsed="false">
      <c r="A7" s="5" t="s">
        <v>12</v>
      </c>
      <c r="B7" s="4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4"/>
  </cols>
  <sheetData>
    <row r="1" customFormat="false" ht="19.7" hidden="false" customHeight="false" outlineLevel="0" collapsed="false">
      <c r="A1" s="2" t="s">
        <v>296</v>
      </c>
    </row>
    <row r="3" customFormat="false" ht="15" hidden="false" customHeight="false" outlineLevel="0" collapsed="false">
      <c r="A3" s="29" t="s">
        <v>297</v>
      </c>
      <c r="B3" s="29" t="s">
        <v>298</v>
      </c>
      <c r="C3" s="29" t="s">
        <v>299</v>
      </c>
      <c r="D3" s="29" t="s">
        <v>219</v>
      </c>
    </row>
    <row r="4" customFormat="false" ht="15" hidden="false" customHeight="false" outlineLevel="0" collapsed="false">
      <c r="A4" s="5" t="s">
        <v>300</v>
      </c>
      <c r="B4" s="40" t="n">
        <v>0</v>
      </c>
      <c r="C4" s="40" t="n">
        <v>0.34</v>
      </c>
      <c r="D4" s="31" t="n">
        <f aca="false">B4-C4</f>
        <v>-0.34</v>
      </c>
    </row>
    <row r="5" customFormat="false" ht="15" hidden="false" customHeight="false" outlineLevel="0" collapsed="false">
      <c r="A5" s="5" t="s">
        <v>301</v>
      </c>
      <c r="B5" s="40" t="n">
        <v>0</v>
      </c>
      <c r="C5" s="40" t="n">
        <v>0.45</v>
      </c>
      <c r="D5" s="31" t="n">
        <f aca="false">B5-C5</f>
        <v>-0.45</v>
      </c>
    </row>
    <row r="6" customFormat="false" ht="15" hidden="false" customHeight="false" outlineLevel="0" collapsed="false">
      <c r="A6" s="5" t="s">
        <v>302</v>
      </c>
      <c r="B6" s="40" t="n">
        <v>0.925225949969935</v>
      </c>
      <c r="C6" s="40" t="n">
        <v>0.38</v>
      </c>
      <c r="D6" s="31" t="n">
        <f aca="false">B6-C6</f>
        <v>0.545225949969935</v>
      </c>
    </row>
    <row r="7" customFormat="false" ht="15" hidden="false" customHeight="false" outlineLevel="0" collapsed="false">
      <c r="A7" s="5" t="s">
        <v>303</v>
      </c>
      <c r="B7" s="36" t="n">
        <v>0.123574144486692</v>
      </c>
      <c r="C7" s="36" t="n">
        <v>95</v>
      </c>
      <c r="D7" s="41" t="n">
        <f aca="false">B7-C7</f>
        <v>-94.8764258555133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44"/>
  </cols>
  <sheetData>
    <row r="1" customFormat="false" ht="19.7" hidden="false" customHeight="false" outlineLevel="0" collapsed="false">
      <c r="A1" s="2" t="s">
        <v>304</v>
      </c>
    </row>
    <row r="3" customFormat="false" ht="15" hidden="false" customHeight="false" outlineLevel="0" collapsed="false">
      <c r="A3" s="29" t="s">
        <v>305</v>
      </c>
      <c r="B3" s="29" t="s">
        <v>40</v>
      </c>
      <c r="C3" s="29" t="s">
        <v>174</v>
      </c>
    </row>
    <row r="4" customFormat="false" ht="15" hidden="false" customHeight="false" outlineLevel="0" collapsed="false">
      <c r="A4" s="5" t="s">
        <v>306</v>
      </c>
      <c r="B4" s="42" t="s">
        <v>307</v>
      </c>
      <c r="C4" s="5" t="s">
        <v>308</v>
      </c>
    </row>
    <row r="5" customFormat="false" ht="15" hidden="false" customHeight="false" outlineLevel="0" collapsed="false">
      <c r="A5" s="5" t="s">
        <v>309</v>
      </c>
      <c r="B5" s="42" t="s">
        <v>307</v>
      </c>
      <c r="C5" s="5" t="s">
        <v>310</v>
      </c>
    </row>
    <row r="6" customFormat="false" ht="15" hidden="false" customHeight="false" outlineLevel="0" collapsed="false">
      <c r="A6" s="5" t="s">
        <v>311</v>
      </c>
      <c r="B6" s="43" t="s">
        <v>312</v>
      </c>
      <c r="C6" s="5" t="s">
        <v>313</v>
      </c>
    </row>
    <row r="7" customFormat="false" ht="15" hidden="false" customHeight="false" outlineLevel="0" collapsed="false">
      <c r="A7" s="5" t="s">
        <v>6</v>
      </c>
      <c r="B7" s="42" t="s">
        <v>307</v>
      </c>
      <c r="C7" s="5" t="s">
        <v>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8"/>
  </cols>
  <sheetData>
    <row r="1" customFormat="false" ht="19.7" hidden="false" customHeight="false" outlineLevel="0" collapsed="false">
      <c r="A1" s="2" t="s">
        <v>315</v>
      </c>
    </row>
    <row r="3" customFormat="false" ht="15" hidden="false" customHeight="false" outlineLevel="0" collapsed="false">
      <c r="A3" s="29" t="s">
        <v>14</v>
      </c>
      <c r="B3" s="29" t="s">
        <v>316</v>
      </c>
      <c r="C3" s="29" t="s">
        <v>317</v>
      </c>
      <c r="D3" s="29" t="s">
        <v>219</v>
      </c>
    </row>
    <row r="4" customFormat="false" ht="15" hidden="false" customHeight="false" outlineLevel="0" collapsed="false">
      <c r="A4" s="5" t="s">
        <v>318</v>
      </c>
      <c r="B4" s="6" t="n">
        <v>117161.97</v>
      </c>
      <c r="C4" s="6" t="n">
        <v>117161.97</v>
      </c>
      <c r="D4" s="10" t="n">
        <f aca="false">IF(ISNUMBER(B4),B4-C4,"—")</f>
        <v>0</v>
      </c>
    </row>
    <row r="5" customFormat="false" ht="15" hidden="false" customHeight="false" outlineLevel="0" collapsed="false">
      <c r="A5" s="5" t="s">
        <v>319</v>
      </c>
      <c r="B5" s="6" t="n">
        <v>-91402</v>
      </c>
      <c r="C5" s="6" t="n">
        <v>91402</v>
      </c>
      <c r="D5" s="10" t="n">
        <f aca="false">IF(ISNUMBER(B5),B5-C5,"—")</f>
        <v>-182804</v>
      </c>
    </row>
    <row r="6" customFormat="false" ht="15" hidden="false" customHeight="false" outlineLevel="0" collapsed="false">
      <c r="A6" s="5" t="s">
        <v>320</v>
      </c>
      <c r="C6" s="6" t="n">
        <v>97953.1</v>
      </c>
      <c r="D6" s="10" t="str">
        <f aca="false">IF(ISNUMBER(B6),B6-C6,"—")</f>
        <v>—</v>
      </c>
    </row>
    <row r="7" customFormat="false" ht="15" hidden="false" customHeight="false" outlineLevel="0" collapsed="false">
      <c r="A7" s="5" t="s">
        <v>321</v>
      </c>
      <c r="C7" s="6" t="n">
        <v>3350.12</v>
      </c>
      <c r="D7" s="10" t="str">
        <f aca="false">IF(ISNUMBER(B7),B7-C7,"—")</f>
        <v>—</v>
      </c>
    </row>
    <row r="8" customFormat="false" ht="15" hidden="false" customHeight="false" outlineLevel="0" collapsed="false">
      <c r="A8" s="5" t="s">
        <v>322</v>
      </c>
      <c r="C8" s="6" t="n">
        <v>15858.75</v>
      </c>
      <c r="D8" s="10" t="str">
        <f aca="false">IF(ISNUMBER(B8),B8-C8,"—")</f>
        <v>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0"/>
  </cols>
  <sheetData>
    <row r="1" customFormat="false" ht="19.7" hidden="false" customHeight="false" outlineLevel="0" collapsed="false">
      <c r="A1" s="2" t="s">
        <v>323</v>
      </c>
    </row>
    <row r="3" customFormat="false" ht="15" hidden="false" customHeight="false" outlineLevel="0" collapsed="false">
      <c r="A3" s="29" t="s">
        <v>297</v>
      </c>
      <c r="B3" s="29" t="s">
        <v>324</v>
      </c>
      <c r="C3" s="29" t="s">
        <v>325</v>
      </c>
    </row>
    <row r="4" customFormat="false" ht="15" hidden="false" customHeight="false" outlineLevel="0" collapsed="false">
      <c r="A4" s="44" t="s">
        <v>300</v>
      </c>
      <c r="B4" s="44" t="s">
        <v>326</v>
      </c>
      <c r="C4" s="44" t="s">
        <v>327</v>
      </c>
    </row>
    <row r="5" customFormat="false" ht="15" hidden="false" customHeight="false" outlineLevel="0" collapsed="false">
      <c r="A5" s="44" t="s">
        <v>12</v>
      </c>
      <c r="B5" s="44" t="s">
        <v>326</v>
      </c>
      <c r="C5" s="44" t="s">
        <v>328</v>
      </c>
    </row>
    <row r="6" customFormat="false" ht="15" hidden="false" customHeight="false" outlineLevel="0" collapsed="false">
      <c r="A6" s="44" t="s">
        <v>329</v>
      </c>
      <c r="B6" s="44" t="s">
        <v>330</v>
      </c>
      <c r="C6" s="44" t="s">
        <v>331</v>
      </c>
    </row>
    <row r="7" customFormat="false" ht="15" hidden="false" customHeight="false" outlineLevel="0" collapsed="false">
      <c r="A7" s="44" t="s">
        <v>302</v>
      </c>
      <c r="B7" s="44" t="s">
        <v>332</v>
      </c>
      <c r="C7" s="44" t="s">
        <v>333</v>
      </c>
    </row>
    <row r="8" customFormat="false" ht="15" hidden="false" customHeight="false" outlineLevel="0" collapsed="false">
      <c r="A8" s="44" t="s">
        <v>303</v>
      </c>
      <c r="B8" s="44" t="s">
        <v>334</v>
      </c>
      <c r="C8" s="44" t="s">
        <v>335</v>
      </c>
    </row>
    <row r="9" customFormat="false" ht="23.85" hidden="false" customHeight="false" outlineLevel="0" collapsed="false">
      <c r="A9" s="44" t="s">
        <v>336</v>
      </c>
      <c r="B9" s="44" t="s">
        <v>337</v>
      </c>
      <c r="C9" s="44" t="s">
        <v>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4"/>
    <col collapsed="false" customWidth="true" hidden="false" outlineLevel="0" max="3" min="3" style="1" width="50"/>
  </cols>
  <sheetData>
    <row r="1" customFormat="false" ht="19.7" hidden="false" customHeight="false" outlineLevel="0" collapsed="false">
      <c r="A1" s="2" t="s">
        <v>339</v>
      </c>
    </row>
    <row r="3" customFormat="false" ht="15" hidden="false" customHeight="false" outlineLevel="0" collapsed="false">
      <c r="A3" s="29" t="s">
        <v>340</v>
      </c>
      <c r="B3" s="29" t="s">
        <v>341</v>
      </c>
      <c r="C3" s="29" t="s">
        <v>137</v>
      </c>
    </row>
    <row r="4" customFormat="false" ht="15" hidden="false" customHeight="false" outlineLevel="0" collapsed="false">
      <c r="A4" s="5" t="s">
        <v>342</v>
      </c>
      <c r="B4" s="5" t="s">
        <v>343</v>
      </c>
      <c r="C4" s="5" t="s">
        <v>344</v>
      </c>
    </row>
    <row r="5" customFormat="false" ht="180.55" hidden="false" customHeight="false" outlineLevel="0" collapsed="false">
      <c r="A5" s="45" t="s">
        <v>345</v>
      </c>
      <c r="B5" s="46" t="s">
        <v>346</v>
      </c>
      <c r="C5" s="47" t="s">
        <v>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2026-04-28T00:46:37Z</dcterms:created>
  <dc:creator>openpyxl</dc:creator>
  <dc:description/>
  <dc:language>en-US</dc:language>
  <cp:lastModifiedBy/>
  <dcterms:modified xsi:type="dcterms:W3CDTF">2026-04-28T00:46:38Z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