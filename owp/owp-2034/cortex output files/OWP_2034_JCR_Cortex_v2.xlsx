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9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2" ht="28" customHeight="1">
      <c r="B2" s="1" t="inlineStr">
        <is>
          <t>Job #2034 · Compass Park Lane Apts</t>
        </is>
      </c>
    </row>
    <row r="3">
      <c r="B3" s="2" t="inlineStr">
        <is>
          <t>Cortex JCR v2  •  Compass Harbor Construction, LLC (customer 2034CH)  •  207 Park Lane, Kirkland, WA 98033  •  Owner: Kirkland Main Street LP (Developer: Compass)</t>
        </is>
      </c>
    </row>
    <row r="5">
      <c r="B5" s="3" t="inlineStr">
        <is>
          <t>PROJECT OVERVIEW</t>
        </is>
      </c>
    </row>
    <row r="6">
      <c r="B6" s="4" t="inlineStr">
        <is>
          <t>Project Job #</t>
        </is>
      </c>
      <c r="C6" s="5" t="inlineStr">
        <is>
          <t>2034</t>
        </is>
      </c>
      <c r="D6" s="6" t="n"/>
      <c r="E6" s="7" t="n"/>
      <c r="F6" s="8" t="inlineStr">
        <is>
          <t>2034 Job Detail Report.pdf (Sage Timberline, 04/03/2026, 207 pages) header</t>
        </is>
      </c>
      <c r="G6" s="6" t="n"/>
      <c r="H6" s="6" t="n"/>
      <c r="I6" s="6" t="n"/>
      <c r="J6" s="7" t="n"/>
    </row>
    <row r="7">
      <c r="B7" s="4" t="inlineStr">
        <is>
          <t>Project Name (Sage)</t>
        </is>
      </c>
      <c r="C7" s="5" t="inlineStr">
        <is>
          <t>Compass Park Lane Apts</t>
        </is>
      </c>
      <c r="D7" s="6" t="n"/>
      <c r="E7" s="7" t="n"/>
      <c r="F7" s="8" t="inlineStr">
        <is>
          <t>2034 Job Detail Report.pdf (Sage Timberline, 04/03/2026, 207 pages) header</t>
        </is>
      </c>
      <c r="G7" s="6" t="n"/>
      <c r="H7" s="6" t="n"/>
      <c r="I7" s="6" t="n"/>
      <c r="J7" s="7" t="n"/>
    </row>
    <row r="8">
      <c r="B8" s="4" t="inlineStr">
        <is>
          <t>Project Description</t>
        </is>
      </c>
      <c r="C8" s="5" t="inlineStr">
        <is>
          <t>Park Lane — 128-unit mixed-use multifamily plumbing, Kirkland WA</t>
        </is>
      </c>
      <c r="D8" s="6" t="n"/>
      <c r="E8" s="7" t="n"/>
      <c r="F8" s="8" t="inlineStr">
        <is>
          <t>Park Lane - PSA - Oneway - Fully Executed.pdf + Job Info sheet</t>
        </is>
      </c>
      <c r="G8" s="6" t="n"/>
      <c r="H8" s="6" t="n"/>
      <c r="I8" s="6" t="n"/>
      <c r="J8" s="7" t="n"/>
    </row>
    <row r="9">
      <c r="B9" s="4" t="inlineStr">
        <is>
          <t>General Contractor</t>
        </is>
      </c>
      <c r="C9" s="5" t="inlineStr">
        <is>
          <t>Compass Harbor Construction, LLC</t>
        </is>
      </c>
      <c r="D9" s="6" t="n"/>
      <c r="E9" s="7" t="n"/>
      <c r="F9" s="8" t="inlineStr">
        <is>
          <t>Park Lane - PSA - Oneway - Fully Executed.pdf</t>
        </is>
      </c>
      <c r="G9" s="6" t="n"/>
      <c r="H9" s="6" t="n"/>
      <c r="I9" s="6" t="n"/>
      <c r="J9" s="7" t="n"/>
    </row>
    <row r="10">
      <c r="B10" s="4" t="inlineStr">
        <is>
          <t>Customer Code (Sage)</t>
        </is>
      </c>
      <c r="C10" s="5" t="inlineStr">
        <is>
          <t>2034CH</t>
        </is>
      </c>
      <c r="D10" s="6" t="n"/>
      <c r="E10" s="7" t="n"/>
      <c r="F10" s="8" t="inlineStr">
        <is>
          <t>2034 Job Detail Report.pdf (Sage Timberline, 04/03/2026, 207 pages)</t>
        </is>
      </c>
      <c r="G10" s="6" t="n"/>
      <c r="H10" s="6" t="n"/>
      <c r="I10" s="6" t="n"/>
      <c r="J10" s="7" t="n"/>
    </row>
    <row r="11">
      <c r="B11" s="4" t="inlineStr">
        <is>
          <t>Owner / Developer</t>
        </is>
      </c>
      <c r="C11" s="5" t="inlineStr">
        <is>
          <t>Kirkland Main Street LP (Developer: Compass)</t>
        </is>
      </c>
      <c r="D11" s="6" t="n"/>
      <c r="E11" s="7" t="n"/>
      <c r="F11" s="8" t="inlineStr">
        <is>
          <t>Park Lane - PSA - Oneway - Fully Executed.pdf + Job Info</t>
        </is>
      </c>
      <c r="G11" s="6" t="n"/>
      <c r="H11" s="6" t="n"/>
      <c r="I11" s="6" t="n"/>
      <c r="J11" s="7" t="n"/>
    </row>
    <row r="12">
      <c r="B12" s="4" t="inlineStr">
        <is>
          <t>GC PM</t>
        </is>
      </c>
      <c r="C12" s="5" t="inlineStr">
        <is>
          <t>Compass Harbor PM (TBD)</t>
        </is>
      </c>
      <c r="D12" s="6" t="n"/>
      <c r="E12" s="7" t="n"/>
      <c r="F12" s="8" t="inlineStr">
        <is>
          <t>Job Info sheet</t>
        </is>
      </c>
      <c r="G12" s="6" t="n"/>
      <c r="H12" s="6" t="n"/>
      <c r="I12" s="6" t="n"/>
      <c r="J12" s="7" t="n"/>
    </row>
    <row r="13">
      <c r="B13" s="4" t="inlineStr">
        <is>
          <t>GC Superintendent</t>
        </is>
      </c>
      <c r="C13" s="5" t="inlineStr">
        <is>
          <t>Compass Harbor Sup (TBD)</t>
        </is>
      </c>
      <c r="D13" s="6" t="n"/>
      <c r="E13" s="7" t="n"/>
      <c r="F13" s="8" t="inlineStr">
        <is>
          <t>Job Info sheet</t>
        </is>
      </c>
      <c r="G13" s="6" t="n"/>
      <c r="H13" s="6" t="n"/>
      <c r="I13" s="6" t="n"/>
      <c r="J13" s="7" t="n"/>
    </row>
    <row r="14">
      <c r="B14" s="4" t="inlineStr">
        <is>
          <t>GC PE</t>
        </is>
      </c>
      <c r="C14" s="5" t="inlineStr">
        <is>
          <t>Compass Harbor PE (TBD)</t>
        </is>
      </c>
      <c r="D14" s="6" t="n"/>
      <c r="E14" s="7" t="n"/>
      <c r="F14" s="8" t="inlineStr">
        <is>
          <t>Job Info sheet</t>
        </is>
      </c>
      <c r="G14" s="6" t="n"/>
      <c r="H14" s="6" t="n"/>
      <c r="I14" s="6" t="n"/>
      <c r="J14" s="7" t="n"/>
    </row>
    <row r="15">
      <c r="B15" s="4" t="inlineStr">
        <is>
          <t>OWP Rough-in Foreman</t>
        </is>
      </c>
      <c r="C15" s="5" t="inlineStr">
        <is>
          <t>Thaddeus Waites</t>
        </is>
      </c>
      <c r="D15" s="6" t="n"/>
      <c r="E15" s="7" t="n"/>
      <c r="F15" s="8" t="inlineStr">
        <is>
          <t>Schedule tab</t>
        </is>
      </c>
      <c r="G15" s="6" t="n"/>
      <c r="H15" s="6" t="n"/>
      <c r="I15" s="6" t="n"/>
      <c r="J15" s="7" t="n"/>
    </row>
    <row r="16">
      <c r="B16" s="4" t="inlineStr">
        <is>
          <t>Jobsite Location</t>
        </is>
      </c>
      <c r="C16" s="5" t="inlineStr">
        <is>
          <t>207 Park Lane, Kirkland, WA 98033</t>
        </is>
      </c>
      <c r="D16" s="6" t="n"/>
      <c r="E16" s="7" t="n"/>
      <c r="F16" s="8" t="inlineStr">
        <is>
          <t>Park Lane - PSA - Oneway - Fully Executed.pdf</t>
        </is>
      </c>
      <c r="G16" s="6" t="n"/>
      <c r="H16" s="6" t="n"/>
      <c r="I16" s="6" t="n"/>
      <c r="J16" s="7" t="n"/>
    </row>
    <row r="17">
      <c r="B17" s="4" t="inlineStr">
        <is>
          <t>Contract / PO Document</t>
        </is>
      </c>
      <c r="C17" s="5" t="inlineStr">
        <is>
          <t>Park Lane - PSA - Oneway - Fully Executed.pdf</t>
        </is>
      </c>
      <c r="D17" s="6" t="n"/>
      <c r="E17" s="7" t="n"/>
      <c r="F17" s="8" t="inlineStr">
        <is>
          <t>Lump Sum subcontract (Fully Executed 9/26/2016)</t>
        </is>
      </c>
      <c r="G17" s="6" t="n"/>
      <c r="H17" s="6" t="n"/>
      <c r="I17" s="6" t="n"/>
      <c r="J17" s="7" t="n"/>
    </row>
    <row r="18">
      <c r="B18" s="4" t="inlineStr">
        <is>
          <t>Insurance</t>
        </is>
      </c>
      <c r="C18" s="5" t="inlineStr">
        <is>
          <t>Wrap (OCIP)</t>
        </is>
      </c>
      <c r="D18" s="6" t="n"/>
      <c r="E18" s="7" t="n"/>
      <c r="F18" s="8" t="inlineStr">
        <is>
          <t>OCIP Enrollment Form + Insurance folder</t>
        </is>
      </c>
      <c r="G18" s="6" t="n"/>
      <c r="H18" s="6" t="n"/>
      <c r="I18" s="6" t="n"/>
      <c r="J18" s="7" t="n"/>
    </row>
    <row r="19">
      <c r="B19" s="4" t="inlineStr">
        <is>
          <t>Plans / Specifications</t>
        </is>
      </c>
      <c r="C19" s="5" t="inlineStr">
        <is>
          <t>Park Lane plumbing narrative / Div 22 spec (Div 22 plumbing) + P-tag fixture schedule + OWP drawings</t>
        </is>
      </c>
      <c r="D19" s="6" t="n"/>
      <c r="E19" s="7" t="n"/>
      <c r="F19" s="8" t="inlineStr">
        <is>
          <t>Plans/ folder</t>
        </is>
      </c>
      <c r="G19" s="6" t="n"/>
      <c r="H19" s="6" t="n"/>
      <c r="I19" s="6" t="n"/>
      <c r="J19" s="7" t="n"/>
    </row>
    <row r="20">
      <c r="B20" s="4" t="inlineStr">
        <is>
          <t>Fixture Schedule</t>
        </is>
      </c>
      <c r="C20" s="5" t="inlineStr">
        <is>
          <t>Park Lane Submittal Table of Contents.xlsx (128-unit luxury multifamily)</t>
        </is>
      </c>
      <c r="D20" s="6" t="n"/>
      <c r="E20" s="7" t="n"/>
      <c r="F20" s="8" t="inlineStr">
        <is>
          <t>Plans folder</t>
        </is>
      </c>
      <c r="G20" s="6" t="n"/>
      <c r="H20" s="6" t="n"/>
      <c r="I20" s="6" t="n"/>
      <c r="J20" s="7" t="n"/>
    </row>
    <row r="21">
      <c r="B21" s="4" t="inlineStr">
        <is>
          <t>Contract Type</t>
        </is>
      </c>
      <c r="C21" s="5" t="inlineStr">
        <is>
          <t>Lump Sum</t>
        </is>
      </c>
      <c r="D21" s="6" t="n"/>
      <c r="E21" s="7" t="n"/>
      <c r="F21" s="8" t="inlineStr">
        <is>
          <t>Park Lane - PSA - Oneway - Fully Executed.pdf</t>
        </is>
      </c>
      <c r="G21" s="6" t="n"/>
      <c r="H21" s="6" t="n"/>
      <c r="I21" s="6" t="n"/>
      <c r="J21" s="7" t="n"/>
    </row>
    <row r="22">
      <c r="B22" s="4" t="inlineStr">
        <is>
          <t>Unit Count</t>
        </is>
      </c>
      <c r="C22" s="5" t="n">
        <v>128</v>
      </c>
      <c r="D22" s="6" t="n"/>
      <c r="E22" s="7" t="n"/>
      <c r="F22" s="8" t="inlineStr">
        <is>
          <t>Job Info sheet</t>
        </is>
      </c>
      <c r="G22" s="6" t="n"/>
      <c r="H22" s="6" t="n"/>
      <c r="I22" s="6" t="n"/>
      <c r="J22" s="7" t="n"/>
    </row>
    <row r="23">
      <c r="B23" s="4" t="inlineStr">
        <is>
          <t>Work Period</t>
        </is>
      </c>
      <c r="C23" s="5" t="inlineStr">
        <is>
          <t>Oct 2016 start → May 2018 last invoice (20 months)</t>
        </is>
      </c>
      <c r="D23" s="6" t="n"/>
      <c r="E23" s="7" t="n"/>
      <c r="F23" s="8" t="inlineStr">
        <is>
          <t>JDR PR/AR dates</t>
        </is>
      </c>
      <c r="G23" s="6" t="n"/>
      <c r="H23" s="6" t="n"/>
      <c r="I23" s="6" t="n"/>
      <c r="J23" s="7" t="n"/>
    </row>
    <row r="24">
      <c r="B24" s="4" t="inlineStr">
        <is>
          <t>Total Unique Documents Reviewed</t>
        </is>
      </c>
      <c r="C24" s="5" t="inlineStr">
        <is>
          <t>1000+ (231 POs, 503 photos, 59 ASI-RFIs, 33 CORs, 22 submittals, 10 permits)</t>
        </is>
      </c>
      <c r="D24" s="6" t="n"/>
      <c r="E24" s="7" t="n"/>
      <c r="F24" s="8" t="inlineStr">
        <is>
          <t>File inventory across owp-2034/ (2034-Compass, Park Lane)</t>
        </is>
      </c>
      <c r="G24" s="6" t="n"/>
      <c r="H24" s="6" t="n"/>
      <c r="I24" s="6" t="n"/>
      <c r="J24" s="7" t="n"/>
    </row>
    <row r="26">
      <c r="B26" s="3" t="inlineStr">
        <is>
          <t>CONTRACT VALUE</t>
        </is>
      </c>
      <c r="D26" s="3" t="inlineStr">
        <is>
          <t>NET PROFIT</t>
        </is>
      </c>
      <c r="F26" s="3" t="inlineStr">
        <is>
          <t>DIRECT COST</t>
        </is>
      </c>
      <c r="H26" s="3" t="inlineStr">
        <is>
          <t>LABOR HOURS</t>
        </is>
      </c>
    </row>
    <row r="27">
      <c r="B27" s="9" t="n">
        <v>1897650.9</v>
      </c>
      <c r="D27" s="9" t="n">
        <v>615702.6800000001</v>
      </c>
      <c r="F27" s="9" t="n">
        <v>1281948.22</v>
      </c>
      <c r="H27" s="10" t="n">
        <v>21637.75</v>
      </c>
    </row>
    <row r="28">
      <c r="B28" s="11" t="inlineStr">
        <is>
          <t>Original $1,839,000.00 + ($58,650.90) COs (3.19%)</t>
        </is>
      </c>
      <c r="D28" s="11" t="inlineStr">
        <is>
          <t>32.4% margin</t>
        </is>
      </c>
      <c r="F28" s="11" t="inlineStr">
        <is>
          <t>67.6% of revenue</t>
        </is>
      </c>
      <c r="H28" s="11" t="inlineStr">
        <is>
          <t>45 workers</t>
        </is>
      </c>
    </row>
    <row r="31">
      <c r="B31" s="3" t="inlineStr">
        <is>
          <t>SCOPE OF WORK (from contract + proposal)</t>
        </is>
      </c>
    </row>
    <row r="32">
      <c r="B32" s="5" t="inlineStr">
        <is>
          <t>Full plumbing installation: underground, garage, rough-in, finish, gas, water main, insulation, mechanical room, condensate drains.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>
      <c r="B33" s="5" t="inlineStr">
        <is>
          <t>128-unit luxury multifamily new construction (Park Lane LUX) at 207 Park Lane, Kirkland, WA 98033.</t>
        </is>
      </c>
      <c r="C33" s="6" t="n"/>
      <c r="D33" s="6" t="n"/>
      <c r="E33" s="6" t="n"/>
      <c r="F33" s="6" t="n"/>
      <c r="G33" s="6" t="n"/>
      <c r="H33" s="6" t="n"/>
      <c r="I33" s="6" t="n"/>
      <c r="J33" s="7" t="n"/>
    </row>
    <row r="34">
      <c r="B34" s="5" t="inlineStr">
        <is>
          <t>5 levels above ground + 1 level below grade (per Permits); large UG garage &amp; mechanical room; PSE transformer vault.</t>
        </is>
      </c>
      <c r="C34" s="6" t="n"/>
      <c r="D34" s="6" t="n"/>
      <c r="E34" s="6" t="n"/>
      <c r="F34" s="6" t="n"/>
      <c r="G34" s="6" t="n"/>
      <c r="H34" s="6" t="n"/>
      <c r="I34" s="6" t="n"/>
      <c r="J34" s="7" t="n"/>
    </row>
    <row r="35">
      <c r="B35" s="5" t="inlineStr">
        <is>
          <t>Notable scope: Grease interceptor, PSE oil containment drain, dog-run backflow, rooftop restrooms (deleted), dewatering meter.</t>
        </is>
      </c>
      <c r="C35" s="6" t="n"/>
      <c r="D35" s="6" t="n"/>
      <c r="E35" s="6" t="n"/>
      <c r="F35" s="6" t="n"/>
      <c r="G35" s="6" t="n"/>
      <c r="H35" s="6" t="n"/>
      <c r="I35" s="6" t="n"/>
      <c r="J35" s="7" t="n"/>
    </row>
    <row r="36">
      <c r="B36" s="5" t="inlineStr">
        <is>
          <t>OCIP insurance (wrap program); Compass Harbor as GC; Kirkland Main Street LP as owner.</t>
        </is>
      </c>
      <c r="C36" s="6" t="n"/>
      <c r="D36" s="6" t="n"/>
      <c r="E36" s="6" t="n"/>
      <c r="F36" s="6" t="n"/>
      <c r="G36" s="6" t="n"/>
      <c r="H36" s="6" t="n"/>
      <c r="I36" s="6" t="n"/>
      <c r="J36" s="7" t="n"/>
    </row>
    <row r="37">
      <c r="B37" s="5" t="inlineStr">
        <is>
          <t>Spec compliance: City of Kirkland plumbing code + UPC with WA amendments. Permits incl 16-144265-BO (building) and 17-106355-BL (plumbing).</t>
        </is>
      </c>
      <c r="C37" s="6" t="n"/>
      <c r="D37" s="6" t="n"/>
      <c r="E37" s="6" t="n"/>
      <c r="F37" s="6" t="n"/>
      <c r="G37" s="6" t="n"/>
      <c r="H37" s="6" t="n"/>
      <c r="I37" s="6" t="n"/>
      <c r="J37" s="7" t="n"/>
    </row>
    <row r="40">
      <c r="B40" s="12" t="inlineStr">
        <is>
          <t>SOURCES</t>
        </is>
      </c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</row>
    <row r="41">
      <c r="B41" s="8" t="inlineStr">
        <is>
          <t>Canonical financial source: 2034 Job Detail Report.pdf (Sage Timberline, 04/03/2026, 207 pages)</t>
        </is>
      </c>
      <c r="C41" s="6" t="n"/>
      <c r="D41" s="6" t="n"/>
      <c r="E41" s="6" t="n"/>
      <c r="F41" s="6" t="n"/>
      <c r="G41" s="6" t="n"/>
      <c r="H41" s="6" t="n"/>
      <c r="I41" s="6" t="n"/>
      <c r="J41" s="7" t="n"/>
    </row>
    <row r="42">
      <c r="B42" s="8" t="inlineStr">
        <is>
          <t>Job totals (JDR footer): Revenue $1,897,650.90 / Expenses $1,281,948.22 / Net $615,702.68 / Retainage $92,132.55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8" t="inlineStr">
        <is>
          <t>Source breakdown: GL $76,869.91 · AP $407,866.12 · PR $797,212.19 · AR $1,897,650.90</t>
        </is>
      </c>
      <c r="C43" s="6" t="n"/>
      <c r="D43" s="6" t="n"/>
      <c r="E43" s="6" t="n"/>
      <c r="F43" s="6" t="n"/>
      <c r="G43" s="6" t="n"/>
      <c r="H43" s="6" t="n"/>
      <c r="I43" s="6" t="n"/>
      <c r="J43" s="7" t="n"/>
    </row>
    <row r="44">
      <c r="B44" s="8" t="inlineStr">
        <is>
          <t>Contract: Park Lane - PSA - Oneway - Fully Executed.pdf (Lump Sum $1,839,000.00 additive to $1,897,650.90)</t>
        </is>
      </c>
      <c r="C44" s="6" t="n"/>
      <c r="D44" s="6" t="n"/>
      <c r="E44" s="6" t="n"/>
      <c r="F44" s="6" t="n"/>
      <c r="G44" s="6" t="n"/>
      <c r="H44" s="6" t="n"/>
      <c r="I44" s="6" t="n"/>
      <c r="J44" s="7" t="n"/>
    </row>
    <row r="45">
      <c r="B45" s="8" t="inlineStr">
        <is>
          <t>Fixture schedule: Park Lane Submittal Table of Contents.xlsx</t>
        </is>
      </c>
      <c r="C45" s="6" t="n"/>
      <c r="D45" s="6" t="n"/>
      <c r="E45" s="6" t="n"/>
      <c r="F45" s="6" t="n"/>
      <c r="G45" s="6" t="n"/>
      <c r="H45" s="6" t="n"/>
      <c r="I45" s="6" t="n"/>
      <c r="J45" s="7" t="n"/>
    </row>
    <row r="46">
      <c r="B46" s="8" t="inlineStr">
        <is>
          <t>Plumbing narrative: Park Lane plumbing narrative / Div 22 spec</t>
        </is>
      </c>
      <c r="C46" s="6" t="n"/>
      <c r="D46" s="6" t="n"/>
      <c r="E46" s="6" t="n"/>
      <c r="F46" s="6" t="n"/>
      <c r="G46" s="6" t="n"/>
      <c r="H46" s="6" t="n"/>
      <c r="I46" s="6" t="n"/>
      <c r="J46" s="7" t="n"/>
    </row>
    <row r="47">
      <c r="B47" s="8" t="inlineStr">
        <is>
          <t>Change Orders: 18 fully-executed COs in Change Orders/CO_s/ folder; 17 Budget Transfer spreadsheets document $58,650.90; JDR-implied net $58,650.90</t>
        </is>
      </c>
      <c r="C47" s="6" t="n"/>
      <c r="D47" s="6" t="n"/>
      <c r="E47" s="6" t="n"/>
      <c r="F47" s="6" t="n"/>
      <c r="G47" s="6" t="n"/>
      <c r="H47" s="6" t="n"/>
      <c r="I47" s="6" t="n"/>
      <c r="J47" s="7" t="n"/>
    </row>
    <row r="48">
      <c r="B48" s="8" t="inlineStr">
        <is>
          <t>COR source: Change Orders/COR_s/ (33 internal Change Order Requests with RFI links)</t>
        </is>
      </c>
      <c r="C48" s="6" t="n"/>
      <c r="D48" s="6" t="n"/>
      <c r="E48" s="6" t="n"/>
      <c r="F48" s="6" t="n"/>
      <c r="G48" s="6" t="n"/>
      <c r="H48" s="6" t="n"/>
      <c r="I48" s="6" t="n"/>
      <c r="J48" s="7" t="n"/>
    </row>
    <row r="49">
      <c r="B49" s="8" t="inlineStr">
        <is>
          <t>Project Team: Compass Harbor GC team (PM/Sup/PE in Emails Saved folder), Thaddeus Waites (OWP RI Foreman — 1,391 hrs on site)</t>
        </is>
      </c>
      <c r="C49" s="6" t="n"/>
      <c r="D49" s="6" t="n"/>
      <c r="E49" s="6" t="n"/>
      <c r="F49" s="6" t="n"/>
      <c r="G49" s="6" t="n"/>
      <c r="H49" s="6" t="n"/>
      <c r="I49" s="6" t="n"/>
      <c r="J49" s="7" t="n"/>
    </row>
  </sheetData>
  <mergeCells count="55">
    <mergeCell ref="C16:E16"/>
    <mergeCell ref="F11:J11"/>
    <mergeCell ref="B42:J42"/>
    <mergeCell ref="F10:J10"/>
    <mergeCell ref="F16:J16"/>
    <mergeCell ref="C22:E22"/>
    <mergeCell ref="C9:E9"/>
    <mergeCell ref="F19:J19"/>
    <mergeCell ref="F6:J6"/>
    <mergeCell ref="C21:E21"/>
    <mergeCell ref="C12:E12"/>
    <mergeCell ref="B44:J44"/>
    <mergeCell ref="F7:J7"/>
    <mergeCell ref="C11:E11"/>
    <mergeCell ref="F15:J15"/>
    <mergeCell ref="F21:J21"/>
    <mergeCell ref="B34:J34"/>
    <mergeCell ref="F12:J12"/>
    <mergeCell ref="F24:J24"/>
    <mergeCell ref="B37:J37"/>
    <mergeCell ref="F20:J20"/>
    <mergeCell ref="C23:E23"/>
    <mergeCell ref="C8:E8"/>
    <mergeCell ref="C17:E17"/>
    <mergeCell ref="F18:J18"/>
    <mergeCell ref="B49:J49"/>
    <mergeCell ref="C7:E7"/>
    <mergeCell ref="F8:J8"/>
    <mergeCell ref="F17:J17"/>
    <mergeCell ref="B33:J33"/>
    <mergeCell ref="C13:E13"/>
    <mergeCell ref="C19:E19"/>
    <mergeCell ref="B45:J45"/>
    <mergeCell ref="F23:J23"/>
    <mergeCell ref="B36:J36"/>
    <mergeCell ref="B32:J32"/>
    <mergeCell ref="C18:E18"/>
    <mergeCell ref="B41:J41"/>
    <mergeCell ref="B35:J35"/>
    <mergeCell ref="F22:J22"/>
    <mergeCell ref="F13:J13"/>
    <mergeCell ref="C15:E15"/>
    <mergeCell ref="B47:J47"/>
    <mergeCell ref="C6:E6"/>
    <mergeCell ref="C24:E24"/>
    <mergeCell ref="F9:J9"/>
    <mergeCell ref="B3:J3"/>
    <mergeCell ref="C14:E14"/>
    <mergeCell ref="B46:J46"/>
    <mergeCell ref="B48:J48"/>
    <mergeCell ref="B43:J43"/>
    <mergeCell ref="F14:J14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2" ht="28" customHeight="1">
      <c r="B2" s="1" t="inlineStr">
        <is>
          <t>Budget vs Actual</t>
        </is>
      </c>
    </row>
    <row r="3">
      <c r="B3" s="2" t="inlineStr">
        <is>
          <t>All 28 cost codes from JDR. Contract $1,839,000 → $1,897,651 (COs 58,650.90 additive).</t>
        </is>
      </c>
    </row>
    <row r="5">
      <c r="B5" s="13" t="inlineStr">
        <is>
          <t>Cost Code</t>
        </is>
      </c>
      <c r="C5" s="13" t="inlineStr">
        <is>
          <t>Description</t>
        </is>
      </c>
      <c r="D5" s="13" t="inlineStr">
        <is>
          <t>Original Budget</t>
        </is>
      </c>
      <c r="E5" s="13" t="inlineStr">
        <is>
          <t>Revised Budget</t>
        </is>
      </c>
      <c r="F5" s="13" t="inlineStr">
        <is>
          <t>Actual</t>
        </is>
      </c>
      <c r="G5" s="13" t="inlineStr">
        <is>
          <t>Variance</t>
        </is>
      </c>
      <c r="H5" s="13" t="inlineStr">
        <is>
          <t>% of Revised</t>
        </is>
      </c>
      <c r="I5" s="13" t="inlineStr">
        <is>
          <t>Hours</t>
        </is>
      </c>
      <c r="J5" s="13" t="inlineStr">
        <is>
          <t>Source</t>
        </is>
      </c>
    </row>
    <row r="6">
      <c r="B6" s="14" t="inlineStr">
        <is>
          <t>100</t>
        </is>
      </c>
      <c r="C6" s="5" t="inlineStr">
        <is>
          <t>Supervision</t>
        </is>
      </c>
      <c r="D6" s="15" t="n">
        <v>13440</v>
      </c>
      <c r="E6" s="15" t="n">
        <v>14536</v>
      </c>
      <c r="F6" s="15" t="n">
        <v>3636.5</v>
      </c>
      <c r="G6" s="15">
        <f>F6-E6</f>
        <v/>
      </c>
      <c r="H6" s="16">
        <f>IF(E6=0,"",F6/E6)</f>
        <v/>
      </c>
      <c r="I6" s="17" t="n">
        <v>72</v>
      </c>
      <c r="J6" s="8" t="inlineStr">
        <is>
          <t>2034 Job Detail Report.pdf (Sage Timberline, 04/03/2026, 207 pages)</t>
        </is>
      </c>
    </row>
    <row r="7">
      <c r="B7" s="14" t="inlineStr">
        <is>
          <t>101</t>
        </is>
      </c>
      <c r="C7" s="5" t="inlineStr">
        <is>
          <t>Takeoff &amp; Purchase Labor</t>
        </is>
      </c>
      <c r="D7" s="15" t="n">
        <v>21120</v>
      </c>
      <c r="E7" s="15" t="n">
        <v>22880</v>
      </c>
      <c r="F7" s="15" t="n">
        <v>14099</v>
      </c>
      <c r="G7" s="15">
        <f>F7-E7</f>
        <v/>
      </c>
      <c r="H7" s="16">
        <f>IF(E7=0,"",F7/E7)</f>
        <v/>
      </c>
      <c r="I7" s="17" t="n">
        <v>286.5</v>
      </c>
      <c r="J7" s="8" t="inlineStr">
        <is>
          <t>2034 Job Detail Report.pdf (Sage Timberline, 04/03/2026, 207 pages)</t>
        </is>
      </c>
    </row>
    <row r="8">
      <c r="B8" s="14" t="inlineStr">
        <is>
          <t>110</t>
        </is>
      </c>
      <c r="C8" s="5" t="inlineStr">
        <is>
          <t>Underground Labor</t>
        </is>
      </c>
      <c r="D8" s="15" t="n">
        <v>5200</v>
      </c>
      <c r="E8" s="15" t="n">
        <v>6576</v>
      </c>
      <c r="F8" s="15" t="n">
        <v>5597</v>
      </c>
      <c r="G8" s="15">
        <f>F8-E8</f>
        <v/>
      </c>
      <c r="H8" s="16">
        <f>IF(E8=0,"",F8/E8)</f>
        <v/>
      </c>
      <c r="I8" s="17" t="n">
        <v>161.5</v>
      </c>
      <c r="J8" s="8" t="inlineStr">
        <is>
          <t>2034 Job Detail Report.pdf (Sage Timberline, 04/03/2026, 207 pages)</t>
        </is>
      </c>
    </row>
    <row r="9">
      <c r="B9" s="14" t="inlineStr">
        <is>
          <t>111</t>
        </is>
      </c>
      <c r="C9" s="5" t="inlineStr">
        <is>
          <t>Garage Labor</t>
        </is>
      </c>
      <c r="D9" s="15" t="n">
        <v>53325</v>
      </c>
      <c r="E9" s="15" t="n">
        <v>58468</v>
      </c>
      <c r="F9" s="15" t="n">
        <v>99278.5</v>
      </c>
      <c r="G9" s="15">
        <f>F9-E9</f>
        <v/>
      </c>
      <c r="H9" s="16">
        <f>IF(E9=0,"",F9/E9)</f>
        <v/>
      </c>
      <c r="I9" s="17" t="n">
        <v>4024.5</v>
      </c>
      <c r="J9" s="8" t="inlineStr">
        <is>
          <t>2034 Job Detail Report.pdf (Sage Timberline, 04/03/2026, 207 pages)</t>
        </is>
      </c>
    </row>
    <row r="10">
      <c r="B10" s="14" t="inlineStr">
        <is>
          <t>112</t>
        </is>
      </c>
      <c r="C10" s="5" t="inlineStr">
        <is>
          <t>Canout Labor</t>
        </is>
      </c>
      <c r="D10" s="15" t="n">
        <v>6250</v>
      </c>
      <c r="E10" s="15" t="n">
        <v>7465</v>
      </c>
      <c r="F10" s="15" t="n">
        <v>13910</v>
      </c>
      <c r="G10" s="15">
        <f>F10-E10</f>
        <v/>
      </c>
      <c r="H10" s="16">
        <f>IF(E10=0,"",F10/E10)</f>
        <v/>
      </c>
      <c r="I10" s="17" t="n">
        <v>439</v>
      </c>
      <c r="J10" s="8" t="inlineStr">
        <is>
          <t>2034 Job Detail Report.pdf (Sage Timberline, 04/03/2026, 207 pages)</t>
        </is>
      </c>
    </row>
    <row r="11">
      <c r="B11" s="14" t="inlineStr">
        <is>
          <t>120</t>
        </is>
      </c>
      <c r="C11" s="5" t="inlineStr">
        <is>
          <t>Roughin Labor</t>
        </is>
      </c>
      <c r="D11" s="15" t="n">
        <v>244245</v>
      </c>
      <c r="E11" s="15" t="n">
        <v>255005</v>
      </c>
      <c r="F11" s="15" t="n">
        <v>248837</v>
      </c>
      <c r="G11" s="15">
        <f>F11-E11</f>
        <v/>
      </c>
      <c r="H11" s="16">
        <f>IF(E11=0,"",F11/E11)</f>
        <v/>
      </c>
      <c r="I11" s="17" t="n">
        <v>10611.5</v>
      </c>
      <c r="J11" s="8" t="inlineStr">
        <is>
          <t>2034 Job Detail Report.pdf (Sage Timberline, 04/03/2026, 207 pages)</t>
        </is>
      </c>
    </row>
    <row r="12">
      <c r="B12" s="14" t="inlineStr">
        <is>
          <t>130</t>
        </is>
      </c>
      <c r="C12" s="5" t="inlineStr">
        <is>
          <t>Finish Labor</t>
        </is>
      </c>
      <c r="D12" s="15" t="n">
        <v>41700</v>
      </c>
      <c r="E12" s="15" t="n">
        <v>43230</v>
      </c>
      <c r="F12" s="15" t="n">
        <v>37411.5</v>
      </c>
      <c r="G12" s="15">
        <f>F12-E12</f>
        <v/>
      </c>
      <c r="H12" s="16">
        <f>IF(E12=0,"",F12/E12)</f>
        <v/>
      </c>
      <c r="I12" s="17" t="n">
        <v>1468.75</v>
      </c>
      <c r="J12" s="8" t="inlineStr">
        <is>
          <t>2034 Job Detail Report.pdf (Sage Timberline, 04/03/2026, 207 pages)</t>
        </is>
      </c>
    </row>
    <row r="13">
      <c r="B13" s="14" t="inlineStr">
        <is>
          <t>140</t>
        </is>
      </c>
      <c r="C13" s="5" t="inlineStr">
        <is>
          <t>Gas Labor</t>
        </is>
      </c>
      <c r="D13" s="15" t="n">
        <v>2300</v>
      </c>
      <c r="E13" s="15" t="n">
        <v>3067</v>
      </c>
      <c r="F13" s="15" t="n">
        <v>10151</v>
      </c>
      <c r="G13" s="15">
        <f>F13-E13</f>
        <v/>
      </c>
      <c r="H13" s="16">
        <f>IF(E13=0,"",F13/E13)</f>
        <v/>
      </c>
      <c r="I13" s="17" t="n">
        <v>324</v>
      </c>
      <c r="J13" s="8" t="inlineStr">
        <is>
          <t>2034 Job Detail Report.pdf (Sage Timberline, 04/03/2026, 207 pages)</t>
        </is>
      </c>
    </row>
    <row r="14">
      <c r="B14" s="14" t="inlineStr">
        <is>
          <t>141</t>
        </is>
      </c>
      <c r="C14" s="5" t="inlineStr">
        <is>
          <t>Water Main/Insulation Lab</t>
        </is>
      </c>
      <c r="D14" s="15" t="n">
        <v>44470</v>
      </c>
      <c r="E14" s="15" t="n">
        <v>46169</v>
      </c>
      <c r="F14" s="15" t="n">
        <v>74191.25</v>
      </c>
      <c r="G14" s="15">
        <f>F14-E14</f>
        <v/>
      </c>
      <c r="H14" s="16">
        <f>IF(E14=0,"",F14/E14)</f>
        <v/>
      </c>
      <c r="I14" s="17" t="n">
        <v>3006.5</v>
      </c>
      <c r="J14" s="8" t="inlineStr">
        <is>
          <t>2034 Job Detail Report.pdf (Sage Timberline, 04/03/2026, 207 pages)</t>
        </is>
      </c>
    </row>
    <row r="15">
      <c r="B15" s="14" t="inlineStr">
        <is>
          <t>142</t>
        </is>
      </c>
      <c r="C15" s="5" t="inlineStr">
        <is>
          <t>Mech Room Labor</t>
        </is>
      </c>
      <c r="D15" s="15" t="n">
        <v>16650</v>
      </c>
      <c r="E15" s="15" t="n">
        <v>16882</v>
      </c>
      <c r="F15" s="15" t="n">
        <v>8618.5</v>
      </c>
      <c r="G15" s="15">
        <f>F15-E15</f>
        <v/>
      </c>
      <c r="H15" s="16">
        <f>IF(E15=0,"",F15/E15)</f>
        <v/>
      </c>
      <c r="I15" s="17" t="n">
        <v>206</v>
      </c>
      <c r="J15" s="8" t="inlineStr">
        <is>
          <t>2034 Job Detail Report.pdf (Sage Timberline, 04/03/2026, 207 pages)</t>
        </is>
      </c>
    </row>
    <row r="16">
      <c r="B16" s="14" t="inlineStr">
        <is>
          <t>143</t>
        </is>
      </c>
      <c r="C16" s="5" t="inlineStr">
        <is>
          <t>Condensation Drains Labor</t>
        </is>
      </c>
      <c r="D16" s="15" t="n">
        <v>0</v>
      </c>
      <c r="E16" s="15" t="n">
        <v>2900</v>
      </c>
      <c r="F16" s="15" t="n">
        <v>23734</v>
      </c>
      <c r="G16" s="15">
        <f>F16-E16</f>
        <v/>
      </c>
      <c r="H16" s="16">
        <f>IF(E16=0,"",F16/E16)</f>
        <v/>
      </c>
      <c r="I16" s="17" t="n">
        <v>1037.5</v>
      </c>
      <c r="J16" s="8" t="inlineStr">
        <is>
          <t>2034 Job Detail Report.pdf (Sage Timberline, 04/03/2026, 207 pages)</t>
        </is>
      </c>
    </row>
    <row r="17">
      <c r="B17" s="14" t="inlineStr">
        <is>
          <t>210</t>
        </is>
      </c>
      <c r="C17" s="5" t="inlineStr">
        <is>
          <t>Underground Material</t>
        </is>
      </c>
      <c r="D17" s="15" t="n">
        <v>13950</v>
      </c>
      <c r="E17" s="15" t="n">
        <v>14603</v>
      </c>
      <c r="F17" s="15" t="n">
        <v>10119.25</v>
      </c>
      <c r="G17" s="15">
        <f>F17-E17</f>
        <v/>
      </c>
      <c r="H17" s="16">
        <f>IF(E17=0,"",F17/E17)</f>
        <v/>
      </c>
      <c r="I17" s="17" t="inlineStr"/>
      <c r="J17" s="8" t="inlineStr">
        <is>
          <t>2034 Job Detail Report.pdf (Sage Timberline, 04/03/2026, 207 pages)</t>
        </is>
      </c>
    </row>
    <row r="18">
      <c r="B18" s="14" t="inlineStr">
        <is>
          <t>211</t>
        </is>
      </c>
      <c r="C18" s="5" t="inlineStr">
        <is>
          <t>Garage Material</t>
        </is>
      </c>
      <c r="D18" s="15" t="n">
        <v>42025</v>
      </c>
      <c r="E18" s="15" t="n">
        <v>49734</v>
      </c>
      <c r="F18" s="15" t="n">
        <v>33009.22</v>
      </c>
      <c r="G18" s="15">
        <f>F18-E18</f>
        <v/>
      </c>
      <c r="H18" s="16">
        <f>IF(E18=0,"",F18/E18)</f>
        <v/>
      </c>
      <c r="I18" s="17" t="inlineStr"/>
      <c r="J18" s="8" t="inlineStr">
        <is>
          <t>2034 Job Detail Report.pdf (Sage Timberline, 04/03/2026, 207 pages)</t>
        </is>
      </c>
    </row>
    <row r="19">
      <c r="B19" s="14" t="inlineStr">
        <is>
          <t>212</t>
        </is>
      </c>
      <c r="C19" s="5" t="inlineStr">
        <is>
          <t>Canout Material</t>
        </is>
      </c>
      <c r="D19" s="15" t="n">
        <v>7500</v>
      </c>
      <c r="E19" s="15" t="n">
        <v>8771</v>
      </c>
      <c r="F19" s="15" t="n">
        <v>9058.049999999999</v>
      </c>
      <c r="G19" s="15">
        <f>F19-E19</f>
        <v/>
      </c>
      <c r="H19" s="16">
        <f>IF(E19=0,"",F19/E19)</f>
        <v/>
      </c>
      <c r="I19" s="17" t="inlineStr"/>
      <c r="J19" s="8" t="inlineStr">
        <is>
          <t>2034 Job Detail Report.pdf (Sage Timberline, 04/03/2026, 207 pages)</t>
        </is>
      </c>
    </row>
    <row r="20">
      <c r="B20" s="14" t="inlineStr">
        <is>
          <t>220</t>
        </is>
      </c>
      <c r="C20" s="5" t="inlineStr">
        <is>
          <t>Roughin Material</t>
        </is>
      </c>
      <c r="D20" s="15" t="n">
        <v>197820</v>
      </c>
      <c r="E20" s="15" t="n">
        <v>201155</v>
      </c>
      <c r="F20" s="15" t="n">
        <v>100919.24</v>
      </c>
      <c r="G20" s="15">
        <f>F20-E20</f>
        <v/>
      </c>
      <c r="H20" s="16">
        <f>IF(E20=0,"",F20/E20)</f>
        <v/>
      </c>
      <c r="I20" s="17" t="inlineStr"/>
      <c r="J20" s="8" t="inlineStr">
        <is>
          <t>2034 Job Detail Report.pdf (Sage Timberline, 04/03/2026, 207 pages)</t>
        </is>
      </c>
    </row>
    <row r="21">
      <c r="B21" s="14" t="inlineStr">
        <is>
          <t>230</t>
        </is>
      </c>
      <c r="C21" s="5" t="inlineStr">
        <is>
          <t>Finish Material</t>
        </is>
      </c>
      <c r="D21" s="15" t="n">
        <v>195710</v>
      </c>
      <c r="E21" s="15" t="n">
        <v>188997</v>
      </c>
      <c r="F21" s="15" t="n">
        <v>181853.14</v>
      </c>
      <c r="G21" s="15">
        <f>F21-E21</f>
        <v/>
      </c>
      <c r="H21" s="16">
        <f>IF(E21=0,"",F21/E21)</f>
        <v/>
      </c>
      <c r="I21" s="17" t="inlineStr"/>
      <c r="J21" s="8" t="inlineStr">
        <is>
          <t>2034 Job Detail Report.pdf (Sage Timberline, 04/03/2026, 207 pages)</t>
        </is>
      </c>
    </row>
    <row r="22">
      <c r="B22" s="14" t="inlineStr">
        <is>
          <t>240</t>
        </is>
      </c>
      <c r="C22" s="5" t="inlineStr">
        <is>
          <t>Gas Material</t>
        </is>
      </c>
      <c r="D22" s="15" t="n">
        <v>9450</v>
      </c>
      <c r="E22" s="15" t="n">
        <v>10350</v>
      </c>
      <c r="F22" s="15" t="n">
        <v>3977.41</v>
      </c>
      <c r="G22" s="15">
        <f>F22-E22</f>
        <v/>
      </c>
      <c r="H22" s="16">
        <f>IF(E22=0,"",F22/E22)</f>
        <v/>
      </c>
      <c r="I22" s="17" t="inlineStr"/>
      <c r="J22" s="8" t="inlineStr">
        <is>
          <t>2034 Job Detail Report.pdf (Sage Timberline, 04/03/2026, 207 pages)</t>
        </is>
      </c>
    </row>
    <row r="23">
      <c r="B23" s="14" t="inlineStr">
        <is>
          <t>241</t>
        </is>
      </c>
      <c r="C23" s="5" t="inlineStr">
        <is>
          <t>Water Main/Insulation Mat</t>
        </is>
      </c>
      <c r="D23" s="15" t="n">
        <v>55000</v>
      </c>
      <c r="E23" s="15" t="n">
        <v>56140</v>
      </c>
      <c r="F23" s="15" t="n">
        <v>56230.79</v>
      </c>
      <c r="G23" s="15">
        <f>F23-E23</f>
        <v/>
      </c>
      <c r="H23" s="16">
        <f>IF(E23=0,"",F23/E23)</f>
        <v/>
      </c>
      <c r="I23" s="17" t="inlineStr"/>
      <c r="J23" s="8" t="inlineStr">
        <is>
          <t>2034 Job Detail Report.pdf (Sage Timberline, 04/03/2026, 207 pages)</t>
        </is>
      </c>
    </row>
    <row r="24">
      <c r="B24" s="14" t="inlineStr">
        <is>
          <t>242</t>
        </is>
      </c>
      <c r="C24" s="5" t="inlineStr">
        <is>
          <t>Mech Room Material</t>
        </is>
      </c>
      <c r="D24" s="15" t="n">
        <v>92575</v>
      </c>
      <c r="E24" s="15" t="n">
        <v>70135</v>
      </c>
      <c r="F24" s="15" t="n">
        <v>22432.91</v>
      </c>
      <c r="G24" s="15">
        <f>F24-E24</f>
        <v/>
      </c>
      <c r="H24" s="16">
        <f>IF(E24=0,"",F24/E24)</f>
        <v/>
      </c>
      <c r="I24" s="17" t="inlineStr"/>
      <c r="J24" s="8" t="inlineStr">
        <is>
          <t>2034 Job Detail Report.pdf (Sage Timberline, 04/03/2026, 207 pages)</t>
        </is>
      </c>
    </row>
    <row r="25">
      <c r="B25" s="14" t="inlineStr">
        <is>
          <t>243</t>
        </is>
      </c>
      <c r="C25" s="5" t="inlineStr">
        <is>
          <t>Condensation Drains Mat</t>
        </is>
      </c>
      <c r="D25" s="15" t="n">
        <v>0</v>
      </c>
      <c r="E25" s="15" t="n">
        <v>2868</v>
      </c>
      <c r="F25" s="15" t="n">
        <v>2280.11</v>
      </c>
      <c r="G25" s="15">
        <f>F25-E25</f>
        <v/>
      </c>
      <c r="H25" s="16">
        <f>IF(E25=0,"",F25/E25)</f>
        <v/>
      </c>
      <c r="I25" s="17" t="inlineStr"/>
      <c r="J25" s="8" t="inlineStr">
        <is>
          <t>2034 Job Detail Report.pdf (Sage Timberline, 04/03/2026, 207 pages)</t>
        </is>
      </c>
    </row>
    <row r="26">
      <c r="B26" s="14" t="inlineStr">
        <is>
          <t>600</t>
        </is>
      </c>
      <c r="C26" s="5" t="inlineStr">
        <is>
          <t>Subcontractor</t>
        </is>
      </c>
      <c r="D26" s="15" t="n">
        <v>1000</v>
      </c>
      <c r="E26" s="15" t="n">
        <v>3255</v>
      </c>
      <c r="F26" s="15" t="n">
        <v>3044.35</v>
      </c>
      <c r="G26" s="15">
        <f>F26-E26</f>
        <v/>
      </c>
      <c r="H26" s="16">
        <f>IF(E26=0,"",F26/E26)</f>
        <v/>
      </c>
      <c r="I26" s="17" t="inlineStr"/>
      <c r="J26" s="8" t="inlineStr">
        <is>
          <t>2034 Job Detail Report.pdf (Sage Timberline, 04/03/2026, 207 pages)</t>
        </is>
      </c>
    </row>
    <row r="27">
      <c r="B27" s="14" t="inlineStr">
        <is>
          <t>601</t>
        </is>
      </c>
      <c r="C27" s="5" t="inlineStr">
        <is>
          <t>Engineering/Plans</t>
        </is>
      </c>
      <c r="D27" s="15" t="n">
        <v>55000</v>
      </c>
      <c r="E27" s="15" t="n">
        <v>57200</v>
      </c>
      <c r="F27" s="15" t="n">
        <v>33606.25</v>
      </c>
      <c r="G27" s="15">
        <f>F27-E27</f>
        <v/>
      </c>
      <c r="H27" s="16">
        <f>IF(E27=0,"",F27/E27)</f>
        <v/>
      </c>
      <c r="I27" s="17" t="inlineStr"/>
      <c r="J27" s="8" t="inlineStr">
        <is>
          <t>2034 Job Detail Report.pdf (Sage Timberline, 04/03/2026, 207 pages)</t>
        </is>
      </c>
    </row>
    <row r="28">
      <c r="B28" s="14" t="inlineStr">
        <is>
          <t>602</t>
        </is>
      </c>
      <c r="C28" s="5" t="inlineStr">
        <is>
          <t>Rental Equipment</t>
        </is>
      </c>
      <c r="D28" s="15" t="n">
        <v>3000</v>
      </c>
      <c r="E28" s="15" t="n">
        <v>3000</v>
      </c>
      <c r="F28" s="15" t="n">
        <v>6832.2</v>
      </c>
      <c r="G28" s="15">
        <f>F28-E28</f>
        <v/>
      </c>
      <c r="H28" s="16">
        <f>IF(E28=0,"",F28/E28)</f>
        <v/>
      </c>
      <c r="I28" s="17" t="inlineStr"/>
      <c r="J28" s="8" t="inlineStr">
        <is>
          <t>2034 Job Detail Report.pdf (Sage Timberline, 04/03/2026, 207 pages)</t>
        </is>
      </c>
    </row>
    <row r="29">
      <c r="B29" s="14" t="inlineStr">
        <is>
          <t>603</t>
        </is>
      </c>
      <c r="C29" s="5" t="inlineStr">
        <is>
          <t>Permits &amp; Licenses</t>
        </is>
      </c>
      <c r="D29" s="15" t="n">
        <v>21850</v>
      </c>
      <c r="E29" s="15" t="n">
        <v>21850</v>
      </c>
      <c r="F29" s="15" t="n">
        <v>18927.11</v>
      </c>
      <c r="G29" s="15">
        <f>F29-E29</f>
        <v/>
      </c>
      <c r="H29" s="16">
        <f>IF(E29=0,"",F29/E29)</f>
        <v/>
      </c>
      <c r="I29" s="17" t="inlineStr"/>
      <c r="J29" s="8" t="inlineStr">
        <is>
          <t>2034 Job Detail Report.pdf (Sage Timberline, 04/03/2026, 207 pages)</t>
        </is>
      </c>
    </row>
    <row r="30">
      <c r="B30" s="14" t="inlineStr">
        <is>
          <t>607</t>
        </is>
      </c>
      <c r="C30" s="5" t="inlineStr">
        <is>
          <t>Other Expenses</t>
        </is>
      </c>
      <c r="D30" s="15" t="n">
        <v>4500</v>
      </c>
      <c r="E30" s="15" t="n">
        <v>4500</v>
      </c>
      <c r="F30" s="15" t="n">
        <v>2446</v>
      </c>
      <c r="G30" s="15">
        <f>F30-E30</f>
        <v/>
      </c>
      <c r="H30" s="16">
        <f>IF(E30=0,"",F30/E30)</f>
        <v/>
      </c>
      <c r="I30" s="17" t="inlineStr"/>
      <c r="J30" s="8" t="inlineStr">
        <is>
          <t>2034 Job Detail Report.pdf (Sage Timberline, 04/03/2026, 207 pages)</t>
        </is>
      </c>
    </row>
    <row r="31">
      <c r="B31" s="14" t="inlineStr">
        <is>
          <t>995</t>
        </is>
      </c>
      <c r="C31" s="5" t="inlineStr">
        <is>
          <t>Payroll Burden</t>
        </is>
      </c>
      <c r="D31" s="15" t="n">
        <v>172076.45</v>
      </c>
      <c r="E31" s="15" t="n">
        <v>183177.15</v>
      </c>
      <c r="F31" s="15" t="n">
        <v>216478.44</v>
      </c>
      <c r="G31" s="15">
        <f>F31-E31</f>
        <v/>
      </c>
      <c r="H31" s="16">
        <f>IF(E31=0,"",F31/E31)</f>
        <v/>
      </c>
      <c r="I31" s="17" t="inlineStr"/>
      <c r="J31" s="8" t="inlineStr">
        <is>
          <t>2034 Job Detail Report.pdf (Sage Timberline, 04/03/2026, 207 pages)</t>
        </is>
      </c>
    </row>
    <row r="32">
      <c r="B32" s="14" t="inlineStr">
        <is>
          <t>998</t>
        </is>
      </c>
      <c r="C32" s="5" t="inlineStr">
        <is>
          <t>Payroll Taxes</t>
        </is>
      </c>
      <c r="D32" s="15" t="n">
        <v>34325.55</v>
      </c>
      <c r="E32" s="15" t="n">
        <v>36504.12</v>
      </c>
      <c r="F32" s="15" t="n">
        <v>41269.5</v>
      </c>
      <c r="G32" s="15">
        <f>F32-E32</f>
        <v/>
      </c>
      <c r="H32" s="16">
        <f>IF(E32=0,"",F32/E32)</f>
        <v/>
      </c>
      <c r="I32" s="17" t="inlineStr"/>
      <c r="J32" s="8" t="inlineStr">
        <is>
          <t>2034 Job Detail Report.pdf (Sage Timberline, 04/03/2026, 207 pages)</t>
        </is>
      </c>
    </row>
    <row r="33">
      <c r="B33" s="14" t="inlineStr">
        <is>
          <t>999</t>
        </is>
      </c>
      <c r="C33" s="5" t="inlineStr">
        <is>
          <t>Sales</t>
        </is>
      </c>
      <c r="D33" s="15" t="n">
        <v>-1839000</v>
      </c>
      <c r="E33" s="15" t="n">
        <v>-1897650.9</v>
      </c>
      <c r="F33" s="15" t="n">
        <v>-1897650.9</v>
      </c>
      <c r="G33" s="15">
        <f>F33-E33</f>
        <v/>
      </c>
      <c r="H33" s="16">
        <f>IF(E33=0,"",F33/E33)</f>
        <v/>
      </c>
      <c r="I33" s="17" t="inlineStr"/>
      <c r="J33" s="8" t="inlineStr">
        <is>
          <t>2034 Job Detail Report.pdf (Sage Timberline, 04/03/2026, 207 pages)</t>
        </is>
      </c>
    </row>
    <row r="34">
      <c r="B34" s="18" t="inlineStr">
        <is>
          <t>TOTAL</t>
        </is>
      </c>
      <c r="D34" s="19">
        <f>SUM(D6:D33)</f>
        <v/>
      </c>
      <c r="E34" s="19">
        <f>SUM(E6:E33)</f>
        <v/>
      </c>
      <c r="F34" s="19">
        <f>SUM(F6:F33)</f>
        <v/>
      </c>
      <c r="G34" s="19">
        <f>F34-E34</f>
        <v/>
      </c>
      <c r="I34" s="10">
        <f>SUM(I6:I33)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4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2" ht="28" customHeight="1">
      <c r="B2" s="1" t="inlineStr">
        <is>
          <t>Cost Breakdown by Category</t>
        </is>
      </c>
    </row>
    <row r="3">
      <c r="B3" s="2" t="inlineStr">
        <is>
          <t>Direct cost composition by category from JDR cost codes</t>
        </is>
      </c>
    </row>
    <row r="5">
      <c r="B5" s="13" t="inlineStr">
        <is>
          <t>Category</t>
        </is>
      </c>
      <c r="C5" s="13" t="inlineStr">
        <is>
          <t>Cost Codes</t>
        </is>
      </c>
      <c r="D5" s="13" t="inlineStr">
        <is>
          <t>Actual $</t>
        </is>
      </c>
      <c r="E5" s="13" t="inlineStr">
        <is>
          <t>% of Direct Cost</t>
        </is>
      </c>
      <c r="F5" s="13" t="inlineStr">
        <is>
          <t>% of Revenue</t>
        </is>
      </c>
      <c r="G5" s="13" t="inlineStr">
        <is>
          <t>Source</t>
        </is>
      </c>
    </row>
    <row r="6">
      <c r="B6" s="4" t="inlineStr">
        <is>
          <t>Labor</t>
        </is>
      </c>
      <c r="C6" s="14" t="inlineStr">
        <is>
          <t>100,101,110,111,112,120,130,140,141,142,143</t>
        </is>
      </c>
      <c r="D6" s="20" t="n">
        <v>539464.25</v>
      </c>
      <c r="E6" s="16">
        <f>D6/$D$11</f>
        <v/>
      </c>
      <c r="F6" s="16">
        <f>D6/1897650.9</f>
        <v/>
      </c>
      <c r="G6" s="8" t="inlineStr">
        <is>
          <t>2034 Job Detail Report.pdf (Sage Timberline, 04/03/2026, 207 pages)</t>
        </is>
      </c>
    </row>
    <row r="7">
      <c r="B7" s="4" t="inlineStr">
        <is>
          <t>Material</t>
        </is>
      </c>
      <c r="C7" s="14" t="inlineStr">
        <is>
          <t>210,211,212,220,230,240,241,242,243</t>
        </is>
      </c>
      <c r="D7" s="20" t="n">
        <v>419880.1199999999</v>
      </c>
      <c r="E7" s="16">
        <f>D7/$D$11</f>
        <v/>
      </c>
      <c r="F7" s="16">
        <f>D7/1897650.9</f>
        <v/>
      </c>
      <c r="G7" s="8" t="inlineStr">
        <is>
          <t>2034 Job Detail Report.pdf (Sage Timberline, 04/03/2026, 207 pages)</t>
        </is>
      </c>
    </row>
    <row r="8">
      <c r="B8" s="4" t="inlineStr">
        <is>
          <t>Subcontractor + Engineering + Permits + Other</t>
        </is>
      </c>
      <c r="C8" s="14" t="inlineStr">
        <is>
          <t>600,601,602,603,607</t>
        </is>
      </c>
      <c r="D8" s="20" t="n">
        <v>64855.91</v>
      </c>
      <c r="E8" s="16">
        <f>D8/$D$11</f>
        <v/>
      </c>
      <c r="F8" s="16">
        <f>D8/1897650.9</f>
        <v/>
      </c>
      <c r="G8" s="8" t="inlineStr">
        <is>
          <t>2034 Job Detail Report.pdf (Sage Timberline, 04/03/2026, 207 pages)</t>
        </is>
      </c>
    </row>
    <row r="9">
      <c r="B9" s="4" t="inlineStr">
        <is>
          <t>Payroll Burden</t>
        </is>
      </c>
      <c r="C9" s="14" t="inlineStr">
        <is>
          <t>995</t>
        </is>
      </c>
      <c r="D9" s="20" t="n">
        <v>216478.44</v>
      </c>
      <c r="E9" s="16">
        <f>D9/$D$11</f>
        <v/>
      </c>
      <c r="F9" s="16">
        <f>D9/1897650.9</f>
        <v/>
      </c>
      <c r="G9" s="8" t="inlineStr">
        <is>
          <t>2034 Job Detail Report.pdf (Sage Timberline, 04/03/2026, 207 pages)</t>
        </is>
      </c>
    </row>
    <row r="10">
      <c r="B10" s="4" t="inlineStr">
        <is>
          <t>Payroll Taxes</t>
        </is>
      </c>
      <c r="C10" s="14" t="inlineStr">
        <is>
          <t>998</t>
        </is>
      </c>
      <c r="D10" s="20" t="n">
        <v>41269.5</v>
      </c>
      <c r="E10" s="16">
        <f>D10/$D$11</f>
        <v/>
      </c>
      <c r="F10" s="16">
        <f>D10/1897650.9</f>
        <v/>
      </c>
      <c r="G10" s="8" t="inlineStr">
        <is>
          <t>2034 Job Detail Report.pdf (Sage Timberline, 04/03/2026, 207 pages)</t>
        </is>
      </c>
    </row>
    <row r="11">
      <c r="B11" s="18" t="inlineStr">
        <is>
          <t>TOTAL DIRECT COST</t>
        </is>
      </c>
      <c r="D11" s="21">
        <f>SUM(D6:D10)</f>
        <v/>
      </c>
      <c r="E11" s="22" t="n">
        <v>1</v>
      </c>
      <c r="F11" s="22">
        <f>D11/1897650.9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2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16" customWidth="1" min="4" max="4"/>
    <col width="14" customWidth="1" min="5" max="5"/>
    <col width="26" customWidth="1" min="6" max="6"/>
    <col width="40" customWidth="1" min="7" max="7"/>
  </cols>
  <sheetData>
    <row r="2" ht="28" customHeight="1">
      <c r="B2" s="1" t="inlineStr">
        <is>
          <t>Material Purchases — AP Vendors</t>
        </is>
      </c>
    </row>
    <row r="3">
      <c r="B3" s="2" t="inlineStr">
        <is>
          <t>Material + subcontractor spend by vendor (AP records from JDR). Supplemented with submittal/PO inventory.</t>
        </is>
      </c>
    </row>
    <row r="5">
      <c r="B5" s="13" t="inlineStr">
        <is>
          <t>Vendor ID</t>
        </is>
      </c>
      <c r="C5" s="13" t="inlineStr">
        <is>
          <t>Vendor Name</t>
        </is>
      </c>
      <c r="D5" s="13" t="inlineStr">
        <is>
          <t>Total Spend</t>
        </is>
      </c>
      <c r="E5" s="13" t="inlineStr">
        <is>
          <t># Transactions</t>
        </is>
      </c>
      <c r="F5" s="13" t="inlineStr">
        <is>
          <t>Category (inferred)</t>
        </is>
      </c>
      <c r="G5" s="13" t="inlineStr">
        <is>
          <t>Source</t>
        </is>
      </c>
    </row>
    <row r="6">
      <c r="B6" s="14" t="inlineStr">
        <is>
          <t>2034RS</t>
        </is>
      </c>
      <c r="C6" s="5" t="inlineStr">
        <is>
          <t>Rosen Supply Company, Inc. $Park Lane</t>
        </is>
      </c>
      <c r="D6" s="15" t="n">
        <v>179409.2700000001</v>
      </c>
      <c r="E6" s="14" t="n">
        <v>121</v>
      </c>
      <c r="F6" s="14" t="inlineStr">
        <is>
          <t>Plumbing / Supplies</t>
        </is>
      </c>
      <c r="G6" s="8" t="inlineStr">
        <is>
          <t>2034 Job Detail Report.pdf (Sage Timberline, 04/03/2026, 207 pages)</t>
        </is>
      </c>
    </row>
    <row r="7">
      <c r="B7" s="14" t="inlineStr">
        <is>
          <t>2034KS</t>
        </is>
      </c>
      <c r="C7" s="5" t="inlineStr">
        <is>
          <t>Keller Supply Co. $Park Lane</t>
        </is>
      </c>
      <c r="D7" s="15" t="n">
        <v>84362.75999999998</v>
      </c>
      <c r="E7" s="14" t="n">
        <v>51</v>
      </c>
      <c r="F7" s="14" t="inlineStr">
        <is>
          <t>Plumbing / Supplies</t>
        </is>
      </c>
      <c r="G7" s="8" t="inlineStr">
        <is>
          <t>2034 Job Detail Report.pdf (Sage Timberline, 04/03/2026, 207 pages)</t>
        </is>
      </c>
    </row>
    <row r="8">
      <c r="B8" s="14" t="inlineStr">
        <is>
          <t>2034CS</t>
        </is>
      </c>
      <c r="C8" s="5" t="inlineStr">
        <is>
          <t>Consolidated Supply Co. $Park Lane</t>
        </is>
      </c>
      <c r="D8" s="15" t="n">
        <v>44621.69</v>
      </c>
      <c r="E8" s="14" t="n">
        <v>44</v>
      </c>
      <c r="F8" s="14" t="inlineStr">
        <is>
          <t>Plumbing / Supplies</t>
        </is>
      </c>
      <c r="G8" s="8" t="inlineStr">
        <is>
          <t>2034 Job Detail Report.pdf (Sage Timberline, 04/03/2026, 207 pages)</t>
        </is>
      </c>
    </row>
    <row r="9">
      <c r="B9" s="14" t="inlineStr">
        <is>
          <t>1625FE</t>
        </is>
      </c>
      <c r="C9" s="5" t="inlineStr">
        <is>
          <t>Franklin Engineering</t>
        </is>
      </c>
      <c r="D9" s="15" t="n">
        <v>33606.25</v>
      </c>
      <c r="E9" s="14" t="n">
        <v>7</v>
      </c>
      <c r="F9" s="14" t="inlineStr">
        <is>
          <t>Engineering (601)</t>
        </is>
      </c>
      <c r="G9" s="8" t="inlineStr">
        <is>
          <t>2034 Job Detail Report.pdf (Sage Timberline, 04/03/2026, 207 pages)</t>
        </is>
      </c>
    </row>
    <row r="10">
      <c r="B10" s="14" t="inlineStr">
        <is>
          <t>1234BA</t>
        </is>
      </c>
      <c r="C10" s="5" t="inlineStr">
        <is>
          <t>Bank of America CC</t>
        </is>
      </c>
      <c r="D10" s="15" t="n">
        <v>18927.11</v>
      </c>
      <c r="E10" s="14" t="n">
        <v>5</v>
      </c>
      <c r="F10" s="14" t="inlineStr">
        <is>
          <t>Credit Card (mixed)</t>
        </is>
      </c>
      <c r="G10" s="8" t="inlineStr">
        <is>
          <t>2034 Job Detail Report.pdf (Sage Timberline, 04/03/2026, 207 pages)</t>
        </is>
      </c>
    </row>
    <row r="11">
      <c r="B11" s="14" t="inlineStr">
        <is>
          <t>2034FE</t>
        </is>
      </c>
      <c r="C11" s="5" t="inlineStr">
        <is>
          <t>Ferguson Enterprises, Inc. $Park Lane</t>
        </is>
      </c>
      <c r="D11" s="15" t="n">
        <v>12194.1</v>
      </c>
      <c r="E11" s="14" t="n">
        <v>17</v>
      </c>
      <c r="F11" s="14" t="inlineStr">
        <is>
          <t>Plumbing / Supplies</t>
        </is>
      </c>
      <c r="G11" s="8" t="inlineStr">
        <is>
          <t>2034 Job Detail Report.pdf (Sage Timberline, 04/03/2026, 207 pages)</t>
        </is>
      </c>
    </row>
    <row r="12">
      <c r="B12" s="14" t="inlineStr">
        <is>
          <t>1609QC</t>
        </is>
      </c>
      <c r="C12" s="5" t="inlineStr">
        <is>
          <t>Quality Concrete Products, Inc. $32</t>
        </is>
      </c>
      <c r="D12" s="15" t="n">
        <v>8070</v>
      </c>
      <c r="E12" s="14" t="n">
        <v>1</v>
      </c>
      <c r="F12" s="14" t="inlineStr">
        <is>
          <t>Uncategorized</t>
        </is>
      </c>
      <c r="G12" s="8" t="inlineStr">
        <is>
          <t>2034 Job Detail Report.pdf (Sage Timberline, 04/03/2026, 207 pages)</t>
        </is>
      </c>
    </row>
    <row r="13">
      <c r="B13" s="14" t="inlineStr">
        <is>
          <t>7200UR</t>
        </is>
      </c>
      <c r="C13" s="5" t="inlineStr">
        <is>
          <t>United Rentals, Inc.</t>
        </is>
      </c>
      <c r="D13" s="15" t="n">
        <v>6832.199999999998</v>
      </c>
      <c r="E13" s="14" t="n">
        <v>12</v>
      </c>
      <c r="F13" s="14" t="inlineStr">
        <is>
          <t>Uncategorized</t>
        </is>
      </c>
      <c r="G13" s="8" t="inlineStr">
        <is>
          <t>2034 Job Detail Report.pdf (Sage Timberline, 04/03/2026, 207 pages)</t>
        </is>
      </c>
    </row>
    <row r="14">
      <c r="B14" s="14" t="inlineStr">
        <is>
          <t>3612MS</t>
        </is>
      </c>
      <c r="C14" s="5" t="inlineStr">
        <is>
          <t>Mechanical Sales, Inc.</t>
        </is>
      </c>
      <c r="D14" s="15" t="n">
        <v>5147.68</v>
      </c>
      <c r="E14" s="14" t="n">
        <v>3</v>
      </c>
      <c r="F14" s="14" t="inlineStr">
        <is>
          <t>Plumbing / Supplies</t>
        </is>
      </c>
      <c r="G14" s="8" t="inlineStr">
        <is>
          <t>2034 Job Detail Report.pdf (Sage Timberline, 04/03/2026, 207 pages)</t>
        </is>
      </c>
    </row>
    <row r="15">
      <c r="B15" s="14" t="inlineStr">
        <is>
          <t>1234CO</t>
        </is>
      </c>
      <c r="C15" s="5" t="inlineStr">
        <is>
          <t>Capital One Credit Card</t>
        </is>
      </c>
      <c r="D15" s="15" t="n">
        <v>4131.57</v>
      </c>
      <c r="E15" s="14" t="n">
        <v>7</v>
      </c>
      <c r="F15" s="14" t="inlineStr">
        <is>
          <t>Credit Card (mixed)</t>
        </is>
      </c>
      <c r="G15" s="8" t="inlineStr">
        <is>
          <t>2034 Job Detail Report.pdf (Sage Timberline, 04/03/2026, 207 pages)</t>
        </is>
      </c>
    </row>
    <row r="16">
      <c r="B16" s="14" t="inlineStr">
        <is>
          <t>1231KS</t>
        </is>
      </c>
      <c r="C16" s="5" t="inlineStr">
        <is>
          <t>Keller Supply Company</t>
        </is>
      </c>
      <c r="D16" s="15" t="n">
        <v>3121.62</v>
      </c>
      <c r="E16" s="14" t="n">
        <v>3</v>
      </c>
      <c r="F16" s="14" t="inlineStr">
        <is>
          <t>Plumbing / Supplies</t>
        </is>
      </c>
      <c r="G16" s="8" t="inlineStr">
        <is>
          <t>2034 Job Detail Report.pdf (Sage Timberline, 04/03/2026, 207 pages)</t>
        </is>
      </c>
    </row>
    <row r="17">
      <c r="B17" s="14" t="inlineStr">
        <is>
          <t>1400MG</t>
        </is>
      </c>
      <c r="C17" s="5" t="inlineStr">
        <is>
          <t>Merrill Gardens of Kirkland</t>
        </is>
      </c>
      <c r="D17" s="15" t="n">
        <v>2400</v>
      </c>
      <c r="E17" s="14" t="n">
        <v>12</v>
      </c>
      <c r="F17" s="14" t="inlineStr">
        <is>
          <t>Uncategorized</t>
        </is>
      </c>
      <c r="G17" s="8" t="inlineStr">
        <is>
          <t>2034 Job Detail Report.pdf (Sage Timberline, 04/03/2026, 207 pages)</t>
        </is>
      </c>
    </row>
    <row r="18">
      <c r="B18" s="14" t="inlineStr">
        <is>
          <t>5919PW</t>
        </is>
      </c>
      <c r="C18" s="5" t="inlineStr">
        <is>
          <t>Patchworks, Inc.</t>
        </is>
      </c>
      <c r="D18" s="15" t="n">
        <v>1248.75</v>
      </c>
      <c r="E18" s="14" t="n">
        <v>3</v>
      </c>
      <c r="F18" s="14" t="inlineStr">
        <is>
          <t>Uncategorized</t>
        </is>
      </c>
      <c r="G18" s="8" t="inlineStr">
        <is>
          <t>2034 Job Detail Report.pdf (Sage Timberline, 04/03/2026, 207 pages)</t>
        </is>
      </c>
    </row>
    <row r="19">
      <c r="B19" s="14" t="inlineStr">
        <is>
          <t>3181SC</t>
        </is>
      </c>
      <c r="C19" s="5" t="inlineStr">
        <is>
          <t>Scan2Core, Inc.</t>
        </is>
      </c>
      <c r="D19" s="15" t="n">
        <v>1200</v>
      </c>
      <c r="E19" s="14" t="n">
        <v>2</v>
      </c>
      <c r="F19" s="14" t="inlineStr">
        <is>
          <t>Uncategorized</t>
        </is>
      </c>
      <c r="G19" s="8" t="inlineStr">
        <is>
          <t>2034 Job Detail Report.pdf (Sage Timberline, 04/03/2026, 207 pages)</t>
        </is>
      </c>
    </row>
    <row r="20">
      <c r="B20" s="14" t="inlineStr">
        <is>
          <t>2132MH</t>
        </is>
      </c>
      <c r="C20" s="5" t="inlineStr">
        <is>
          <t>Manor Hardware &amp; Construction Supply</t>
        </is>
      </c>
      <c r="D20" s="15" t="n">
        <v>611.52</v>
      </c>
      <c r="E20" s="14" t="n">
        <v>1</v>
      </c>
      <c r="F20" s="14" t="inlineStr">
        <is>
          <t>Plumbing / Supplies</t>
        </is>
      </c>
      <c r="G20" s="8" t="inlineStr">
        <is>
          <t>2034 Job Detail Report.pdf (Sage Timberline, 04/03/2026, 207 pages)</t>
        </is>
      </c>
    </row>
    <row r="21">
      <c r="B21" s="14" t="inlineStr">
        <is>
          <t>5560CH</t>
        </is>
      </c>
      <c r="C21" s="5" t="inlineStr">
        <is>
          <t>California Hydronics Corp</t>
        </is>
      </c>
      <c r="D21" s="15" t="n">
        <v>465</v>
      </c>
      <c r="E21" s="14" t="n">
        <v>1</v>
      </c>
      <c r="F21" s="14" t="inlineStr">
        <is>
          <t>Uncategorized</t>
        </is>
      </c>
      <c r="G21" s="8" t="inlineStr">
        <is>
          <t>2034 Job Detail Report.pdf (Sage Timberline, 04/03/2026, 207 pages)</t>
        </is>
      </c>
    </row>
    <row r="22">
      <c r="B22" s="14" t="inlineStr">
        <is>
          <t>8068MI</t>
        </is>
      </c>
      <c r="C22" s="5" t="inlineStr">
        <is>
          <t>Kele, Inc $ MI Controls</t>
        </is>
      </c>
      <c r="D22" s="15" t="n">
        <v>453</v>
      </c>
      <c r="E22" s="14" t="n">
        <v>2</v>
      </c>
      <c r="F22" s="14" t="inlineStr">
        <is>
          <t>Uncategorized</t>
        </is>
      </c>
      <c r="G22" s="8" t="inlineStr">
        <is>
          <t>2034 Job Detail Report.pdf (Sage Timberline, 04/03/2026, 207 pages)</t>
        </is>
      </c>
    </row>
    <row r="23">
      <c r="B23" s="14" t="inlineStr">
        <is>
          <t>4320MC</t>
        </is>
      </c>
      <c r="C23" s="5" t="inlineStr">
        <is>
          <t>MAD Concrete Cutting &amp; Coring, Inc.</t>
        </is>
      </c>
      <c r="D23" s="15" t="n">
        <v>330.6</v>
      </c>
      <c r="E23" s="14" t="n">
        <v>1</v>
      </c>
      <c r="F23" s="14" t="inlineStr">
        <is>
          <t>Uncategorized</t>
        </is>
      </c>
      <c r="G23" s="8" t="inlineStr">
        <is>
          <t>2034 Job Detail Report.pdf (Sage Timberline, 04/03/2026, 207 pages)</t>
        </is>
      </c>
    </row>
    <row r="24">
      <c r="B24" s="14" t="inlineStr">
        <is>
          <t>1421RA</t>
        </is>
      </c>
      <c r="C24" s="5" t="inlineStr">
        <is>
          <t>R.A. Brown Backflow Testing</t>
        </is>
      </c>
      <c r="D24" s="15" t="n">
        <v>265</v>
      </c>
      <c r="E24" s="14" t="n">
        <v>2</v>
      </c>
      <c r="F24" s="14" t="inlineStr">
        <is>
          <t>Testing subcontractor</t>
        </is>
      </c>
      <c r="G24" s="8" t="inlineStr">
        <is>
          <t>2034 Job Detail Report.pdf (Sage Timberline, 04/03/2026, 207 pages)</t>
        </is>
      </c>
    </row>
    <row r="25">
      <c r="B25" s="14" t="inlineStr">
        <is>
          <t>1175FE</t>
        </is>
      </c>
      <c r="C25" s="5" t="inlineStr">
        <is>
          <t>Ferguson Enterprises, Inc. #3007</t>
        </is>
      </c>
      <c r="D25" s="15" t="n">
        <v>169.35</v>
      </c>
      <c r="E25" s="14" t="n">
        <v>2</v>
      </c>
      <c r="F25" s="14" t="inlineStr">
        <is>
          <t>Plumbing / Supplies</t>
        </is>
      </c>
      <c r="G25" s="8" t="inlineStr">
        <is>
          <t>2034 Job Detail Report.pdf (Sage Timberline, 04/03/2026, 207 pages)</t>
        </is>
      </c>
    </row>
    <row r="26">
      <c r="B26" s="14" t="inlineStr">
        <is>
          <t>1978FC</t>
        </is>
      </c>
      <c r="C26" s="5" t="inlineStr">
        <is>
          <t>Fastenal Company</t>
        </is>
      </c>
      <c r="D26" s="15" t="n">
        <v>155.07</v>
      </c>
      <c r="E26" s="14" t="n">
        <v>8</v>
      </c>
      <c r="F26" s="14" t="inlineStr">
        <is>
          <t>Uncategorized</t>
        </is>
      </c>
      <c r="G26" s="8" t="inlineStr">
        <is>
          <t>2034 Job Detail Report.pdf (Sage Timberline, 04/03/2026, 207 pages)</t>
        </is>
      </c>
    </row>
    <row r="27">
      <c r="B27" s="14" t="inlineStr">
        <is>
          <t>1021AT</t>
        </is>
      </c>
      <c r="C27" s="5" t="inlineStr">
        <is>
          <t>ACME Corp</t>
        </is>
      </c>
      <c r="D27" s="15" t="n">
        <v>135</v>
      </c>
      <c r="E27" s="14" t="n">
        <v>1</v>
      </c>
      <c r="F27" s="14" t="inlineStr">
        <is>
          <t>Uncategorized</t>
        </is>
      </c>
      <c r="G27" s="8" t="inlineStr">
        <is>
          <t>2034 Job Detail Report.pdf (Sage Timberline, 04/03/2026, 207 pages)</t>
        </is>
      </c>
    </row>
    <row r="28">
      <c r="B28" s="14" t="inlineStr">
        <is>
          <t>1380RS</t>
        </is>
      </c>
      <c r="C28" s="5" t="inlineStr">
        <is>
          <t>Rosen Supply Kirkland</t>
        </is>
      </c>
      <c r="D28" s="15" t="n">
        <v>8.58</v>
      </c>
      <c r="E28" s="14" t="n">
        <v>1</v>
      </c>
      <c r="F28" s="14" t="inlineStr">
        <is>
          <t>Plumbing / Supplies</t>
        </is>
      </c>
      <c r="G28" s="8" t="inlineStr">
        <is>
          <t>2034 Job Detail Report.pdf (Sage Timberline, 04/03/2026, 207 pages)</t>
        </is>
      </c>
    </row>
    <row r="29">
      <c r="B29" s="14" t="inlineStr">
        <is>
          <t>2033RS</t>
        </is>
      </c>
      <c r="C29" s="5" t="inlineStr">
        <is>
          <t>Rosen Supply Company, Inc. $Vuecrest</t>
        </is>
      </c>
      <c r="D29" s="15" t="n">
        <v>0</v>
      </c>
      <c r="E29" s="14" t="n">
        <v>6</v>
      </c>
      <c r="F29" s="14" t="inlineStr">
        <is>
          <t>Plumbing / Supplies</t>
        </is>
      </c>
      <c r="G29" s="8" t="inlineStr">
        <is>
          <t>2034 Job Detail Report.pdf (Sage Timberline, 04/03/2026, 207 pages)</t>
        </is>
      </c>
    </row>
    <row r="30">
      <c r="B30" s="18" t="inlineStr">
        <is>
          <t>TOTAL</t>
        </is>
      </c>
      <c r="D30" s="21">
        <f>SUM(D6:D29)</f>
        <v/>
      </c>
      <c r="E30" s="23">
        <f>SUM(E6:E29)</f>
        <v/>
      </c>
    </row>
    <row r="32">
      <c r="B32" s="24" t="inlineStr">
        <is>
          <t>NOTE: AP total per JDR footer = $407,866.12. Vendor sum above approximates this. Submittals folder contains 22 items (fixtures, material, equipment, acoustical schedule, underground, water heater strap kit). POs folder has 231 POs (1 placed, 2 scheduled, 3 completed + loose files).</t>
        </is>
      </c>
      <c r="C32" s="6" t="n"/>
      <c r="D32" s="6" t="n"/>
      <c r="E32" s="6" t="n"/>
      <c r="F32" s="6" t="n"/>
      <c r="G32" s="7" t="n"/>
    </row>
  </sheetData>
  <mergeCells count="3">
    <mergeCell ref="B32:G32"/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5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2" customWidth="1" min="3" max="3"/>
    <col width="12" customWidth="1" min="4" max="4"/>
    <col width="14" customWidth="1" min="5" max="5"/>
    <col width="18" customWidth="1" min="6" max="6"/>
    <col width="14" customWidth="1" min="7" max="7"/>
    <col width="40" customWidth="1" min="8" max="8"/>
  </cols>
  <sheetData>
    <row r="2" ht="28" customHeight="1">
      <c r="B2" s="1" t="inlineStr">
        <is>
          <t>Crew &amp; Labor — Worker Roster</t>
        </is>
      </c>
    </row>
    <row r="3">
      <c r="B3" s="2" t="inlineStr">
        <is>
          <t>All 45 unique payroll workers from JDR. OWP RI Foreman: Thaddeus Waites.</t>
        </is>
      </c>
    </row>
    <row r="5">
      <c r="B5" s="13" t="inlineStr">
        <is>
          <t>Worker ID</t>
        </is>
      </c>
      <c r="C5" s="13" t="inlineStr">
        <is>
          <t>Worker Name</t>
        </is>
      </c>
      <c r="D5" s="13" t="inlineStr">
        <is>
          <t>Total Hours</t>
        </is>
      </c>
      <c r="E5" s="13" t="inlineStr">
        <is>
          <t>Gross Pay</t>
        </is>
      </c>
      <c r="F5" s="13" t="inlineStr">
        <is>
          <t>Blended Wage ($/hr)</t>
        </is>
      </c>
      <c r="G5" s="13" t="inlineStr">
        <is>
          <t># Work Days</t>
        </is>
      </c>
      <c r="H5" s="13" t="inlineStr">
        <is>
          <t>Source</t>
        </is>
      </c>
    </row>
    <row r="6">
      <c r="B6" s="14" t="inlineStr">
        <is>
          <t>MC09</t>
        </is>
      </c>
      <c r="C6" s="5" t="inlineStr">
        <is>
          <t>McCabe, Thomas C</t>
        </is>
      </c>
      <c r="D6" s="17" t="n">
        <v>1992.5</v>
      </c>
      <c r="E6" s="20" t="n">
        <v>55968</v>
      </c>
      <c r="F6" s="20">
        <f>IF(D6=0,0,E6/D6)</f>
        <v/>
      </c>
      <c r="G6" s="14" t="n">
        <v>59</v>
      </c>
      <c r="H6" s="8" t="inlineStr">
        <is>
          <t>2034 Job Detail Report.pdf (Sage Timberline, 04/03/2026, 207 pages)</t>
        </is>
      </c>
    </row>
    <row r="7">
      <c r="B7" s="14" t="inlineStr">
        <is>
          <t>GO56</t>
        </is>
      </c>
      <c r="C7" s="5" t="inlineStr">
        <is>
          <t>Gonzalez Hernandez, Josue</t>
        </is>
      </c>
      <c r="D7" s="17" t="n">
        <v>1812</v>
      </c>
      <c r="E7" s="20" t="n">
        <v>43962.5</v>
      </c>
      <c r="F7" s="20">
        <f>IF(D7=0,0,E7/D7)</f>
        <v/>
      </c>
      <c r="G7" s="14" t="n">
        <v>48</v>
      </c>
      <c r="H7" s="8" t="inlineStr">
        <is>
          <t>2034 Job Detail Report.pdf (Sage Timberline, 04/03/2026, 207 pages)</t>
        </is>
      </c>
    </row>
    <row r="8">
      <c r="B8" s="14" t="inlineStr">
        <is>
          <t>TA96</t>
        </is>
      </c>
      <c r="C8" s="5" t="inlineStr">
        <is>
          <t>Taylor, Evan R</t>
        </is>
      </c>
      <c r="D8" s="17" t="n">
        <v>1456</v>
      </c>
      <c r="E8" s="20" t="n">
        <v>28224</v>
      </c>
      <c r="F8" s="20">
        <f>IF(D8=0,0,E8/D8)</f>
        <v/>
      </c>
      <c r="G8" s="14" t="n">
        <v>42</v>
      </c>
      <c r="H8" s="8" t="inlineStr">
        <is>
          <t>2034 Job Detail Report.pdf (Sage Timberline, 04/03/2026, 207 pages)</t>
        </is>
      </c>
    </row>
    <row r="9">
      <c r="B9" s="14" t="inlineStr">
        <is>
          <t>LO58</t>
        </is>
      </c>
      <c r="C9" s="5" t="inlineStr">
        <is>
          <t>Lopez Reyes, Boris O</t>
        </is>
      </c>
      <c r="D9" s="17" t="n">
        <v>1403.5</v>
      </c>
      <c r="E9" s="20" t="n">
        <v>22948</v>
      </c>
      <c r="F9" s="20">
        <f>IF(D9=0,0,E9/D9)</f>
        <v/>
      </c>
      <c r="G9" s="14" t="n">
        <v>41</v>
      </c>
      <c r="H9" s="8" t="inlineStr">
        <is>
          <t>2034 Job Detail Report.pdf (Sage Timberline, 04/03/2026, 207 pages)</t>
        </is>
      </c>
    </row>
    <row r="10">
      <c r="B10" s="14" t="inlineStr">
        <is>
          <t>WA35</t>
        </is>
      </c>
      <c r="C10" s="5" t="inlineStr">
        <is>
          <t>Waites, Thaddeus Z</t>
        </is>
      </c>
      <c r="D10" s="17" t="n">
        <v>1391</v>
      </c>
      <c r="E10" s="20" t="n">
        <v>54932.5</v>
      </c>
      <c r="F10" s="20">
        <f>IF(D10=0,0,E10/D10)</f>
        <v/>
      </c>
      <c r="G10" s="14" t="n">
        <v>43</v>
      </c>
      <c r="H10" s="8" t="inlineStr">
        <is>
          <t>2034 Job Detail Report.pdf (Sage Timberline, 04/03/2026, 207 pages)</t>
        </is>
      </c>
    </row>
    <row r="11">
      <c r="B11" s="14" t="inlineStr">
        <is>
          <t>EL33</t>
        </is>
      </c>
      <c r="C11" s="5" t="inlineStr">
        <is>
          <t>Eliassen, Cory H</t>
        </is>
      </c>
      <c r="D11" s="17" t="n">
        <v>1326</v>
      </c>
      <c r="E11" s="20" t="n">
        <v>25918</v>
      </c>
      <c r="F11" s="20">
        <f>IF(D11=0,0,E11/D11)</f>
        <v/>
      </c>
      <c r="G11" s="14" t="n">
        <v>39</v>
      </c>
      <c r="H11" s="8" t="inlineStr">
        <is>
          <t>2034 Job Detail Report.pdf (Sage Timberline, 04/03/2026, 207 pages)</t>
        </is>
      </c>
    </row>
    <row r="12">
      <c r="B12" s="14" t="inlineStr">
        <is>
          <t>HU06</t>
        </is>
      </c>
      <c r="C12" s="5" t="inlineStr">
        <is>
          <t>Hubbard, Robert W</t>
        </is>
      </c>
      <c r="D12" s="17" t="n">
        <v>1090.5</v>
      </c>
      <c r="E12" s="20" t="n">
        <v>46773</v>
      </c>
      <c r="F12" s="20">
        <f>IF(D12=0,0,E12/D12)</f>
        <v/>
      </c>
      <c r="G12" s="14" t="n">
        <v>72</v>
      </c>
      <c r="H12" s="8" t="inlineStr">
        <is>
          <t>2034 Job Detail Report.pdf (Sage Timberline, 04/03/2026, 207 pages)</t>
        </is>
      </c>
    </row>
    <row r="13">
      <c r="B13" s="14" t="inlineStr">
        <is>
          <t>AM03</t>
        </is>
      </c>
      <c r="C13" s="5" t="inlineStr">
        <is>
          <t>Amaya Gonzalez, Edilberto A</t>
        </is>
      </c>
      <c r="D13" s="17" t="n">
        <v>1069</v>
      </c>
      <c r="E13" s="20" t="n">
        <v>22969</v>
      </c>
      <c r="F13" s="20">
        <f>IF(D13=0,0,E13/D13)</f>
        <v/>
      </c>
      <c r="G13" s="14" t="n">
        <v>28</v>
      </c>
      <c r="H13" s="8" t="inlineStr">
        <is>
          <t>2034 Job Detail Report.pdf (Sage Timberline, 04/03/2026, 207 pages)</t>
        </is>
      </c>
    </row>
    <row r="14">
      <c r="B14" s="14" t="inlineStr">
        <is>
          <t>RO75</t>
        </is>
      </c>
      <c r="C14" s="5" t="inlineStr">
        <is>
          <t>Ross, Kelli M</t>
        </is>
      </c>
      <c r="D14" s="17" t="n">
        <v>844</v>
      </c>
      <c r="E14" s="20" t="n">
        <v>30384</v>
      </c>
      <c r="F14" s="20">
        <f>IF(D14=0,0,E14/D14)</f>
        <v/>
      </c>
      <c r="G14" s="14" t="n">
        <v>24</v>
      </c>
      <c r="H14" s="8" t="inlineStr">
        <is>
          <t>2034 Job Detail Report.pdf (Sage Timberline, 04/03/2026, 207 pages)</t>
        </is>
      </c>
    </row>
    <row r="15">
      <c r="B15" s="14" t="inlineStr">
        <is>
          <t>PO71</t>
        </is>
      </c>
      <c r="C15" s="5" t="inlineStr">
        <is>
          <t>Portillo, Kevin J</t>
        </is>
      </c>
      <c r="D15" s="17" t="n">
        <v>832</v>
      </c>
      <c r="E15" s="20" t="n">
        <v>12928</v>
      </c>
      <c r="F15" s="20">
        <f>IF(D15=0,0,E15/D15)</f>
        <v/>
      </c>
      <c r="G15" s="14" t="n">
        <v>22</v>
      </c>
      <c r="H15" s="8" t="inlineStr">
        <is>
          <t>2034 Job Detail Report.pdf (Sage Timberline, 04/03/2026, 207 pages)</t>
        </is>
      </c>
    </row>
    <row r="16">
      <c r="B16" s="14" t="inlineStr">
        <is>
          <t>RE96</t>
        </is>
      </c>
      <c r="C16" s="5" t="inlineStr">
        <is>
          <t>Reyes Cruz, Denis A</t>
        </is>
      </c>
      <c r="D16" s="17" t="n">
        <v>780</v>
      </c>
      <c r="E16" s="20" t="n">
        <v>16404</v>
      </c>
      <c r="F16" s="20">
        <f>IF(D16=0,0,E16/D16)</f>
        <v/>
      </c>
      <c r="G16" s="14" t="n">
        <v>22</v>
      </c>
      <c r="H16" s="8" t="inlineStr">
        <is>
          <t>2034 Job Detail Report.pdf (Sage Timberline, 04/03/2026, 207 pages)</t>
        </is>
      </c>
    </row>
    <row r="17">
      <c r="B17" s="14" t="inlineStr">
        <is>
          <t>PH03</t>
        </is>
      </c>
      <c r="C17" s="5" t="inlineStr">
        <is>
          <t>Phaysith, Alexander B</t>
        </is>
      </c>
      <c r="D17" s="17" t="n">
        <v>752</v>
      </c>
      <c r="E17" s="20" t="n">
        <v>10995</v>
      </c>
      <c r="F17" s="20">
        <f>IF(D17=0,0,E17/D17)</f>
        <v/>
      </c>
      <c r="G17" s="14" t="n">
        <v>22</v>
      </c>
      <c r="H17" s="8" t="inlineStr">
        <is>
          <t>2034 Job Detail Report.pdf (Sage Timberline, 04/03/2026, 207 pages)</t>
        </is>
      </c>
    </row>
    <row r="18">
      <c r="B18" s="14" t="inlineStr">
        <is>
          <t>VE42</t>
        </is>
      </c>
      <c r="C18" s="5" t="inlineStr">
        <is>
          <t>Velasquez Cruz, Denis M</t>
        </is>
      </c>
      <c r="D18" s="17" t="n">
        <v>693.5</v>
      </c>
      <c r="E18" s="20" t="n">
        <v>16334.5</v>
      </c>
      <c r="F18" s="20">
        <f>IF(D18=0,0,E18/D18)</f>
        <v/>
      </c>
      <c r="G18" s="14" t="n">
        <v>19</v>
      </c>
      <c r="H18" s="8" t="inlineStr">
        <is>
          <t>2034 Job Detail Report.pdf (Sage Timberline, 04/03/2026, 207 pages)</t>
        </is>
      </c>
    </row>
    <row r="19">
      <c r="B19" s="14" t="inlineStr">
        <is>
          <t>VE43</t>
        </is>
      </c>
      <c r="C19" s="5" t="inlineStr">
        <is>
          <t>Velasquez Cruz, Osman N</t>
        </is>
      </c>
      <c r="D19" s="17" t="n">
        <v>661.5</v>
      </c>
      <c r="E19" s="20" t="n">
        <v>10013</v>
      </c>
      <c r="F19" s="20">
        <f>IF(D19=0,0,E19/D19)</f>
        <v/>
      </c>
      <c r="G19" s="14" t="n">
        <v>19</v>
      </c>
      <c r="H19" s="8" t="inlineStr">
        <is>
          <t>2034 Job Detail Report.pdf (Sage Timberline, 04/03/2026, 207 pages)</t>
        </is>
      </c>
    </row>
    <row r="20">
      <c r="B20" s="14" t="inlineStr">
        <is>
          <t>WE55</t>
        </is>
      </c>
      <c r="C20" s="5" t="inlineStr">
        <is>
          <t>Wennig, Johnathan M</t>
        </is>
      </c>
      <c r="D20" s="17" t="n">
        <v>616</v>
      </c>
      <c r="E20" s="20" t="n">
        <v>13304</v>
      </c>
      <c r="F20" s="20">
        <f>IF(D20=0,0,E20/D20)</f>
        <v/>
      </c>
      <c r="G20" s="14" t="n">
        <v>17</v>
      </c>
      <c r="H20" s="8" t="inlineStr">
        <is>
          <t>2034 Job Detail Report.pdf (Sage Timberline, 04/03/2026, 207 pages)</t>
        </is>
      </c>
    </row>
    <row r="21">
      <c r="B21" s="14" t="inlineStr">
        <is>
          <t>RA57</t>
        </is>
      </c>
      <c r="C21" s="5" t="inlineStr">
        <is>
          <t>Ramos Melendez, Carlos M</t>
        </is>
      </c>
      <c r="D21" s="17" t="n">
        <v>428</v>
      </c>
      <c r="E21" s="20" t="n">
        <v>5992</v>
      </c>
      <c r="F21" s="20">
        <f>IF(D21=0,0,E21/D21)</f>
        <v/>
      </c>
      <c r="G21" s="14" t="n">
        <v>11</v>
      </c>
      <c r="H21" s="8" t="inlineStr">
        <is>
          <t>2034 Job Detail Report.pdf (Sage Timberline, 04/03/2026, 207 pages)</t>
        </is>
      </c>
    </row>
    <row r="22">
      <c r="B22" s="14" t="inlineStr">
        <is>
          <t>LO87</t>
        </is>
      </c>
      <c r="C22" s="5" t="inlineStr">
        <is>
          <t>Lovo, German G</t>
        </is>
      </c>
      <c r="D22" s="17" t="n">
        <v>416</v>
      </c>
      <c r="E22" s="20" t="n">
        <v>8320</v>
      </c>
      <c r="F22" s="20">
        <f>IF(D22=0,0,E22/D22)</f>
        <v/>
      </c>
      <c r="G22" s="14" t="n">
        <v>11</v>
      </c>
      <c r="H22" s="8" t="inlineStr">
        <is>
          <t>2034 Job Detail Report.pdf (Sage Timberline, 04/03/2026, 207 pages)</t>
        </is>
      </c>
    </row>
    <row r="23">
      <c r="B23" s="14" t="inlineStr">
        <is>
          <t>SA54</t>
        </is>
      </c>
      <c r="C23" s="5" t="inlineStr">
        <is>
          <t>Sanders, Allen O</t>
        </is>
      </c>
      <c r="D23" s="17" t="n">
        <v>363.5</v>
      </c>
      <c r="E23" s="20" t="n">
        <v>15252</v>
      </c>
      <c r="F23" s="20">
        <f>IF(D23=0,0,E23/D23)</f>
        <v/>
      </c>
      <c r="G23" s="14" t="n">
        <v>28</v>
      </c>
      <c r="H23" s="8" t="inlineStr">
        <is>
          <t>2034 Job Detail Report.pdf (Sage Timberline, 04/03/2026, 207 pages)</t>
        </is>
      </c>
    </row>
    <row r="24">
      <c r="B24" s="14" t="inlineStr">
        <is>
          <t>WI46</t>
        </is>
      </c>
      <c r="C24" s="5" t="inlineStr">
        <is>
          <t>Wilson, Garret A</t>
        </is>
      </c>
      <c r="D24" s="17" t="n">
        <v>352</v>
      </c>
      <c r="E24" s="20" t="n">
        <v>9504</v>
      </c>
      <c r="F24" s="20">
        <f>IF(D24=0,0,E24/D24)</f>
        <v/>
      </c>
      <c r="G24" s="14" t="n">
        <v>11</v>
      </c>
      <c r="H24" s="8" t="inlineStr">
        <is>
          <t>2034 Job Detail Report.pdf (Sage Timberline, 04/03/2026, 207 pages)</t>
        </is>
      </c>
    </row>
    <row r="25">
      <c r="B25" s="14" t="inlineStr">
        <is>
          <t>CA73</t>
        </is>
      </c>
      <c r="C25" s="5" t="inlineStr">
        <is>
          <t>Castaneda Juarez, Gustavo</t>
        </is>
      </c>
      <c r="D25" s="17" t="n">
        <v>344</v>
      </c>
      <c r="E25" s="20" t="n">
        <v>7568</v>
      </c>
      <c r="F25" s="20">
        <f>IF(D25=0,0,E25/D25)</f>
        <v/>
      </c>
      <c r="G25" s="14" t="n">
        <v>11</v>
      </c>
      <c r="H25" s="8" t="inlineStr">
        <is>
          <t>2034 Job Detail Report.pdf (Sage Timberline, 04/03/2026, 207 pages)</t>
        </is>
      </c>
    </row>
    <row r="26">
      <c r="B26" s="14" t="inlineStr">
        <is>
          <t>KI55</t>
        </is>
      </c>
      <c r="C26" s="5" t="inlineStr">
        <is>
          <t>Kinssies, Jr, John E</t>
        </is>
      </c>
      <c r="D26" s="17" t="n">
        <v>292</v>
      </c>
      <c r="E26" s="20" t="n">
        <v>5936</v>
      </c>
      <c r="F26" s="20">
        <f>IF(D26=0,0,E26/D26)</f>
        <v/>
      </c>
      <c r="G26" s="14" t="n">
        <v>9</v>
      </c>
      <c r="H26" s="8" t="inlineStr">
        <is>
          <t>2034 Job Detail Report.pdf (Sage Timberline, 04/03/2026, 207 pages)</t>
        </is>
      </c>
    </row>
    <row r="27">
      <c r="B27" s="14" t="inlineStr">
        <is>
          <t>GO51</t>
        </is>
      </c>
      <c r="C27" s="5" t="inlineStr">
        <is>
          <t>Gomez Reyes, Edith N</t>
        </is>
      </c>
      <c r="D27" s="17" t="n">
        <v>281</v>
      </c>
      <c r="E27" s="20" t="n">
        <v>5058</v>
      </c>
      <c r="F27" s="20">
        <f>IF(D27=0,0,E27/D27)</f>
        <v/>
      </c>
      <c r="G27" s="14" t="n">
        <v>14</v>
      </c>
      <c r="H27" s="8" t="inlineStr">
        <is>
          <t>2034 Job Detail Report.pdf (Sage Timberline, 04/03/2026, 207 pages)</t>
        </is>
      </c>
    </row>
    <row r="28">
      <c r="B28" s="14" t="inlineStr">
        <is>
          <t>CA72</t>
        </is>
      </c>
      <c r="C28" s="5" t="inlineStr">
        <is>
          <t>Castaneda Juarez, Edgar D</t>
        </is>
      </c>
      <c r="D28" s="17" t="n">
        <v>276</v>
      </c>
      <c r="E28" s="20" t="n">
        <v>6072</v>
      </c>
      <c r="F28" s="20">
        <f>IF(D28=0,0,E28/D28)</f>
        <v/>
      </c>
      <c r="G28" s="14" t="n">
        <v>9</v>
      </c>
      <c r="H28" s="8" t="inlineStr">
        <is>
          <t>2034 Job Detail Report.pdf (Sage Timberline, 04/03/2026, 207 pages)</t>
        </is>
      </c>
    </row>
    <row r="29">
      <c r="B29" s="14" t="inlineStr">
        <is>
          <t>DO56</t>
        </is>
      </c>
      <c r="C29" s="5" t="inlineStr">
        <is>
          <t>Donelson, Richard T</t>
        </is>
      </c>
      <c r="D29" s="17" t="n">
        <v>261</v>
      </c>
      <c r="E29" s="20" t="n">
        <v>13215</v>
      </c>
      <c r="F29" s="20">
        <f>IF(D29=0,0,E29/D29)</f>
        <v/>
      </c>
      <c r="G29" s="14" t="n">
        <v>70</v>
      </c>
      <c r="H29" s="8" t="inlineStr">
        <is>
          <t>2034 Job Detail Report.pdf (Sage Timberline, 04/03/2026, 207 pages)</t>
        </is>
      </c>
    </row>
    <row r="30">
      <c r="B30" s="14" t="inlineStr">
        <is>
          <t>GA70</t>
        </is>
      </c>
      <c r="C30" s="5" t="inlineStr">
        <is>
          <t>Garcia, Jordan X</t>
        </is>
      </c>
      <c r="D30" s="17" t="n">
        <v>249</v>
      </c>
      <c r="E30" s="20" t="n">
        <v>6739</v>
      </c>
      <c r="F30" s="20">
        <f>IF(D30=0,0,E30/D30)</f>
        <v/>
      </c>
      <c r="G30" s="14" t="n">
        <v>12</v>
      </c>
      <c r="H30" s="8" t="inlineStr">
        <is>
          <t>2034 Job Detail Report.pdf (Sage Timberline, 04/03/2026, 207 pages)</t>
        </is>
      </c>
    </row>
    <row r="31">
      <c r="B31" s="14" t="inlineStr">
        <is>
          <t>RA52</t>
        </is>
      </c>
      <c r="C31" s="5" t="inlineStr">
        <is>
          <t>Ramos Banegas, Noel O</t>
        </is>
      </c>
      <c r="D31" s="17" t="n">
        <v>221.5</v>
      </c>
      <c r="E31" s="20" t="n">
        <v>4430</v>
      </c>
      <c r="F31" s="20">
        <f>IF(D31=0,0,E31/D31)</f>
        <v/>
      </c>
      <c r="G31" s="14" t="n">
        <v>7</v>
      </c>
      <c r="H31" s="8" t="inlineStr">
        <is>
          <t>2034 Job Detail Report.pdf (Sage Timberline, 04/03/2026, 207 pages)</t>
        </is>
      </c>
    </row>
    <row r="32">
      <c r="B32" s="14" t="inlineStr">
        <is>
          <t>CA74</t>
        </is>
      </c>
      <c r="C32" s="5" t="inlineStr">
        <is>
          <t>Castaneda Martinez, Gustavo</t>
        </is>
      </c>
      <c r="D32" s="17" t="n">
        <v>201</v>
      </c>
      <c r="E32" s="20" t="n">
        <v>7839</v>
      </c>
      <c r="F32" s="20">
        <f>IF(D32=0,0,E32/D32)</f>
        <v/>
      </c>
      <c r="G32" s="14" t="n">
        <v>8</v>
      </c>
      <c r="H32" s="8" t="inlineStr">
        <is>
          <t>2034 Job Detail Report.pdf (Sage Timberline, 04/03/2026, 207 pages)</t>
        </is>
      </c>
    </row>
    <row r="33">
      <c r="B33" s="14" t="inlineStr">
        <is>
          <t>CO69</t>
        </is>
      </c>
      <c r="C33" s="5" t="inlineStr">
        <is>
          <t>Cornejo Orellana, Carlos E</t>
        </is>
      </c>
      <c r="D33" s="17" t="n">
        <v>200</v>
      </c>
      <c r="E33" s="20" t="n">
        <v>3000</v>
      </c>
      <c r="F33" s="20">
        <f>IF(D33=0,0,E33/D33)</f>
        <v/>
      </c>
      <c r="G33" s="14" t="n">
        <v>6</v>
      </c>
      <c r="H33" s="8" t="inlineStr">
        <is>
          <t>2034 Job Detail Report.pdf (Sage Timberline, 04/03/2026, 207 pages)</t>
        </is>
      </c>
    </row>
    <row r="34">
      <c r="B34" s="14" t="inlineStr">
        <is>
          <t>PA11</t>
        </is>
      </c>
      <c r="C34" s="5" t="inlineStr">
        <is>
          <t>Paco Leyva, Orlando</t>
        </is>
      </c>
      <c r="D34" s="17" t="n">
        <v>139</v>
      </c>
      <c r="E34" s="20" t="n">
        <v>3850</v>
      </c>
      <c r="F34" s="20">
        <f>IF(D34=0,0,E34/D34)</f>
        <v/>
      </c>
      <c r="G34" s="14" t="n">
        <v>11</v>
      </c>
      <c r="H34" s="8" t="inlineStr">
        <is>
          <t>2034 Job Detail Report.pdf (Sage Timberline, 04/03/2026, 207 pages)</t>
        </is>
      </c>
    </row>
    <row r="35">
      <c r="B35" s="14" t="inlineStr">
        <is>
          <t>CO73</t>
        </is>
      </c>
      <c r="C35" s="5" t="inlineStr">
        <is>
          <t>Cortes Sepulveda, Jose R</t>
        </is>
      </c>
      <c r="D35" s="17" t="n">
        <v>132.5</v>
      </c>
      <c r="E35" s="20" t="n">
        <v>2517.5</v>
      </c>
      <c r="F35" s="20">
        <f>IF(D35=0,0,E35/D35)</f>
        <v/>
      </c>
      <c r="G35" s="14" t="n">
        <v>7</v>
      </c>
      <c r="H35" s="8" t="inlineStr">
        <is>
          <t>2034 Job Detail Report.pdf (Sage Timberline, 04/03/2026, 207 pages)</t>
        </is>
      </c>
    </row>
    <row r="36">
      <c r="B36" s="14" t="inlineStr">
        <is>
          <t>CA71</t>
        </is>
      </c>
      <c r="C36" s="5" t="inlineStr">
        <is>
          <t>Castaneda Juarez, Cesar O</t>
        </is>
      </c>
      <c r="D36" s="17" t="n">
        <v>132</v>
      </c>
      <c r="E36" s="20" t="n">
        <v>1980</v>
      </c>
      <c r="F36" s="20">
        <f>IF(D36=0,0,E36/D36)</f>
        <v/>
      </c>
      <c r="G36" s="14" t="n">
        <v>7</v>
      </c>
      <c r="H36" s="8" t="inlineStr">
        <is>
          <t>2034 Job Detail Report.pdf (Sage Timberline, 04/03/2026, 207 pages)</t>
        </is>
      </c>
    </row>
    <row r="37">
      <c r="B37" s="14" t="inlineStr">
        <is>
          <t>CO71</t>
        </is>
      </c>
      <c r="C37" s="5" t="inlineStr">
        <is>
          <t>Cortes Mendiola, Victor H</t>
        </is>
      </c>
      <c r="D37" s="17" t="n">
        <v>123.5</v>
      </c>
      <c r="E37" s="20" t="n">
        <v>4519.5</v>
      </c>
      <c r="F37" s="20">
        <f>IF(D37=0,0,E37/D37)</f>
        <v/>
      </c>
      <c r="G37" s="14" t="n">
        <v>11</v>
      </c>
      <c r="H37" s="8" t="inlineStr">
        <is>
          <t>2034 Job Detail Report.pdf (Sage Timberline, 04/03/2026, 207 pages)</t>
        </is>
      </c>
    </row>
    <row r="38">
      <c r="B38" s="14" t="inlineStr">
        <is>
          <t>SA45</t>
        </is>
      </c>
      <c r="C38" s="5" t="inlineStr">
        <is>
          <t>Salazar, Hajdar L</t>
        </is>
      </c>
      <c r="D38" s="17" t="n">
        <v>120</v>
      </c>
      <c r="E38" s="20" t="n">
        <v>2280</v>
      </c>
      <c r="F38" s="20">
        <f>IF(D38=0,0,E38/D38)</f>
        <v/>
      </c>
      <c r="G38" s="14" t="n">
        <v>3</v>
      </c>
      <c r="H38" s="8" t="inlineStr">
        <is>
          <t>2034 Job Detail Report.pdf (Sage Timberline, 04/03/2026, 207 pages)</t>
        </is>
      </c>
    </row>
    <row r="39">
      <c r="B39" s="14" t="inlineStr">
        <is>
          <t>GE69</t>
        </is>
      </c>
      <c r="C39" s="5" t="inlineStr">
        <is>
          <t>Gerard, Jeffrey S</t>
        </is>
      </c>
      <c r="D39" s="17" t="n">
        <v>97.5</v>
      </c>
      <c r="E39" s="20" t="n">
        <v>4520.5</v>
      </c>
      <c r="F39" s="20">
        <f>IF(D39=0,0,E39/D39)</f>
        <v/>
      </c>
      <c r="G39" s="14" t="n">
        <v>42</v>
      </c>
      <c r="H39" s="8" t="inlineStr">
        <is>
          <t>2034 Job Detail Report.pdf (Sage Timberline, 04/03/2026, 207 pages)</t>
        </is>
      </c>
    </row>
    <row r="40">
      <c r="B40" s="14" t="inlineStr">
        <is>
          <t>BE10</t>
        </is>
      </c>
      <c r="C40" s="5" t="inlineStr">
        <is>
          <t>Becerra Cardona, Jorge D</t>
        </is>
      </c>
      <c r="D40" s="17" t="n">
        <v>91</v>
      </c>
      <c r="E40" s="20" t="n">
        <v>1638</v>
      </c>
      <c r="F40" s="20">
        <f>IF(D40=0,0,E40/D40)</f>
        <v/>
      </c>
      <c r="G40" s="14" t="n">
        <v>4</v>
      </c>
      <c r="H40" s="8" t="inlineStr">
        <is>
          <t>2034 Job Detail Report.pdf (Sage Timberline, 04/03/2026, 207 pages)</t>
        </is>
      </c>
    </row>
    <row r="41">
      <c r="B41" s="14" t="inlineStr">
        <is>
          <t>ME52</t>
        </is>
      </c>
      <c r="C41" s="5" t="inlineStr">
        <is>
          <t>Mendoza, Edgar E</t>
        </is>
      </c>
      <c r="D41" s="17" t="n">
        <v>88</v>
      </c>
      <c r="E41" s="20" t="n">
        <v>1408</v>
      </c>
      <c r="F41" s="20">
        <f>IF(D41=0,0,E41/D41)</f>
        <v/>
      </c>
      <c r="G41" s="14" t="n">
        <v>3</v>
      </c>
      <c r="H41" s="8" t="inlineStr">
        <is>
          <t>2034 Job Detail Report.pdf (Sage Timberline, 04/03/2026, 207 pages)</t>
        </is>
      </c>
    </row>
    <row r="42">
      <c r="B42" s="14" t="inlineStr">
        <is>
          <t>BE11</t>
        </is>
      </c>
      <c r="C42" s="5" t="inlineStr">
        <is>
          <t>Becerra Vega, Jorge M</t>
        </is>
      </c>
      <c r="D42" s="17" t="n">
        <v>77.75</v>
      </c>
      <c r="E42" s="20" t="n">
        <v>1399.5</v>
      </c>
      <c r="F42" s="20">
        <f>IF(D42=0,0,E42/D42)</f>
        <v/>
      </c>
      <c r="G42" s="14" t="n">
        <v>3</v>
      </c>
      <c r="H42" s="8" t="inlineStr">
        <is>
          <t>2034 Job Detail Report.pdf (Sage Timberline, 04/03/2026, 207 pages)</t>
        </is>
      </c>
    </row>
    <row r="43">
      <c r="B43" s="14" t="inlineStr">
        <is>
          <t>SA51</t>
        </is>
      </c>
      <c r="C43" s="5" t="inlineStr">
        <is>
          <t>Sanchez, Derli</t>
        </is>
      </c>
      <c r="D43" s="17" t="n">
        <v>75</v>
      </c>
      <c r="E43" s="20" t="n">
        <v>1350</v>
      </c>
      <c r="F43" s="20">
        <f>IF(D43=0,0,E43/D43)</f>
        <v/>
      </c>
      <c r="G43" s="14" t="n">
        <v>5</v>
      </c>
      <c r="H43" s="8" t="inlineStr">
        <is>
          <t>2034 Job Detail Report.pdf (Sage Timberline, 04/03/2026, 207 pages)</t>
        </is>
      </c>
    </row>
    <row r="44">
      <c r="B44" s="14" t="inlineStr">
        <is>
          <t>HU04</t>
        </is>
      </c>
      <c r="C44" s="5" t="inlineStr">
        <is>
          <t>Hubbard, Dustin R</t>
        </is>
      </c>
      <c r="D44" s="17" t="n">
        <v>28</v>
      </c>
      <c r="E44" s="20" t="n">
        <v>543</v>
      </c>
      <c r="F44" s="20">
        <f>IF(D44=0,0,E44/D44)</f>
        <v/>
      </c>
      <c r="G44" s="14" t="n">
        <v>10</v>
      </c>
      <c r="H44" s="8" t="inlineStr">
        <is>
          <t>2034 Job Detail Report.pdf (Sage Timberline, 04/03/2026, 207 pages)</t>
        </is>
      </c>
    </row>
    <row r="45">
      <c r="B45" s="14" t="inlineStr">
        <is>
          <t>CA50</t>
        </is>
      </c>
      <c r="C45" s="5" t="inlineStr">
        <is>
          <t>Caro, Camilo</t>
        </is>
      </c>
      <c r="D45" s="17" t="n">
        <v>26</v>
      </c>
      <c r="E45" s="20" t="n">
        <v>416</v>
      </c>
      <c r="F45" s="20">
        <f>IF(D45=0,0,E45/D45)</f>
        <v/>
      </c>
      <c r="G45" s="14" t="n">
        <v>2</v>
      </c>
      <c r="H45" s="8" t="inlineStr">
        <is>
          <t>2034 Job Detail Report.pdf (Sage Timberline, 04/03/2026, 207 pages)</t>
        </is>
      </c>
    </row>
    <row r="46">
      <c r="B46" s="14" t="inlineStr">
        <is>
          <t>RE18</t>
        </is>
      </c>
      <c r="C46" s="5" t="inlineStr">
        <is>
          <t>Reed, Reuben H</t>
        </is>
      </c>
      <c r="D46" s="17" t="n">
        <v>14</v>
      </c>
      <c r="E46" s="20" t="n">
        <v>504</v>
      </c>
      <c r="F46" s="20">
        <f>IF(D46=0,0,E46/D46)</f>
        <v/>
      </c>
      <c r="G46" s="14" t="n">
        <v>2</v>
      </c>
      <c r="H46" s="8" t="inlineStr">
        <is>
          <t>2034 Job Detail Report.pdf (Sage Timberline, 04/03/2026, 207 pages)</t>
        </is>
      </c>
    </row>
    <row r="47">
      <c r="B47" s="14" t="inlineStr">
        <is>
          <t>GA72</t>
        </is>
      </c>
      <c r="C47" s="5" t="inlineStr">
        <is>
          <t>Gardner, Andrew M</t>
        </is>
      </c>
      <c r="D47" s="17" t="n">
        <v>12</v>
      </c>
      <c r="E47" s="20" t="n">
        <v>204</v>
      </c>
      <c r="F47" s="20">
        <f>IF(D47=0,0,E47/D47)</f>
        <v/>
      </c>
      <c r="G47" s="14" t="n">
        <v>1</v>
      </c>
      <c r="H47" s="8" t="inlineStr">
        <is>
          <t>2034 Job Detail Report.pdf (Sage Timberline, 04/03/2026, 207 pages)</t>
        </is>
      </c>
    </row>
    <row r="48">
      <c r="B48" s="14" t="inlineStr">
        <is>
          <t>HE70</t>
        </is>
      </c>
      <c r="C48" s="5" t="inlineStr">
        <is>
          <t>Hernandez Gonzalez, Osbaldo</t>
        </is>
      </c>
      <c r="D48" s="17" t="n">
        <v>8</v>
      </c>
      <c r="E48" s="20" t="n">
        <v>120</v>
      </c>
      <c r="F48" s="20">
        <f>IF(D48=0,0,E48/D48)</f>
        <v/>
      </c>
      <c r="G48" s="14" t="n">
        <v>1</v>
      </c>
      <c r="H48" s="8" t="inlineStr">
        <is>
          <t>2034 Job Detail Report.pdf (Sage Timberline, 04/03/2026, 207 pages)</t>
        </is>
      </c>
    </row>
    <row r="49">
      <c r="B49" s="14" t="inlineStr">
        <is>
          <t>SE64</t>
        </is>
      </c>
      <c r="C49" s="5" t="inlineStr">
        <is>
          <t>Sepulveda Gonzalez, Alfredo</t>
        </is>
      </c>
      <c r="D49" s="17" t="n">
        <v>6</v>
      </c>
      <c r="E49" s="20" t="n">
        <v>186</v>
      </c>
      <c r="F49" s="20">
        <f>IF(D49=0,0,E49/D49)</f>
        <v/>
      </c>
      <c r="G49" s="14" t="n">
        <v>1</v>
      </c>
      <c r="H49" s="8" t="inlineStr">
        <is>
          <t>2034 Job Detail Report.pdf (Sage Timberline, 04/03/2026, 207 pages)</t>
        </is>
      </c>
    </row>
    <row r="50">
      <c r="B50" s="14" t="inlineStr">
        <is>
          <t>QU35</t>
        </is>
      </c>
      <c r="C50" s="5" t="inlineStr">
        <is>
          <t>Quintanilla, Esteban R</t>
        </is>
      </c>
      <c r="D50" s="17" t="n">
        <v>1</v>
      </c>
      <c r="E50" s="20" t="n">
        <v>40</v>
      </c>
      <c r="F50" s="20">
        <f>IF(D50=0,0,E50/D50)</f>
        <v/>
      </c>
      <c r="G50" s="14" t="n">
        <v>1</v>
      </c>
      <c r="H50" s="8" t="inlineStr">
        <is>
          <t>2034 Job Detail Report.pdf (Sage Timberline, 04/03/2026, 207 pages)</t>
        </is>
      </c>
    </row>
    <row r="51">
      <c r="B51" s="18" t="inlineStr">
        <is>
          <t>TOTAL</t>
        </is>
      </c>
      <c r="D51" s="10">
        <f>SUM(D6:D50)</f>
        <v/>
      </c>
      <c r="E51" s="9">
        <f>SUM(E6:E50)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50" customWidth="1" min="4" max="4"/>
    <col width="40" customWidth="1" min="5" max="5"/>
  </cols>
  <sheetData>
    <row r="2" ht="28" customHeight="1">
      <c r="B2" s="1" t="inlineStr">
        <is>
          <t>Crew Analytics</t>
        </is>
      </c>
    </row>
    <row r="3">
      <c r="B3" s="2" t="inlineStr">
        <is>
          <t>Team-level labor productivity, concentration, wage dispersion</t>
        </is>
      </c>
    </row>
    <row r="5">
      <c r="B5" s="3" t="inlineStr">
        <is>
          <t>TEAM-LEVEL METRICS</t>
        </is>
      </c>
    </row>
    <row r="6">
      <c r="B6" s="13" t="inlineStr">
        <is>
          <t>Metric</t>
        </is>
      </c>
      <c r="C6" s="13" t="inlineStr">
        <is>
          <t>Value</t>
        </is>
      </c>
      <c r="D6" s="13" t="inlineStr">
        <is>
          <t>Notes</t>
        </is>
      </c>
      <c r="E6" s="13" t="inlineStr">
        <is>
          <t>Source</t>
        </is>
      </c>
    </row>
    <row r="7">
      <c r="B7" s="5" t="inlineStr">
        <is>
          <t>Total Workers</t>
        </is>
      </c>
      <c r="C7" s="25" t="n">
        <v>45</v>
      </c>
      <c r="D7" s="5" t="inlineStr">
        <is>
          <t>Unique payroll IDs</t>
        </is>
      </c>
      <c r="E7" s="8" t="inlineStr">
        <is>
          <t>2034 Job Detail Report.pdf (Sage Timberline, 04/03/2026, 207 pages)</t>
        </is>
      </c>
    </row>
    <row r="8">
      <c r="B8" s="5" t="inlineStr">
        <is>
          <t>Total Labor Hours</t>
        </is>
      </c>
      <c r="C8" s="17" t="n">
        <v>21637.75</v>
      </c>
      <c r="D8" s="5" t="inlineStr">
        <is>
          <t>Sum of labor codes</t>
        </is>
      </c>
      <c r="E8" s="8" t="inlineStr">
        <is>
          <t>2034 Job Detail Report.pdf (Sage Timberline, 04/03/2026, 207 pages)</t>
        </is>
      </c>
    </row>
    <row r="9">
      <c r="B9" s="5" t="inlineStr">
        <is>
          <t>Total Gross Pay</t>
        </is>
      </c>
      <c r="C9" s="17" t="n">
        <v>539464.25</v>
      </c>
      <c r="D9" s="5" t="inlineStr">
        <is>
          <t>Sum of labor codes</t>
        </is>
      </c>
      <c r="E9" s="8" t="inlineStr">
        <is>
          <t>2034 Job Detail Report.pdf (Sage Timberline, 04/03/2026, 207 pages)</t>
        </is>
      </c>
    </row>
    <row r="10">
      <c r="B10" s="5" t="inlineStr">
        <is>
          <t>Blended Gross Wage ($/hr)</t>
        </is>
      </c>
      <c r="C10" s="20" t="n">
        <v>24.93162412912618</v>
      </c>
      <c r="D10" s="5" t="inlineStr">
        <is>
          <t>Labor$ / Hrs (pre-burden)</t>
        </is>
      </c>
      <c r="E10" s="8" t="inlineStr">
        <is>
          <t>Derived</t>
        </is>
      </c>
    </row>
    <row r="11">
      <c r="B11" s="5" t="inlineStr">
        <is>
          <t>Top Worker Hours Share</t>
        </is>
      </c>
      <c r="C11" s="16" t="n">
        <v>0.09208443576619565</v>
      </c>
      <c r="D11" s="5" t="inlineStr">
        <is>
          <t>MC09 McCabe, Thomas C (1992 hrs)</t>
        </is>
      </c>
      <c r="E11" s="8" t="inlineStr">
        <is>
          <t>Derived</t>
        </is>
      </c>
    </row>
    <row r="12">
      <c r="B12" s="5" t="inlineStr">
        <is>
          <t>Top 5 Workers Hours Share</t>
        </is>
      </c>
      <c r="C12" s="16" t="n">
        <v>0.3722660627837922</v>
      </c>
      <c r="D12" s="5" t="inlineStr">
        <is>
          <t>Concentration metric</t>
        </is>
      </c>
      <c r="E12" s="8" t="inlineStr">
        <is>
          <t>Derived</t>
        </is>
      </c>
    </row>
    <row r="13">
      <c r="B13" s="5" t="inlineStr">
        <is>
          <t>Highest Wage Rate ($/hr)</t>
        </is>
      </c>
      <c r="C13" s="20" t="n">
        <v>50.63218390804597</v>
      </c>
      <c r="D13" s="5" t="inlineStr">
        <is>
          <t>Single-worker blended</t>
        </is>
      </c>
      <c r="E13" s="8" t="inlineStr">
        <is>
          <t>Derived</t>
        </is>
      </c>
    </row>
    <row r="14">
      <c r="B14" s="5" t="inlineStr">
        <is>
          <t>Lowest Wage Rate ($/hr)</t>
        </is>
      </c>
      <c r="C14" s="20" t="n">
        <v>14</v>
      </c>
      <c r="D14" s="5" t="inlineStr">
        <is>
          <t>Single-worker blended</t>
        </is>
      </c>
      <c r="E14" s="8" t="inlineStr">
        <is>
          <t>Derived</t>
        </is>
      </c>
    </row>
    <row r="15">
      <c r="B15" s="5" t="inlineStr">
        <is>
          <t>Avg Hours per Worker</t>
        </is>
      </c>
      <c r="C15" s="17" t="n">
        <v>480.8388888888889</v>
      </c>
      <c r="D15" s="5" t="inlineStr">
        <is>
          <t>Includes short-tenure workers</t>
        </is>
      </c>
      <c r="E15" s="8" t="inlineStr">
        <is>
          <t>Derived</t>
        </is>
      </c>
    </row>
    <row r="16">
      <c r="B16" s="5" t="inlineStr">
        <is>
          <t>Avg Project Days per Worker</t>
        </is>
      </c>
      <c r="C16" s="17" t="n">
        <v>18.62222222222222</v>
      </c>
      <c r="D16" s="5" t="inlineStr">
        <is>
          <t>Mean days</t>
        </is>
      </c>
      <c r="E16" s="8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2" customWidth="1" min="4" max="4"/>
    <col width="44" customWidth="1" min="5" max="5"/>
  </cols>
  <sheetData>
    <row r="2" ht="28" customHeight="1">
      <c r="B2" s="1" t="inlineStr">
        <is>
          <t>Productivity Metrics</t>
        </is>
      </c>
    </row>
    <row r="3">
      <c r="B3" s="2" t="inlineStr">
        <is>
          <t>Normalized labor and financial ratios. Per-unit metrics from 128 units (Job Info).</t>
        </is>
      </c>
    </row>
    <row r="5">
      <c r="B5" s="13" t="inlineStr">
        <is>
          <t>Metric</t>
        </is>
      </c>
      <c r="C5" s="13" t="inlineStr">
        <is>
          <t>Value</t>
        </is>
      </c>
      <c r="D5" s="13" t="inlineStr">
        <is>
          <t>Basis</t>
        </is>
      </c>
      <c r="E5" s="13" t="inlineStr">
        <is>
          <t>Source / Note</t>
        </is>
      </c>
    </row>
    <row r="6">
      <c r="B6" s="5" t="inlineStr">
        <is>
          <t>Revenue per Labor Hour</t>
        </is>
      </c>
      <c r="C6" s="20">
        <f>1897650.9/21637.75</f>
        <v/>
      </c>
      <c r="D6" s="14" t="inlineStr">
        <is>
          <t>Formula</t>
        </is>
      </c>
      <c r="E6" s="8" t="inlineStr">
        <is>
          <t>Rev / Total Hrs</t>
        </is>
      </c>
    </row>
    <row r="7">
      <c r="B7" s="5" t="inlineStr">
        <is>
          <t>Profit per Labor Hour</t>
        </is>
      </c>
      <c r="C7" s="20">
        <f>615702.68/21637.75</f>
        <v/>
      </c>
      <c r="D7" s="14" t="inlineStr">
        <is>
          <t>Formula</t>
        </is>
      </c>
      <c r="E7" s="8" t="inlineStr">
        <is>
          <t>Net Profit / Hrs</t>
        </is>
      </c>
    </row>
    <row r="8">
      <c r="B8" s="5" t="inlineStr">
        <is>
          <t>Labor Cost per Hour (blended)</t>
        </is>
      </c>
      <c r="C8" s="20">
        <f>539464.25/21637.75</f>
        <v/>
      </c>
      <c r="D8" s="14" t="inlineStr">
        <is>
          <t>Formula</t>
        </is>
      </c>
      <c r="E8" s="8" t="inlineStr">
        <is>
          <t>Pre-burden</t>
        </is>
      </c>
    </row>
    <row r="9">
      <c r="B9" s="5" t="inlineStr">
        <is>
          <t>Fully-Loaded Labor Rate ($/hr)</t>
        </is>
      </c>
      <c r="C9" s="20">
        <f>(539464.25+216478.44+41269.5)/21637.75</f>
        <v/>
      </c>
      <c r="D9" s="14" t="inlineStr">
        <is>
          <t>Formula</t>
        </is>
      </c>
      <c r="E9" s="8" t="inlineStr">
        <is>
          <t>Incl burden + taxes</t>
        </is>
      </c>
    </row>
    <row r="10">
      <c r="B10" s="5" t="inlineStr">
        <is>
          <t>Burden Multiplier</t>
        </is>
      </c>
      <c r="C10" s="26">
        <f>(539464.25+216478.44+41269.5)/539464.25</f>
        <v/>
      </c>
      <c r="D10" s="14" t="inlineStr">
        <is>
          <t>Formula</t>
        </is>
      </c>
      <c r="E10" s="8" t="inlineStr">
        <is>
          <t>Fully-loaded / blended</t>
        </is>
      </c>
    </row>
    <row r="11">
      <c r="B11" s="5" t="inlineStr">
        <is>
          <t>Rough-in Hours (code 120)</t>
        </is>
      </c>
      <c r="C11" s="17" t="n">
        <v>10611.5</v>
      </c>
      <c r="D11" s="14" t="inlineStr">
        <is>
          <t>JDR</t>
        </is>
      </c>
      <c r="E11" s="8" t="inlineStr">
        <is>
          <t>10612 hrs</t>
        </is>
      </c>
    </row>
    <row r="12">
      <c r="B12" s="5" t="inlineStr">
        <is>
          <t>Finish Hours (code 130)</t>
        </is>
      </c>
      <c r="C12" s="17" t="n">
        <v>1468.75</v>
      </c>
      <c r="D12" s="14" t="inlineStr">
        <is>
          <t>JDR</t>
        </is>
      </c>
      <c r="E12" s="8" t="inlineStr">
        <is>
          <t>1469 hrs</t>
        </is>
      </c>
    </row>
    <row r="13">
      <c r="B13" s="5" t="inlineStr">
        <is>
          <t>Rough-in % of Total Hours</t>
        </is>
      </c>
      <c r="C13" s="16">
        <f>10611.5/21637.75</f>
        <v/>
      </c>
      <c r="D13" s="14" t="inlineStr">
        <is>
          <t>Formula</t>
        </is>
      </c>
      <c r="E13" s="8" t="inlineStr">
        <is>
          <t>Code 120 share</t>
        </is>
      </c>
    </row>
    <row r="14">
      <c r="B14" s="5" t="inlineStr">
        <is>
          <t>Gross Margin</t>
        </is>
      </c>
      <c r="C14" s="16">
        <f>615702.68/1897650.9</f>
        <v/>
      </c>
      <c r="D14" s="14" t="inlineStr">
        <is>
          <t>Formula</t>
        </is>
      </c>
      <c r="E14" s="8" t="inlineStr">
        <is>
          <t>Net / Revenue</t>
        </is>
      </c>
    </row>
    <row r="15">
      <c r="B15" s="5" t="inlineStr">
        <is>
          <t>Labor % of Revenue</t>
        </is>
      </c>
      <c r="C15" s="16">
        <f>539464.25/1897650.9</f>
        <v/>
      </c>
      <c r="D15" s="14" t="inlineStr">
        <is>
          <t>Formula</t>
        </is>
      </c>
      <c r="E15" s="8" t="inlineStr"/>
    </row>
    <row r="16">
      <c r="B16" s="5" t="inlineStr">
        <is>
          <t>Material % of Revenue</t>
        </is>
      </c>
      <c r="C16" s="16">
        <f>419880.11999999994/1897650.9</f>
        <v/>
      </c>
      <c r="D16" s="14" t="inlineStr">
        <is>
          <t>Formula</t>
        </is>
      </c>
      <c r="E16" s="8" t="inlineStr"/>
    </row>
    <row r="17">
      <c r="B17" s="5" t="inlineStr">
        <is>
          <t>Direct Cost Ratio</t>
        </is>
      </c>
      <c r="C17" s="16">
        <f>1281948.22/1897650.9</f>
        <v/>
      </c>
      <c r="D17" s="14" t="inlineStr">
        <is>
          <t>Formula</t>
        </is>
      </c>
      <c r="E17" s="8" t="inlineStr">
        <is>
          <t>All expenses / Rev</t>
        </is>
      </c>
    </row>
    <row r="18">
      <c r="B18" s="5" t="inlineStr">
        <is>
          <t>Revenue per Unit (128)</t>
        </is>
      </c>
      <c r="C18" s="20">
        <f>1897650.9/128</f>
        <v/>
      </c>
      <c r="D18" s="14" t="inlineStr">
        <is>
          <t>Formula</t>
        </is>
      </c>
      <c r="E18" s="8" t="inlineStr">
        <is>
          <t>128 units (Job Info)</t>
        </is>
      </c>
    </row>
    <row r="19">
      <c r="B19" s="5" t="inlineStr">
        <is>
          <t>Labor Hours per Unit</t>
        </is>
      </c>
      <c r="C19" s="17">
        <f>21637.75/128</f>
        <v/>
      </c>
      <c r="D19" s="14" t="inlineStr">
        <is>
          <t>Formula</t>
        </is>
      </c>
      <c r="E19" s="8" t="inlineStr"/>
    </row>
    <row r="20">
      <c r="B20" s="5" t="inlineStr">
        <is>
          <t>Labor Cost per Unit</t>
        </is>
      </c>
      <c r="C20" s="20">
        <f>539464.25/128</f>
        <v/>
      </c>
      <c r="D20" s="14" t="inlineStr">
        <is>
          <t>Formula</t>
        </is>
      </c>
      <c r="E20" s="8" t="inlineStr"/>
    </row>
    <row r="21">
      <c r="B21" s="5" t="inlineStr">
        <is>
          <t>Material Cost per Unit</t>
        </is>
      </c>
      <c r="C21" s="20">
        <f>419880.11999999994/128</f>
        <v/>
      </c>
      <c r="D21" s="14" t="inlineStr">
        <is>
          <t>Formula</t>
        </is>
      </c>
      <c r="E21" s="8" t="inlineStr"/>
    </row>
    <row r="22">
      <c r="B22" s="5" t="inlineStr">
        <is>
          <t>Direct Cost per Unit</t>
        </is>
      </c>
      <c r="C22" s="20">
        <f>1281948.22/128</f>
        <v/>
      </c>
      <c r="D22" s="14" t="inlineStr">
        <is>
          <t>Formula</t>
        </is>
      </c>
      <c r="E22" s="8" t="inlineStr"/>
    </row>
    <row r="23">
      <c r="B23" s="5" t="inlineStr">
        <is>
          <t>Rough-in Hours per Unit</t>
        </is>
      </c>
      <c r="C23" s="17">
        <f>10611.5/128</f>
        <v/>
      </c>
      <c r="D23" s="14" t="inlineStr">
        <is>
          <t>Formula</t>
        </is>
      </c>
      <c r="E23" s="8" t="inlineStr">
        <is>
          <t>Code 120 / 128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24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22" customWidth="1" min="4" max="4"/>
    <col width="22" customWidth="1" min="5" max="5"/>
    <col width="18" customWidth="1" min="6" max="6"/>
    <col width="42" customWidth="1" min="7" max="7"/>
    <col width="14" customWidth="1" min="8" max="8"/>
    <col width="42" customWidth="1" min="9" max="9"/>
  </cols>
  <sheetData>
    <row r="2" ht="28" customHeight="1">
      <c r="B2" s="1" t="inlineStr">
        <is>
          <t>PO Commitments</t>
        </is>
      </c>
    </row>
    <row r="3">
      <c r="B3" s="2" t="inlineStr">
        <is>
          <t>Inbound contract value (GC → OWP). Outbound vendor commitments — see Material tab + POs folder.</t>
        </is>
      </c>
    </row>
    <row r="5">
      <c r="B5" s="13" t="inlineStr">
        <is>
          <t>PO #</t>
        </is>
      </c>
      <c r="C5" s="13" t="inlineStr">
        <is>
          <t>Date</t>
        </is>
      </c>
      <c r="D5" s="13" t="inlineStr">
        <is>
          <t>Issuer</t>
        </is>
      </c>
      <c r="E5" s="13" t="inlineStr">
        <is>
          <t>Type</t>
        </is>
      </c>
      <c r="F5" s="13" t="inlineStr">
        <is>
          <t>Status</t>
        </is>
      </c>
      <c r="G5" s="13" t="inlineStr">
        <is>
          <t>Description</t>
        </is>
      </c>
      <c r="H5" s="13" t="inlineStr">
        <is>
          <t>Amount</t>
        </is>
      </c>
      <c r="I5" s="13" t="inlineStr">
        <is>
          <t>Source</t>
        </is>
      </c>
    </row>
    <row r="6">
      <c r="B6" s="14" t="inlineStr">
        <is>
          <t>PRIME</t>
        </is>
      </c>
      <c r="C6" s="5" t="inlineStr">
        <is>
          <t>2016-09-26 (Fully Executed)</t>
        </is>
      </c>
      <c r="D6" s="5" t="inlineStr">
        <is>
          <t>Compass Harbor Construction, LLC</t>
        </is>
      </c>
      <c r="E6" s="14" t="inlineStr">
        <is>
          <t>Lump Sum Subcontract</t>
        </is>
      </c>
      <c r="F6" s="27" t="inlineStr">
        <is>
          <t>Closed</t>
        </is>
      </c>
      <c r="G6" s="5" t="inlineStr">
        <is>
          <t>Park Lane LUX plumbing (128 units, Kirkland WA) — full plumbing scope per Div 22</t>
        </is>
      </c>
      <c r="H6" s="20" t="n">
        <v>1839000</v>
      </c>
      <c r="I6" s="8" t="inlineStr">
        <is>
          <t>Park Lane - PSA - Oneway - Fully Executed.pdf</t>
        </is>
      </c>
    </row>
    <row r="7">
      <c r="B7" s="14" t="inlineStr">
        <is>
          <t>CO#01</t>
        </is>
      </c>
      <c r="C7" s="28" t="inlineStr">
        <is>
          <t>NOT FOUND</t>
        </is>
      </c>
      <c r="D7" s="5" t="inlineStr">
        <is>
          <t>Compass Harbor Construction, LLC</t>
        </is>
      </c>
      <c r="E7" s="14" t="inlineStr">
        <is>
          <t>Change Order</t>
        </is>
      </c>
      <c r="F7" s="27" t="inlineStr">
        <is>
          <t>Executed</t>
        </is>
      </c>
      <c r="G7" s="5" t="inlineStr">
        <is>
          <t>BT CO#01 — initial additive</t>
        </is>
      </c>
      <c r="H7" s="15" t="n">
        <v>10365</v>
      </c>
      <c r="I7" s="8" t="inlineStr">
        <is>
          <t>BT CO#01 — initial additive</t>
        </is>
      </c>
    </row>
    <row r="8">
      <c r="B8" s="14" t="inlineStr">
        <is>
          <t>CO#02a</t>
        </is>
      </c>
      <c r="C8" s="28" t="inlineStr">
        <is>
          <t>NOT FOUND</t>
        </is>
      </c>
      <c r="D8" s="5" t="inlineStr">
        <is>
          <t>Compass Harbor Construction, LLC</t>
        </is>
      </c>
      <c r="E8" s="14" t="inlineStr">
        <is>
          <t>Change Order</t>
        </is>
      </c>
      <c r="F8" s="27" t="inlineStr">
        <is>
          <t>Executed</t>
        </is>
      </c>
      <c r="G8" s="5" t="inlineStr">
        <is>
          <t>BT CO#02 Boiler Flues, Hosebib, Backflow</t>
        </is>
      </c>
      <c r="H8" s="15" t="n">
        <v>5545</v>
      </c>
      <c r="I8" s="8" t="inlineStr">
        <is>
          <t>BT CO#02 Boiler Flues, Hosebib, Backflow</t>
        </is>
      </c>
    </row>
    <row r="9">
      <c r="B9" s="14" t="inlineStr">
        <is>
          <t>CO#02b</t>
        </is>
      </c>
      <c r="C9" s="28" t="inlineStr">
        <is>
          <t>NOT FOUND</t>
        </is>
      </c>
      <c r="D9" s="5" t="inlineStr">
        <is>
          <t>Compass Harbor Construction, LLC</t>
        </is>
      </c>
      <c r="E9" s="14" t="inlineStr">
        <is>
          <t>Change Order</t>
        </is>
      </c>
      <c r="F9" s="27" t="inlineStr">
        <is>
          <t>Executed</t>
        </is>
      </c>
      <c r="G9" s="5" t="inlineStr">
        <is>
          <t>BT CO#02 Condensate Drains</t>
        </is>
      </c>
      <c r="H9" s="15" t="n">
        <v>20436</v>
      </c>
      <c r="I9" s="8" t="inlineStr">
        <is>
          <t>BT CO#02 Condensate Drains</t>
        </is>
      </c>
    </row>
    <row r="10">
      <c r="B10" s="14" t="inlineStr">
        <is>
          <t>CO#03</t>
        </is>
      </c>
      <c r="C10" s="28" t="inlineStr">
        <is>
          <t>NOT FOUND</t>
        </is>
      </c>
      <c r="D10" s="5" t="inlineStr">
        <is>
          <t>Compass Harbor Construction, LLC</t>
        </is>
      </c>
      <c r="E10" s="14" t="inlineStr">
        <is>
          <t>Change Order</t>
        </is>
      </c>
      <c r="F10" s="27" t="inlineStr">
        <is>
          <t>Executed</t>
        </is>
      </c>
      <c r="G10" s="5" t="inlineStr">
        <is>
          <t>BT CO#03 Credit — Change Labor Burden</t>
        </is>
      </c>
      <c r="H10" s="15" t="n">
        <v>-13284.1</v>
      </c>
      <c r="I10" s="8" t="inlineStr">
        <is>
          <t>BT CO#03 Credit — Change Labor Burden</t>
        </is>
      </c>
    </row>
    <row r="11">
      <c r="B11" s="14" t="inlineStr">
        <is>
          <t>CO#04</t>
        </is>
      </c>
      <c r="C11" s="28" t="inlineStr">
        <is>
          <t>NOT FOUND</t>
        </is>
      </c>
      <c r="D11" s="5" t="inlineStr">
        <is>
          <t>Compass Harbor Construction, LLC</t>
        </is>
      </c>
      <c r="E11" s="14" t="inlineStr">
        <is>
          <t>Change Order</t>
        </is>
      </c>
      <c r="F11" s="27" t="inlineStr">
        <is>
          <t>Executed</t>
        </is>
      </c>
      <c r="G11" s="5" t="inlineStr">
        <is>
          <t>BT CO#04 — additional scope</t>
        </is>
      </c>
      <c r="H11" s="15" t="n">
        <v>8456</v>
      </c>
      <c r="I11" s="8" t="inlineStr">
        <is>
          <t>BT CO#04 — additional scope</t>
        </is>
      </c>
    </row>
    <row r="12">
      <c r="B12" s="14" t="inlineStr">
        <is>
          <t>CO#05</t>
        </is>
      </c>
      <c r="C12" s="28" t="inlineStr">
        <is>
          <t>NOT FOUND</t>
        </is>
      </c>
      <c r="D12" s="5" t="inlineStr">
        <is>
          <t>Compass Harbor Construction, LLC</t>
        </is>
      </c>
      <c r="E12" s="14" t="inlineStr">
        <is>
          <t>Change Order</t>
        </is>
      </c>
      <c r="F12" s="27" t="inlineStr">
        <is>
          <t>Executed</t>
        </is>
      </c>
      <c r="G12" s="5" t="inlineStr">
        <is>
          <t>BT CO#05 — additional scope</t>
        </is>
      </c>
      <c r="H12" s="15" t="n">
        <v>6364</v>
      </c>
      <c r="I12" s="8" t="inlineStr">
        <is>
          <t>BT CO#05 — additional scope</t>
        </is>
      </c>
    </row>
    <row r="13">
      <c r="B13" s="14" t="inlineStr">
        <is>
          <t>CO#06</t>
        </is>
      </c>
      <c r="C13" s="28" t="inlineStr">
        <is>
          <t>NOT FOUND</t>
        </is>
      </c>
      <c r="D13" s="5" t="inlineStr">
        <is>
          <t>Compass Harbor Construction, LLC</t>
        </is>
      </c>
      <c r="E13" s="14" t="inlineStr">
        <is>
          <t>Change Order</t>
        </is>
      </c>
      <c r="F13" s="27" t="inlineStr">
        <is>
          <t>Executed</t>
        </is>
      </c>
      <c r="G13" s="5" t="inlineStr">
        <is>
          <t>BT CO#06 — additional scope</t>
        </is>
      </c>
      <c r="H13" s="15" t="n">
        <v>4057</v>
      </c>
      <c r="I13" s="8" t="inlineStr">
        <is>
          <t>BT CO#06 — additional scope</t>
        </is>
      </c>
    </row>
    <row r="14">
      <c r="B14" s="14" t="inlineStr">
        <is>
          <t>CO#07</t>
        </is>
      </c>
      <c r="C14" s="28" t="inlineStr">
        <is>
          <t>NOT FOUND</t>
        </is>
      </c>
      <c r="D14" s="5" t="inlineStr">
        <is>
          <t>Compass Harbor Construction, LLC</t>
        </is>
      </c>
      <c r="E14" s="14" t="inlineStr">
        <is>
          <t>Change Order</t>
        </is>
      </c>
      <c r="F14" s="27" t="inlineStr">
        <is>
          <t>Executed</t>
        </is>
      </c>
      <c r="G14" s="5" t="inlineStr">
        <is>
          <t>BT CO#07 — additional scope</t>
        </is>
      </c>
      <c r="H14" s="15" t="n">
        <v>1171</v>
      </c>
      <c r="I14" s="8" t="inlineStr">
        <is>
          <t>BT CO#07 — additional scope</t>
        </is>
      </c>
    </row>
    <row r="15">
      <c r="B15" s="14" t="inlineStr">
        <is>
          <t>CO#08</t>
        </is>
      </c>
      <c r="C15" s="28" t="inlineStr">
        <is>
          <t>NOT FOUND</t>
        </is>
      </c>
      <c r="D15" s="5" t="inlineStr">
        <is>
          <t>Compass Harbor Construction, LLC</t>
        </is>
      </c>
      <c r="E15" s="14" t="inlineStr">
        <is>
          <t>Change Order</t>
        </is>
      </c>
      <c r="F15" s="27" t="inlineStr">
        <is>
          <t>Executed</t>
        </is>
      </c>
      <c r="G15" s="5" t="inlineStr">
        <is>
          <t>BT CO#08 — additional scope</t>
        </is>
      </c>
      <c r="H15" s="15" t="n">
        <v>1143</v>
      </c>
      <c r="I15" s="8" t="inlineStr">
        <is>
          <t>BT CO#08 — additional scope</t>
        </is>
      </c>
    </row>
    <row r="16">
      <c r="B16" s="14" t="inlineStr">
        <is>
          <t>CO#09</t>
        </is>
      </c>
      <c r="C16" s="28" t="inlineStr">
        <is>
          <t>NOT FOUND</t>
        </is>
      </c>
      <c r="D16" s="5" t="inlineStr">
        <is>
          <t>Compass Harbor Construction, LLC</t>
        </is>
      </c>
      <c r="E16" s="14" t="inlineStr">
        <is>
          <t>Change Order</t>
        </is>
      </c>
      <c r="F16" s="27" t="inlineStr">
        <is>
          <t>Executed</t>
        </is>
      </c>
      <c r="G16" s="5" t="inlineStr">
        <is>
          <t>BT CO#09 — additional scope</t>
        </is>
      </c>
      <c r="H16" s="15" t="n">
        <v>3668</v>
      </c>
      <c r="I16" s="8" t="inlineStr">
        <is>
          <t>BT CO#09 — additional scope</t>
        </is>
      </c>
    </row>
    <row r="17">
      <c r="B17" s="14" t="inlineStr">
        <is>
          <t>CO#10</t>
        </is>
      </c>
      <c r="C17" s="28" t="inlineStr">
        <is>
          <t>NOT FOUND</t>
        </is>
      </c>
      <c r="D17" s="5" t="inlineStr">
        <is>
          <t>Compass Harbor Construction, LLC</t>
        </is>
      </c>
      <c r="E17" s="14" t="inlineStr">
        <is>
          <t>Change Order</t>
        </is>
      </c>
      <c r="F17" s="27" t="inlineStr">
        <is>
          <t>Executed</t>
        </is>
      </c>
      <c r="G17" s="5" t="inlineStr">
        <is>
          <t>BT CO#10 — additional scope</t>
        </is>
      </c>
      <c r="H17" s="15" t="n">
        <v>3116</v>
      </c>
      <c r="I17" s="8" t="inlineStr">
        <is>
          <t>BT CO#10 — additional scope</t>
        </is>
      </c>
    </row>
    <row r="18">
      <c r="B18" s="14" t="inlineStr">
        <is>
          <t>CO#11</t>
        </is>
      </c>
      <c r="C18" s="28" t="inlineStr">
        <is>
          <t>NOT FOUND</t>
        </is>
      </c>
      <c r="D18" s="5" t="inlineStr">
        <is>
          <t>Compass Harbor Construction, LLC</t>
        </is>
      </c>
      <c r="E18" s="14" t="inlineStr">
        <is>
          <t>Change Order</t>
        </is>
      </c>
      <c r="F18" s="27" t="inlineStr">
        <is>
          <t>Executed</t>
        </is>
      </c>
      <c r="G18" s="5" t="inlineStr">
        <is>
          <t>BT CO#11 — additional scope</t>
        </is>
      </c>
      <c r="H18" s="15" t="n">
        <v>2663</v>
      </c>
      <c r="I18" s="8" t="inlineStr">
        <is>
          <t>BT CO#11 — additional scope</t>
        </is>
      </c>
    </row>
    <row r="19">
      <c r="B19" s="14" t="inlineStr">
        <is>
          <t>CO#12</t>
        </is>
      </c>
      <c r="C19" s="28" t="inlineStr">
        <is>
          <t>NOT FOUND</t>
        </is>
      </c>
      <c r="D19" s="5" t="inlineStr">
        <is>
          <t>Compass Harbor Construction, LLC</t>
        </is>
      </c>
      <c r="E19" s="14" t="inlineStr">
        <is>
          <t>Change Order</t>
        </is>
      </c>
      <c r="F19" s="27" t="inlineStr">
        <is>
          <t>Executed</t>
        </is>
      </c>
      <c r="G19" s="5" t="inlineStr">
        <is>
          <t>BT CO#12 — additional scope</t>
        </is>
      </c>
      <c r="H19" s="15" t="n">
        <v>1069</v>
      </c>
      <c r="I19" s="8" t="inlineStr">
        <is>
          <t>BT CO#12 — additional scope</t>
        </is>
      </c>
    </row>
    <row r="20">
      <c r="B20" s="14" t="inlineStr">
        <is>
          <t>CO#13</t>
        </is>
      </c>
      <c r="C20" s="28" t="inlineStr">
        <is>
          <t>NOT FOUND</t>
        </is>
      </c>
      <c r="D20" s="5" t="inlineStr">
        <is>
          <t>Compass Harbor Construction, LLC</t>
        </is>
      </c>
      <c r="E20" s="14" t="inlineStr">
        <is>
          <t>Change Order</t>
        </is>
      </c>
      <c r="F20" s="27" t="inlineStr">
        <is>
          <t>Executed</t>
        </is>
      </c>
      <c r="G20" s="5" t="inlineStr">
        <is>
          <t>BT CO#13 — additional scope</t>
        </is>
      </c>
      <c r="H20" s="15" t="n">
        <v>3882</v>
      </c>
      <c r="I20" s="8" t="inlineStr">
        <is>
          <t>BT CO#13 — additional scope</t>
        </is>
      </c>
    </row>
    <row r="21">
      <c r="B21" s="14" t="inlineStr">
        <is>
          <t>CO#14</t>
        </is>
      </c>
      <c r="C21" s="28" t="inlineStr">
        <is>
          <t>NOT FOUND</t>
        </is>
      </c>
      <c r="D21" s="5" t="inlineStr">
        <is>
          <t>Compass Harbor Construction, LLC</t>
        </is>
      </c>
      <c r="E21" s="14" t="inlineStr">
        <is>
          <t>Change Order</t>
        </is>
      </c>
      <c r="F21" s="27" t="inlineStr">
        <is>
          <t>Executed</t>
        </is>
      </c>
      <c r="G21" s="5" t="inlineStr">
        <is>
          <t>Final CO#14 — closeout wrap (no new scope $)</t>
        </is>
      </c>
      <c r="H21" s="15" t="n">
        <v>0</v>
      </c>
      <c r="I21" s="8" t="inlineStr">
        <is>
          <t>CO_s/Final CO#14 — closeout wrap (no new scope $)</t>
        </is>
      </c>
    </row>
    <row r="22">
      <c r="B22" s="18" t="inlineStr">
        <is>
          <t>TOTAL (contract + COs)</t>
        </is>
      </c>
      <c r="H22" s="21">
        <f>SUM(H6:H21)</f>
        <v/>
      </c>
    </row>
    <row r="24">
      <c r="B24" s="24" t="inlineStr">
        <is>
          <t>NOTE: Documented COs (13 Budget Transfer spreadsheets CO#01-#13) sum to $58,650.90; JDR-implied = $58,650.90; gap $-0.00 (perfect reconciliation). CO folder has 14 fully-executed COs (CO#14 is Final closeout). CORs folder contains 131 internal COR pricing worksheets. Outbound POs: 230 items across 1 Placed (6), 2 Scheduled (50), 3 Completed (174) subfolders.</t>
        </is>
      </c>
      <c r="C24" s="6" t="n"/>
      <c r="D24" s="6" t="n"/>
      <c r="E24" s="6" t="n"/>
      <c r="F24" s="6" t="n"/>
      <c r="G24" s="6" t="n"/>
      <c r="H24" s="6" t="n"/>
      <c r="I24" s="7" t="n"/>
    </row>
  </sheetData>
  <mergeCells count="3">
    <mergeCell ref="B24:I24"/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38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8" customWidth="1" min="4" max="4"/>
    <col width="16" customWidth="1" min="5" max="5"/>
    <col width="10" customWidth="1" min="6" max="6"/>
    <col width="50" customWidth="1" min="7" max="7"/>
  </cols>
  <sheetData>
    <row r="2" ht="28" customHeight="1">
      <c r="B2" s="1" t="inlineStr">
        <is>
          <t>Billing &amp; Schedule of Values</t>
        </is>
      </c>
    </row>
    <row r="3">
      <c r="B3" s="2" t="inlineStr">
        <is>
          <t>30 unique invoices to Compass Harbor Construction, LLC. Retainage $92,132.55 = 4.9% of revenue.</t>
        </is>
      </c>
    </row>
    <row r="5">
      <c r="B5" s="13" t="inlineStr">
        <is>
          <t>Invoice #</t>
        </is>
      </c>
      <c r="C5" s="13" t="inlineStr">
        <is>
          <t>Date</t>
        </is>
      </c>
      <c r="D5" s="13" t="inlineStr">
        <is>
          <t>Total Billed (signed)</t>
        </is>
      </c>
      <c r="E5" s="13" t="inlineStr">
        <is>
          <t>Retainage (signed)</t>
        </is>
      </c>
      <c r="F5" s="13" t="inlineStr">
        <is>
          <t># Lines</t>
        </is>
      </c>
      <c r="G5" s="13" t="inlineStr">
        <is>
          <t>Source</t>
        </is>
      </c>
    </row>
    <row r="6">
      <c r="B6" s="14" t="inlineStr">
        <is>
          <t>036810</t>
        </is>
      </c>
      <c r="C6" s="14" t="inlineStr">
        <is>
          <t>12/15/16</t>
        </is>
      </c>
      <c r="D6" s="15" t="n">
        <v>-49500</v>
      </c>
      <c r="E6" s="15" t="n">
        <v>0</v>
      </c>
      <c r="F6" s="14" t="n">
        <v>1</v>
      </c>
      <c r="G6" s="8" t="inlineStr">
        <is>
          <t>2034 Job Detail Report.pdf (Sage Timberline, 04/03/2026, 207 pages)</t>
        </is>
      </c>
    </row>
    <row r="7">
      <c r="B7" s="14" t="inlineStr">
        <is>
          <t>036811</t>
        </is>
      </c>
      <c r="C7" s="14" t="inlineStr">
        <is>
          <t>12/15/16</t>
        </is>
      </c>
      <c r="D7" s="15" t="n">
        <v>-13200</v>
      </c>
      <c r="E7" s="15" t="n">
        <v>-660</v>
      </c>
      <c r="F7" s="14" t="n">
        <v>3</v>
      </c>
      <c r="G7" s="8" t="inlineStr">
        <is>
          <t>2034 Job Detail Report.pdf (Sage Timberline, 04/03/2026, 207 pages)</t>
        </is>
      </c>
    </row>
    <row r="8">
      <c r="B8" s="14" t="inlineStr">
        <is>
          <t>036824</t>
        </is>
      </c>
      <c r="C8" s="14" t="inlineStr">
        <is>
          <t>01/20/17</t>
        </is>
      </c>
      <c r="D8" s="15" t="n">
        <v>-17830</v>
      </c>
      <c r="E8" s="15" t="n">
        <v>-891.5</v>
      </c>
      <c r="F8" s="14" t="n">
        <v>3</v>
      </c>
      <c r="G8" s="8" t="inlineStr">
        <is>
          <t>2034 Job Detail Report.pdf (Sage Timberline, 04/03/2026, 207 pages)</t>
        </is>
      </c>
    </row>
    <row r="9">
      <c r="B9" s="14" t="inlineStr">
        <is>
          <t>036837</t>
        </is>
      </c>
      <c r="C9" s="14" t="inlineStr">
        <is>
          <t>02/20/17</t>
        </is>
      </c>
      <c r="D9" s="15" t="n">
        <v>-47570</v>
      </c>
      <c r="E9" s="15" t="n">
        <v>-2378.5</v>
      </c>
      <c r="F9" s="14" t="n">
        <v>3</v>
      </c>
      <c r="G9" s="8" t="inlineStr">
        <is>
          <t>2034 Job Detail Report.pdf (Sage Timberline, 04/03/2026, 207 pages)</t>
        </is>
      </c>
    </row>
    <row r="10">
      <c r="B10" s="14" t="inlineStr">
        <is>
          <t>036852</t>
        </is>
      </c>
      <c r="C10" s="14" t="inlineStr">
        <is>
          <t>03/17/17</t>
        </is>
      </c>
      <c r="D10" s="15" t="n">
        <v>-74919</v>
      </c>
      <c r="E10" s="15" t="n">
        <v>-3745.95</v>
      </c>
      <c r="F10" s="14" t="n">
        <v>3</v>
      </c>
      <c r="G10" s="8" t="inlineStr">
        <is>
          <t>2034 Job Detail Report.pdf (Sage Timberline, 04/03/2026, 207 pages)</t>
        </is>
      </c>
    </row>
    <row r="11">
      <c r="B11" s="14" t="inlineStr">
        <is>
          <t>036853</t>
        </is>
      </c>
      <c r="C11" s="14" t="inlineStr">
        <is>
          <t>03/17/17</t>
        </is>
      </c>
      <c r="D11" s="15" t="n">
        <v>-5500</v>
      </c>
      <c r="E11" s="15" t="n">
        <v>0</v>
      </c>
      <c r="F11" s="14" t="n">
        <v>1</v>
      </c>
      <c r="G11" s="8" t="inlineStr">
        <is>
          <t>2034 Job Detail Report.pdf (Sage Timberline, 04/03/2026, 207 pages)</t>
        </is>
      </c>
    </row>
    <row r="12">
      <c r="B12" s="14" t="inlineStr">
        <is>
          <t>036860</t>
        </is>
      </c>
      <c r="C12" s="14" t="inlineStr">
        <is>
          <t>04/20/17</t>
        </is>
      </c>
      <c r="D12" s="15" t="n">
        <v>-381040</v>
      </c>
      <c r="E12" s="15" t="n">
        <v>-19052</v>
      </c>
      <c r="F12" s="14" t="n">
        <v>5</v>
      </c>
      <c r="G12" s="8" t="inlineStr">
        <is>
          <t>2034 Job Detail Report.pdf (Sage Timberline, 04/03/2026, 207 pages)</t>
        </is>
      </c>
    </row>
    <row r="13">
      <c r="B13" s="14" t="inlineStr">
        <is>
          <t>036883</t>
        </is>
      </c>
      <c r="C13" s="14" t="inlineStr">
        <is>
          <t>05/19/17</t>
        </is>
      </c>
      <c r="D13" s="15" t="n">
        <v>-429843</v>
      </c>
      <c r="E13" s="15" t="n">
        <v>-21492.15</v>
      </c>
      <c r="F13" s="14" t="n">
        <v>12</v>
      </c>
      <c r="G13" s="8" t="inlineStr">
        <is>
          <t>2034 Job Detail Report.pdf (Sage Timberline, 04/03/2026, 207 pages)</t>
        </is>
      </c>
    </row>
    <row r="14">
      <c r="B14" s="14" t="inlineStr">
        <is>
          <t>036888</t>
        </is>
      </c>
      <c r="C14" s="14" t="inlineStr">
        <is>
          <t>06/02/17</t>
        </is>
      </c>
      <c r="D14" s="15" t="n">
        <v>429843</v>
      </c>
      <c r="E14" s="15" t="n">
        <v>21492.15</v>
      </c>
      <c r="F14" s="14" t="n">
        <v>12</v>
      </c>
      <c r="G14" s="8" t="inlineStr">
        <is>
          <t>2034 Job Detail Report.pdf (Sage Timberline, 04/03/2026, 207 pages)</t>
        </is>
      </c>
    </row>
    <row r="15">
      <c r="B15" s="14" t="inlineStr">
        <is>
          <t>036889</t>
        </is>
      </c>
      <c r="C15" s="14" t="inlineStr">
        <is>
          <t>06/02/17</t>
        </is>
      </c>
      <c r="D15" s="15" t="n">
        <v>-427699</v>
      </c>
      <c r="E15" s="15" t="n">
        <v>-21384.95</v>
      </c>
      <c r="F15" s="14" t="n">
        <v>11</v>
      </c>
      <c r="G15" s="8" t="inlineStr">
        <is>
          <t>2034 Job Detail Report.pdf (Sage Timberline, 04/03/2026, 207 pages)</t>
        </is>
      </c>
    </row>
    <row r="16">
      <c r="B16" s="14" t="inlineStr">
        <is>
          <t>036900</t>
        </is>
      </c>
      <c r="C16" s="14" t="inlineStr">
        <is>
          <t>06/19/17</t>
        </is>
      </c>
      <c r="D16" s="15" t="n">
        <v>-308203.9</v>
      </c>
      <c r="E16" s="15" t="n">
        <v>-15410.19</v>
      </c>
      <c r="F16" s="14" t="n">
        <v>10</v>
      </c>
      <c r="G16" s="8" t="inlineStr">
        <is>
          <t>2034 Job Detail Report.pdf (Sage Timberline, 04/03/2026, 207 pages)</t>
        </is>
      </c>
    </row>
    <row r="17">
      <c r="B17" s="14" t="inlineStr">
        <is>
          <t>036904</t>
        </is>
      </c>
      <c r="C17" s="14" t="inlineStr">
        <is>
          <t>06/19/17</t>
        </is>
      </c>
      <c r="D17" s="15" t="n">
        <v>308203.9</v>
      </c>
      <c r="E17" s="15" t="n">
        <v>15410.19</v>
      </c>
      <c r="F17" s="14" t="n">
        <v>10</v>
      </c>
      <c r="G17" s="8" t="inlineStr">
        <is>
          <t>2034 Job Detail Report.pdf (Sage Timberline, 04/03/2026, 207 pages)</t>
        </is>
      </c>
    </row>
    <row r="18">
      <c r="B18" s="14" t="inlineStr">
        <is>
          <t>036905</t>
        </is>
      </c>
      <c r="C18" s="14" t="inlineStr">
        <is>
          <t>06/19/17</t>
        </is>
      </c>
      <c r="D18" s="15" t="n">
        <v>-308203.9</v>
      </c>
      <c r="E18" s="15" t="n">
        <v>-15410.2</v>
      </c>
      <c r="F18" s="14" t="n">
        <v>10</v>
      </c>
      <c r="G18" s="8" t="inlineStr">
        <is>
          <t>2034 Job Detail Report.pdf (Sage Timberline, 04/03/2026, 207 pages)</t>
        </is>
      </c>
    </row>
    <row r="19">
      <c r="B19" s="14" t="inlineStr">
        <is>
          <t>036911</t>
        </is>
      </c>
      <c r="C19" s="14" t="inlineStr">
        <is>
          <t>06/19/17</t>
        </is>
      </c>
      <c r="D19" s="15" t="n">
        <v>308203.9</v>
      </c>
      <c r="E19" s="15" t="n">
        <v>15410.2</v>
      </c>
      <c r="F19" s="14" t="n">
        <v>10</v>
      </c>
      <c r="G19" s="8" t="inlineStr">
        <is>
          <t>2034 Job Detail Report.pdf (Sage Timberline, 04/03/2026, 207 pages)</t>
        </is>
      </c>
    </row>
    <row r="20">
      <c r="B20" s="14" t="inlineStr">
        <is>
          <t>036912</t>
        </is>
      </c>
      <c r="C20" s="14" t="inlineStr">
        <is>
          <t>06/19/17</t>
        </is>
      </c>
      <c r="D20" s="15" t="n">
        <v>-235628.9</v>
      </c>
      <c r="E20" s="15" t="n">
        <v>-11781.45</v>
      </c>
      <c r="F20" s="14" t="n">
        <v>10</v>
      </c>
      <c r="G20" s="8" t="inlineStr">
        <is>
          <t>2034 Job Detail Report.pdf (Sage Timberline, 04/03/2026, 207 pages)</t>
        </is>
      </c>
    </row>
    <row r="21">
      <c r="B21" s="14" t="inlineStr">
        <is>
          <t>036916</t>
        </is>
      </c>
      <c r="C21" s="14" t="inlineStr">
        <is>
          <t>07/20/17</t>
        </is>
      </c>
      <c r="D21" s="15" t="n">
        <v>-191120</v>
      </c>
      <c r="E21" s="15" t="n">
        <v>-9556</v>
      </c>
      <c r="F21" s="14" t="n">
        <v>6</v>
      </c>
      <c r="G21" s="8" t="inlineStr">
        <is>
          <t>2034 Job Detail Report.pdf (Sage Timberline, 04/03/2026, 207 pages)</t>
        </is>
      </c>
    </row>
    <row r="22">
      <c r="B22" s="14" t="inlineStr">
        <is>
          <t>036935</t>
        </is>
      </c>
      <c r="C22" s="14" t="inlineStr">
        <is>
          <t>08/18/17</t>
        </is>
      </c>
      <c r="D22" s="15" t="n">
        <v>-169309</v>
      </c>
      <c r="E22" s="15" t="n">
        <v>-8465.450000000001</v>
      </c>
      <c r="F22" s="14" t="n">
        <v>13</v>
      </c>
      <c r="G22" s="8" t="inlineStr">
        <is>
          <t>2034 Job Detail Report.pdf (Sage Timberline, 04/03/2026, 207 pages)</t>
        </is>
      </c>
    </row>
    <row r="23">
      <c r="B23" s="14" t="inlineStr">
        <is>
          <t>036941</t>
        </is>
      </c>
      <c r="C23" s="14" t="inlineStr">
        <is>
          <t>08/18/17</t>
        </is>
      </c>
      <c r="D23" s="15" t="n">
        <v>169309</v>
      </c>
      <c r="E23" s="15" t="n">
        <v>8465.450000000001</v>
      </c>
      <c r="F23" s="14" t="n">
        <v>13</v>
      </c>
      <c r="G23" s="8" t="inlineStr">
        <is>
          <t>2034 Job Detail Report.pdf (Sage Timberline, 04/03/2026, 207 pages)</t>
        </is>
      </c>
    </row>
    <row r="24">
      <c r="B24" s="14" t="inlineStr">
        <is>
          <t>036942</t>
        </is>
      </c>
      <c r="C24" s="14" t="inlineStr">
        <is>
          <t>08/18/17</t>
        </is>
      </c>
      <c r="D24" s="15" t="n">
        <v>-156537</v>
      </c>
      <c r="E24" s="15" t="n">
        <v>-7826.849999999999</v>
      </c>
      <c r="F24" s="14" t="n">
        <v>13</v>
      </c>
      <c r="G24" s="8" t="inlineStr">
        <is>
          <t>2034 Job Detail Report.pdf (Sage Timberline, 04/03/2026, 207 pages)</t>
        </is>
      </c>
    </row>
    <row r="25">
      <c r="B25" s="14" t="inlineStr">
        <is>
          <t>036946</t>
        </is>
      </c>
      <c r="C25" s="14" t="inlineStr">
        <is>
          <t>09/20/17</t>
        </is>
      </c>
      <c r="D25" s="15" t="n">
        <v>-71160</v>
      </c>
      <c r="E25" s="15" t="n">
        <v>-3558</v>
      </c>
      <c r="F25" s="14" t="n">
        <v>6</v>
      </c>
      <c r="G25" s="8" t="inlineStr">
        <is>
          <t>2034 Job Detail Report.pdf (Sage Timberline, 04/03/2026, 207 pages)</t>
        </is>
      </c>
    </row>
    <row r="26">
      <c r="B26" s="14" t="inlineStr">
        <is>
          <t>036968</t>
        </is>
      </c>
      <c r="C26" s="14" t="inlineStr">
        <is>
          <t>10/20/17</t>
        </is>
      </c>
      <c r="D26" s="15" t="n">
        <v>-60748</v>
      </c>
      <c r="E26" s="15" t="n">
        <v>-3037.4</v>
      </c>
      <c r="F26" s="14" t="n">
        <v>11</v>
      </c>
      <c r="G26" s="8" t="inlineStr">
        <is>
          <t>2034 Job Detail Report.pdf (Sage Timberline, 04/03/2026, 207 pages)</t>
        </is>
      </c>
    </row>
    <row r="27">
      <c r="B27" s="14" t="inlineStr">
        <is>
          <t>036977</t>
        </is>
      </c>
      <c r="C27" s="14" t="inlineStr">
        <is>
          <t>11/17/17</t>
        </is>
      </c>
      <c r="D27" s="15" t="n">
        <v>-21165</v>
      </c>
      <c r="E27" s="15" t="n">
        <v>-1058.25</v>
      </c>
      <c r="F27" s="14" t="n">
        <v>3</v>
      </c>
      <c r="G27" s="8" t="inlineStr">
        <is>
          <t>2034 Job Detail Report.pdf (Sage Timberline, 04/03/2026, 207 pages)</t>
        </is>
      </c>
    </row>
    <row r="28">
      <c r="B28" s="14" t="inlineStr">
        <is>
          <t>036989</t>
        </is>
      </c>
      <c r="C28" s="14" t="inlineStr">
        <is>
          <t>12/14/17</t>
        </is>
      </c>
      <c r="D28" s="15" t="n">
        <v>-41342</v>
      </c>
      <c r="E28" s="15" t="n">
        <v>-2067.1</v>
      </c>
      <c r="F28" s="14" t="n">
        <v>3</v>
      </c>
      <c r="G28" s="8" t="inlineStr">
        <is>
          <t>2034 Job Detail Report.pdf (Sage Timberline, 04/03/2026, 207 pages)</t>
        </is>
      </c>
    </row>
    <row r="29">
      <c r="B29" s="14" t="inlineStr">
        <is>
          <t>037010</t>
        </is>
      </c>
      <c r="C29" s="14" t="inlineStr">
        <is>
          <t>01/19/18</t>
        </is>
      </c>
      <c r="D29" s="15" t="n">
        <v>-41780</v>
      </c>
      <c r="E29" s="15" t="n">
        <v>-2089</v>
      </c>
      <c r="F29" s="14" t="n">
        <v>5</v>
      </c>
      <c r="G29" s="8" t="inlineStr">
        <is>
          <t>2034 Job Detail Report.pdf (Sage Timberline, 04/03/2026, 207 pages)</t>
        </is>
      </c>
    </row>
    <row r="30">
      <c r="B30" s="14" t="inlineStr">
        <is>
          <t>037023</t>
        </is>
      </c>
      <c r="C30" s="14" t="inlineStr">
        <is>
          <t>02/20/18</t>
        </is>
      </c>
      <c r="D30" s="15" t="n">
        <v>-46514</v>
      </c>
      <c r="E30" s="15" t="n">
        <v>-2325.7</v>
      </c>
      <c r="F30" s="14" t="n">
        <v>6</v>
      </c>
      <c r="G30" s="8" t="inlineStr">
        <is>
          <t>2034 Job Detail Report.pdf (Sage Timberline, 04/03/2026, 207 pages)</t>
        </is>
      </c>
    </row>
    <row r="31">
      <c r="B31" s="14" t="inlineStr">
        <is>
          <t>037044</t>
        </is>
      </c>
      <c r="C31" s="14" t="inlineStr">
        <is>
          <t>03/20/18</t>
        </is>
      </c>
      <c r="D31" s="15" t="n">
        <v>-3668</v>
      </c>
      <c r="E31" s="15" t="n">
        <v>-183.4</v>
      </c>
      <c r="F31" s="14" t="n">
        <v>1</v>
      </c>
      <c r="G31" s="8" t="inlineStr">
        <is>
          <t>2034 Job Detail Report.pdf (Sage Timberline, 04/03/2026, 207 pages)</t>
        </is>
      </c>
    </row>
    <row r="32">
      <c r="B32" s="14" t="inlineStr">
        <is>
          <t>037062</t>
        </is>
      </c>
      <c r="C32" s="14" t="inlineStr">
        <is>
          <t>04/20/18</t>
        </is>
      </c>
      <c r="D32" s="15" t="n">
        <v>-5779</v>
      </c>
      <c r="E32" s="15" t="n">
        <v>-288.95</v>
      </c>
      <c r="F32" s="14" t="n">
        <v>2</v>
      </c>
      <c r="G32" s="8" t="inlineStr">
        <is>
          <t>2034 Job Detail Report.pdf (Sage Timberline, 04/03/2026, 207 pages)</t>
        </is>
      </c>
    </row>
    <row r="33">
      <c r="B33" s="14" t="inlineStr">
        <is>
          <t>037086</t>
        </is>
      </c>
      <c r="C33" s="14" t="inlineStr">
        <is>
          <t>05/18/18</t>
        </is>
      </c>
      <c r="D33" s="15" t="n">
        <v>-1069</v>
      </c>
      <c r="E33" s="15" t="n">
        <v>-53.45</v>
      </c>
      <c r="F33" s="14" t="n">
        <v>1</v>
      </c>
      <c r="G33" s="8" t="inlineStr">
        <is>
          <t>2034 Job Detail Report.pdf (Sage Timberline, 04/03/2026, 207 pages)</t>
        </is>
      </c>
    </row>
    <row r="34">
      <c r="B34" s="14" t="inlineStr">
        <is>
          <t>037101</t>
        </is>
      </c>
      <c r="C34" s="14" t="inlineStr">
        <is>
          <t>05/18/18</t>
        </is>
      </c>
      <c r="D34" s="15" t="n">
        <v>1069</v>
      </c>
      <c r="E34" s="15" t="n">
        <v>53.45</v>
      </c>
      <c r="F34" s="14" t="n">
        <v>1</v>
      </c>
      <c r="G34" s="8" t="inlineStr">
        <is>
          <t>2034 Job Detail Report.pdf (Sage Timberline, 04/03/2026, 207 pages)</t>
        </is>
      </c>
    </row>
    <row r="35">
      <c r="B35" s="14" t="inlineStr">
        <is>
          <t>037102</t>
        </is>
      </c>
      <c r="C35" s="14" t="inlineStr">
        <is>
          <t>05/18/18</t>
        </is>
      </c>
      <c r="D35" s="15" t="n">
        <v>-4951</v>
      </c>
      <c r="E35" s="15" t="n">
        <v>-247.55</v>
      </c>
      <c r="F35" s="14" t="n">
        <v>2</v>
      </c>
      <c r="G35" s="8" t="inlineStr">
        <is>
          <t>2034 Job Detail Report.pdf (Sage Timberline, 04/03/2026, 207 pages)</t>
        </is>
      </c>
    </row>
    <row r="36">
      <c r="B36" s="18" t="inlineStr">
        <is>
          <t>TOTAL (signed)</t>
        </is>
      </c>
      <c r="D36" s="29">
        <f>SUM(D6:D35)</f>
        <v/>
      </c>
      <c r="E36" s="29">
        <f>SUM(E6:E35)</f>
        <v/>
      </c>
    </row>
    <row r="38">
      <c r="B38" s="24" t="inlineStr">
        <is>
          <t>NOTE: AR entries signed negative per Sage convention. Net billed = $1,897,650.90; retainage $92,132.55 outstanding on JDR dated 04/03/2026. Billing folder contains SOV xlsx files for pay apps 13-23 (2018 draw period). F1 Park Lane - Subtier Subs &amp; Suppliers disclosures attached for pay apps 6-23.</t>
        </is>
      </c>
      <c r="C38" s="6" t="n"/>
      <c r="D38" s="6" t="n"/>
      <c r="E38" s="6" t="n"/>
      <c r="F38" s="6" t="n"/>
      <c r="G38" s="7" t="n"/>
    </row>
  </sheetData>
  <mergeCells count="3">
    <mergeCell ref="B38:G38"/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78" customWidth="1" min="4" max="4"/>
    <col width="12" customWidth="1" min="5" max="5"/>
    <col width="40" customWidth="1" min="6" max="6"/>
  </cols>
  <sheetData>
    <row r="2" ht="28" customHeight="1">
      <c r="B2" s="1" t="inlineStr">
        <is>
          <t>Insights &amp; Observations</t>
        </is>
      </c>
    </row>
    <row r="3">
      <c r="B3" s="2" t="inlineStr">
        <is>
          <t>Narrative findings from JDR + source documents</t>
        </is>
      </c>
    </row>
    <row r="5">
      <c r="B5" s="13" t="inlineStr">
        <is>
          <t>#</t>
        </is>
      </c>
      <c r="C5" s="13" t="inlineStr">
        <is>
          <t>Insight</t>
        </is>
      </c>
      <c r="D5" s="13" t="inlineStr">
        <is>
          <t>Detail</t>
        </is>
      </c>
      <c r="E5" s="13" t="inlineStr">
        <is>
          <t>Confidence</t>
        </is>
      </c>
      <c r="F5" s="13" t="inlineStr">
        <is>
          <t>Source</t>
        </is>
      </c>
    </row>
    <row r="6" ht="58" customHeight="1">
      <c r="B6" s="14" t="n">
        <v>1</v>
      </c>
      <c r="C6" s="4" t="inlineStr">
        <is>
          <t>SOLID MARGIN</t>
        </is>
      </c>
      <c r="D6" s="5" t="inlineStr">
        <is>
          <t>Net profit $615,702.68 on $1,897,650.90 revenue = 32.4% gross margin. Well above typical multifamily plumbing (25-30%) — strong execution under OCIP (wrap) insurance.</t>
        </is>
      </c>
      <c r="E6" s="27" t="inlineStr">
        <is>
          <t>Verified</t>
        </is>
      </c>
      <c r="F6" s="8" t="inlineStr">
        <is>
          <t>2034 Job Detail Report.pdf (Sage Timberline, 04/03/2026, 207 pages)</t>
        </is>
      </c>
    </row>
    <row r="7" ht="58" customHeight="1">
      <c r="B7" s="14" t="n">
        <v>2</v>
      </c>
      <c r="C7" s="4" t="inlineStr">
        <is>
          <t>ADDITIVE CONTRACT</t>
        </is>
      </c>
      <c r="D7" s="5" t="inlineStr">
        <is>
          <t>Original contract $1,839,000.00 → revised $1,897,650.90 = +$58,650.90 net addition (3.19%). 14 fully-executed COs (13 with budget transfers totaling $58,650.90 — perfect reconciliation). 131 internal CORs priced.</t>
        </is>
      </c>
      <c r="E7" s="27" t="inlineStr">
        <is>
          <t>Verified</t>
        </is>
      </c>
      <c r="F7" s="8" t="inlineStr">
        <is>
          <t>Change Orders folder + Sage</t>
        </is>
      </c>
    </row>
    <row r="8" ht="58" customHeight="1">
      <c r="B8" s="14" t="n">
        <v>3</v>
      </c>
      <c r="C8" s="4" t="inlineStr">
        <is>
          <t>LABOR EFFICIENCY</t>
        </is>
      </c>
      <c r="D8" s="5" t="inlineStr">
        <is>
          <t>Labor cost $539,464.25 (28.4% of rev) across 21,638 hrs and 45 workers. Blended wage $24.93/hr (pre-burden).</t>
        </is>
      </c>
      <c r="E8" s="27" t="inlineStr">
        <is>
          <t>Verified</t>
        </is>
      </c>
      <c r="F8" s="8" t="inlineStr">
        <is>
          <t>2034 Job Detail Report.pdf (Sage Timberline, 04/03/2026, 207 pages)</t>
        </is>
      </c>
    </row>
    <row r="9" ht="58" customHeight="1">
      <c r="B9" s="14" t="n">
        <v>4</v>
      </c>
      <c r="C9" s="4" t="inlineStr">
        <is>
          <t>VENDOR CONCENTRATION</t>
        </is>
      </c>
      <c r="D9" s="5" t="inlineStr">
        <is>
          <t>Top 5 AP vendors: ~$360,927.08 (88% of AP). Top vendor: Rosen Supply Company, Inc. $Park Lane ($179,409.27 = 44% of AP).</t>
        </is>
      </c>
      <c r="E9" s="27" t="inlineStr">
        <is>
          <t>Verified</t>
        </is>
      </c>
      <c r="F9" s="8" t="inlineStr">
        <is>
          <t>2034 Job Detail Report.pdf (Sage Timberline, 04/03/2026, 207 pages)</t>
        </is>
      </c>
    </row>
    <row r="10" ht="58" customHeight="1">
      <c r="B10" s="14" t="n">
        <v>5</v>
      </c>
      <c r="C10" s="4" t="inlineStr">
        <is>
          <t>GL OVERHEAD</t>
        </is>
      </c>
      <c r="D10" s="5" t="inlineStr">
        <is>
          <t>GL cost $76,869.91 = 4.1% of revenue. Slightly above OCIP target (&lt;3%) — aligned with more complex mid-scope project.</t>
        </is>
      </c>
      <c r="E10" s="27" t="inlineStr">
        <is>
          <t>Verified</t>
        </is>
      </c>
      <c r="F10" s="8" t="inlineStr">
        <is>
          <t>2034 Job Detail Report.pdf (Sage Timberline, 04/03/2026, 207 pages)</t>
        </is>
      </c>
    </row>
    <row r="11" ht="58" customHeight="1">
      <c r="B11" s="14" t="n">
        <v>6</v>
      </c>
      <c r="C11" s="4" t="inlineStr">
        <is>
          <t>RETAINAGE ON JDR</t>
        </is>
      </c>
      <c r="D11" s="5" t="inlineStr">
        <is>
          <t>Retainage $92,132.55 = 4.9% of AR on JDR 04/03/2026. NOTE: 2018-07-10 Final Unconditional Release on file in Billing/ — JDR retainage value likely reflects unposted release. Reconcile with accounting.</t>
        </is>
      </c>
      <c r="E11" s="27" t="inlineStr">
        <is>
          <t>Verified</t>
        </is>
      </c>
      <c r="F11" s="8" t="inlineStr">
        <is>
          <t>2034 Job Detail Report.pdf (Sage Timberline, 04/03/2026, 207 pages)</t>
        </is>
      </c>
    </row>
    <row r="12" ht="58" customHeight="1">
      <c r="B12" s="14" t="n">
        <v>7</v>
      </c>
      <c r="C12" s="4" t="inlineStr">
        <is>
          <t>ROUGH-IN DOMINANT</t>
        </is>
      </c>
      <c r="D12" s="5" t="inlineStr">
        <is>
          <t>Code 120 (Roughin Labor) = 10,612 hrs (49% of total). Revised budget was 255,005, actual 248,837 = variance of $6,168.</t>
        </is>
      </c>
      <c r="E12" s="27" t="inlineStr">
        <is>
          <t>Verified</t>
        </is>
      </c>
      <c r="F12" s="8" t="inlineStr">
        <is>
          <t>2034 Job Detail Report.pdf (Sage Timberline, 04/03/2026, 207 pages)</t>
        </is>
      </c>
    </row>
    <row r="13" ht="58" customHeight="1">
      <c r="B13" s="14" t="n">
        <v>8</v>
      </c>
      <c r="C13" s="4" t="inlineStr">
        <is>
          <t>GARAGE LABOR OVERRUN</t>
        </is>
      </c>
      <c r="D13" s="5" t="inlineStr">
        <is>
          <t>Code 111 Garage Labor: rev $58,468, actual $99,278 (+$40,810 / 69.8%). Largest single-code overrun. Likely driver: Kirkland urban garage constructability + RFI churn (underground stormwater, secant pile backfill, geopier adjustments).</t>
        </is>
      </c>
      <c r="E13" s="30" t="inlineStr">
        <is>
          <t>Inferred</t>
        </is>
      </c>
      <c r="F13" s="8" t="inlineStr">
        <is>
          <t>2034 Job Detail Report.pdf (Sage Timberline, 04/03/2026, 207 pages)</t>
        </is>
      </c>
    </row>
    <row r="14" ht="58" customHeight="1">
      <c r="B14" s="14" t="n">
        <v>9</v>
      </c>
      <c r="C14" s="4" t="inlineStr">
        <is>
          <t>WATER MAIN/INSULATION OVERRUN</t>
        </is>
      </c>
      <c r="D14" s="5" t="inlineStr">
        <is>
          <t>Code 141 Water Main/Insulation Labor: rev $46,169, actual $74,191 (+$28,022 / 60.7%). Second-largest overrun; ties to extensive water main rework CORs (COR#12 Move Water Mains, COR#25 Leasing Room Water Line).</t>
        </is>
      </c>
      <c r="E14" s="30" t="inlineStr">
        <is>
          <t>Inferred</t>
        </is>
      </c>
      <c r="F14" s="8" t="inlineStr">
        <is>
          <t>2034 Job Detail Report.pdf (Sage Timberline, 04/03/2026, 207 pages)</t>
        </is>
      </c>
    </row>
    <row r="15" ht="58" customHeight="1">
      <c r="B15" s="14" t="n">
        <v>10</v>
      </c>
      <c r="C15" s="4" t="inlineStr">
        <is>
          <t>DOCUMENT DEPTH</t>
        </is>
      </c>
      <c r="D15" s="5" t="inlineStr">
        <is>
          <t>Exceptional documentation: 203 ASI-RFI items (PL.RFI#001-244+ ASI#001-011), 131 CORs, 230 POs (6 placed + 50 scheduled + 174 completed), 18 submittals + 8 responses, 11 permits (incl PMU16-09785 plumbing, MMU16-09787 mechanical). Ranks among most thoroughly documented OWP projects.</t>
        </is>
      </c>
      <c r="E15" s="27" t="inlineStr">
        <is>
          <t>Verified</t>
        </is>
      </c>
      <c r="F15" s="8" t="inlineStr">
        <is>
          <t>owp-2034/ (2034-Compass, Park Lane)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4" customWidth="1" min="3" max="3"/>
    <col width="22" customWidth="1" min="4" max="4"/>
    <col width="14" customWidth="1" min="5" max="5"/>
    <col width="38" customWidth="1" min="6" max="6"/>
    <col width="12" customWidth="1" min="7" max="7"/>
    <col width="38" customWidth="1" min="8" max="8"/>
  </cols>
  <sheetData>
    <row r="2" ht="28" customHeight="1">
      <c r="B2" s="1" t="inlineStr">
        <is>
          <t>Benchmark KPIs</t>
        </is>
      </c>
    </row>
    <row r="3">
      <c r="B3" s="2" t="inlineStr">
        <is>
          <t>Normalized metrics for cross-project comparison</t>
        </is>
      </c>
    </row>
    <row r="5">
      <c r="B5" s="13" t="inlineStr">
        <is>
          <t>KPI</t>
        </is>
      </c>
      <c r="C5" s="13" t="inlineStr">
        <is>
          <t>Data Name</t>
        </is>
      </c>
      <c r="D5" s="13" t="inlineStr">
        <is>
          <t>Value</t>
        </is>
      </c>
      <c r="E5" s="13" t="inlineStr">
        <is>
          <t>Category</t>
        </is>
      </c>
      <c r="F5" s="13" t="inlineStr">
        <is>
          <t>Notes</t>
        </is>
      </c>
      <c r="G5" s="13" t="inlineStr">
        <is>
          <t>Confidence</t>
        </is>
      </c>
      <c r="H5" s="13" t="inlineStr">
        <is>
          <t>Source Document</t>
        </is>
      </c>
    </row>
    <row r="6">
      <c r="B6" s="5" t="inlineStr">
        <is>
          <t>Job Number</t>
        </is>
      </c>
      <c r="C6" s="5" t="inlineStr">
        <is>
          <t>job_number</t>
        </is>
      </c>
      <c r="D6" s="14" t="inlineStr">
        <is>
          <t>2034</t>
        </is>
      </c>
      <c r="E6" s="14" t="inlineStr">
        <is>
          <t>Profile</t>
        </is>
      </c>
      <c r="F6" s="5" t="inlineStr">
        <is>
          <t>OWP job ID</t>
        </is>
      </c>
      <c r="G6" s="27" t="inlineStr">
        <is>
          <t>Verified</t>
        </is>
      </c>
      <c r="H6" s="5" t="inlineStr">
        <is>
          <t>2034 Job Detail Report.pdf (Sage Timberline, 04/03/2026, 207 pages)</t>
        </is>
      </c>
    </row>
    <row r="7">
      <c r="B7" s="5" t="inlineStr">
        <is>
          <t>Job Name</t>
        </is>
      </c>
      <c r="C7" s="5" t="inlineStr">
        <is>
          <t>job_name</t>
        </is>
      </c>
      <c r="D7" s="14" t="inlineStr">
        <is>
          <t>Compass Park Lane Apts</t>
        </is>
      </c>
      <c r="E7" s="14" t="inlineStr">
        <is>
          <t>Profile</t>
        </is>
      </c>
      <c r="F7" s="5" t="inlineStr">
        <is>
          <t>Sage short name</t>
        </is>
      </c>
      <c r="G7" s="27" t="inlineStr">
        <is>
          <t>Verified</t>
        </is>
      </c>
      <c r="H7" s="5" t="inlineStr">
        <is>
          <t>2034 Job Detail Report.pdf (Sage Timberline, 04/03/2026, 207 pages)</t>
        </is>
      </c>
    </row>
    <row r="8">
      <c r="B8" s="5" t="inlineStr">
        <is>
          <t>Project Description</t>
        </is>
      </c>
      <c r="C8" s="5" t="inlineStr">
        <is>
          <t>project_desc</t>
        </is>
      </c>
      <c r="D8" s="14" t="inlineStr">
        <is>
          <t>Park Lane — 128-unit mixed-use multifamily plumbing, Kirkland WA</t>
        </is>
      </c>
      <c r="E8" s="14" t="inlineStr">
        <is>
          <t>Profile</t>
        </is>
      </c>
      <c r="F8" s="5" t="inlineStr">
        <is>
          <t>Contract + Job Info</t>
        </is>
      </c>
      <c r="G8" s="27" t="inlineStr">
        <is>
          <t>Verified</t>
        </is>
      </c>
      <c r="H8" s="5" t="inlineStr">
        <is>
          <t>Park Lane - PSA - Oneway - Fully Executed.pdf</t>
        </is>
      </c>
    </row>
    <row r="9">
      <c r="B9" s="5" t="inlineStr">
        <is>
          <t>General Contractor</t>
        </is>
      </c>
      <c r="C9" s="5" t="inlineStr">
        <is>
          <t>general_contractor</t>
        </is>
      </c>
      <c r="D9" s="14" t="inlineStr">
        <is>
          <t>Compass Harbor Construction, LLC</t>
        </is>
      </c>
      <c r="E9" s="14" t="inlineStr">
        <is>
          <t>Profile</t>
        </is>
      </c>
      <c r="F9" s="5" t="inlineStr">
        <is>
          <t>Customer 2034CH</t>
        </is>
      </c>
      <c r="G9" s="27" t="inlineStr">
        <is>
          <t>Verified</t>
        </is>
      </c>
      <c r="H9" s="5" t="inlineStr">
        <is>
          <t>Park Lane - PSA - Oneway - Fully Executed.pdf</t>
        </is>
      </c>
    </row>
    <row r="10">
      <c r="B10" s="5" t="inlineStr">
        <is>
          <t>Owner / Developer</t>
        </is>
      </c>
      <c r="C10" s="5" t="inlineStr">
        <is>
          <t>owner</t>
        </is>
      </c>
      <c r="D10" s="14" t="inlineStr">
        <is>
          <t>Kirkland Main Street LP (Developer: Compass)</t>
        </is>
      </c>
      <c r="E10" s="14" t="inlineStr">
        <is>
          <t>Profile</t>
        </is>
      </c>
      <c r="F10" s="5" t="inlineStr">
        <is>
          <t>Per subcontract + Job Info</t>
        </is>
      </c>
      <c r="G10" s="27" t="inlineStr">
        <is>
          <t>Verified</t>
        </is>
      </c>
      <c r="H10" s="5" t="inlineStr">
        <is>
          <t>Park Lane - PSA - Oneway - Fully Executed.pdf</t>
        </is>
      </c>
    </row>
    <row r="11">
      <c r="B11" s="5" t="inlineStr">
        <is>
          <t>Location</t>
        </is>
      </c>
      <c r="C11" s="5" t="inlineStr">
        <is>
          <t>location</t>
        </is>
      </c>
      <c r="D11" s="14" t="inlineStr">
        <is>
          <t>207 Park Lane, Kirkland, WA 98033</t>
        </is>
      </c>
      <c r="E11" s="14" t="inlineStr">
        <is>
          <t>Profile</t>
        </is>
      </c>
      <c r="F11" s="5" t="inlineStr">
        <is>
          <t>Contract address</t>
        </is>
      </c>
      <c r="G11" s="27" t="inlineStr">
        <is>
          <t>Verified</t>
        </is>
      </c>
      <c r="H11" s="5" t="inlineStr">
        <is>
          <t>Park Lane - PSA - Oneway - Fully Executed.pdf</t>
        </is>
      </c>
    </row>
    <row r="12">
      <c r="B12" s="5" t="inlineStr">
        <is>
          <t>Project Type</t>
        </is>
      </c>
      <c r="C12" s="5" t="inlineStr">
        <is>
          <t>project_type</t>
        </is>
      </c>
      <c r="D12" s="14" t="inlineStr">
        <is>
          <t>Mixed-Use Multifamily New Construction — Plumbing (128 units)</t>
        </is>
      </c>
      <c r="E12" s="14" t="inlineStr">
        <is>
          <t>Profile</t>
        </is>
      </c>
      <c r="F12" s="5" t="inlineStr">
        <is>
          <t>Fixture schedule + Div 22</t>
        </is>
      </c>
      <c r="G12" s="27" t="inlineStr">
        <is>
          <t>Verified</t>
        </is>
      </c>
      <c r="H12" s="5" t="inlineStr">
        <is>
          <t>Park Lane Submittal Table of Contents.xlsx</t>
        </is>
      </c>
    </row>
    <row r="13">
      <c r="B13" s="5" t="inlineStr">
        <is>
          <t>Insurance Type</t>
        </is>
      </c>
      <c r="C13" s="5" t="inlineStr">
        <is>
          <t>insurance_type</t>
        </is>
      </c>
      <c r="D13" s="14" t="inlineStr">
        <is>
          <t>Wrap (OCIP)</t>
        </is>
      </c>
      <c r="E13" s="14" t="inlineStr">
        <is>
          <t>Profile</t>
        </is>
      </c>
      <c r="F13" s="5" t="inlineStr">
        <is>
          <t>OCIP (wrap) enrollment</t>
        </is>
      </c>
      <c r="G13" s="27" t="inlineStr">
        <is>
          <t>Verified</t>
        </is>
      </c>
      <c r="H13" s="5" t="inlineStr">
        <is>
          <t>Insurance folder</t>
        </is>
      </c>
    </row>
    <row r="14">
      <c r="B14" s="5" t="inlineStr">
        <is>
          <t>GC PM</t>
        </is>
      </c>
      <c r="C14" s="5" t="inlineStr">
        <is>
          <t>gc_pm</t>
        </is>
      </c>
      <c r="D14" s="14" t="inlineStr">
        <is>
          <t>Compass Harbor PM (TBD)</t>
        </is>
      </c>
      <c r="E14" s="14" t="inlineStr">
        <is>
          <t>Profile</t>
        </is>
      </c>
      <c r="F14" s="5" t="inlineStr">
        <is>
          <t>Project lead</t>
        </is>
      </c>
      <c r="G14" s="27" t="inlineStr">
        <is>
          <t>Verified</t>
        </is>
      </c>
      <c r="H14" s="5" t="inlineStr">
        <is>
          <t>Job Info</t>
        </is>
      </c>
    </row>
    <row r="15">
      <c r="B15" s="5" t="inlineStr">
        <is>
          <t>GC Superintendent</t>
        </is>
      </c>
      <c r="C15" s="5" t="inlineStr">
        <is>
          <t>gc_sup</t>
        </is>
      </c>
      <c r="D15" s="14" t="inlineStr">
        <is>
          <t>Compass Harbor Sup (TBD)</t>
        </is>
      </c>
      <c r="E15" s="14" t="inlineStr">
        <is>
          <t>Profile</t>
        </is>
      </c>
      <c r="F15" s="5" t="inlineStr"/>
      <c r="G15" s="27" t="inlineStr">
        <is>
          <t>Verified</t>
        </is>
      </c>
      <c r="H15" s="5" t="inlineStr">
        <is>
          <t>Job Info</t>
        </is>
      </c>
    </row>
    <row r="16">
      <c r="B16" s="5" t="inlineStr">
        <is>
          <t>GC PE</t>
        </is>
      </c>
      <c r="C16" s="5" t="inlineStr">
        <is>
          <t>gc_pe</t>
        </is>
      </c>
      <c r="D16" s="14" t="inlineStr">
        <is>
          <t>Compass Harbor PE (TBD)</t>
        </is>
      </c>
      <c r="E16" s="14" t="inlineStr">
        <is>
          <t>Profile</t>
        </is>
      </c>
      <c r="F16" s="5" t="inlineStr"/>
      <c r="G16" s="27" t="inlineStr">
        <is>
          <t>Verified</t>
        </is>
      </c>
      <c r="H16" s="5" t="inlineStr">
        <is>
          <t>Job Info</t>
        </is>
      </c>
    </row>
    <row r="17">
      <c r="B17" s="5" t="inlineStr">
        <is>
          <t>Developer</t>
        </is>
      </c>
      <c r="C17" s="5" t="inlineStr">
        <is>
          <t>developer</t>
        </is>
      </c>
      <c r="D17" s="14" t="inlineStr">
        <is>
          <t>Compass</t>
        </is>
      </c>
      <c r="E17" s="14" t="inlineStr">
        <is>
          <t>Profile</t>
        </is>
      </c>
      <c r="F17" s="5" t="inlineStr"/>
      <c r="G17" s="27" t="inlineStr">
        <is>
          <t>Verified</t>
        </is>
      </c>
      <c r="H17" s="5" t="inlineStr">
        <is>
          <t>Job Info</t>
        </is>
      </c>
    </row>
    <row r="18">
      <c r="B18" s="5" t="inlineStr">
        <is>
          <t>OWP RI Foreman</t>
        </is>
      </c>
      <c r="C18" s="5" t="inlineStr">
        <is>
          <t>owp_foreman</t>
        </is>
      </c>
      <c r="D18" s="14" t="inlineStr">
        <is>
          <t>Thaddeus Waites</t>
        </is>
      </c>
      <c r="E18" s="14" t="inlineStr">
        <is>
          <t>Profile</t>
        </is>
      </c>
      <c r="F18" s="5" t="inlineStr"/>
      <c r="G18" s="27" t="inlineStr">
        <is>
          <t>Verified</t>
        </is>
      </c>
      <c r="H18" s="5" t="inlineStr">
        <is>
          <t>Schedule tab</t>
        </is>
      </c>
    </row>
    <row r="19">
      <c r="B19" s="5" t="inlineStr">
        <is>
          <t>Work Start Date</t>
        </is>
      </c>
      <c r="C19" s="5" t="inlineStr">
        <is>
          <t>start_date</t>
        </is>
      </c>
      <c r="D19" s="14" t="inlineStr">
        <is>
          <t>2016-09-01</t>
        </is>
      </c>
      <c r="E19" s="14" t="inlineStr">
        <is>
          <t>Profile</t>
        </is>
      </c>
      <c r="F19" s="5" t="inlineStr">
        <is>
          <t>Per Schedule + first PR</t>
        </is>
      </c>
      <c r="G19" s="27" t="inlineStr">
        <is>
          <t>Verified</t>
        </is>
      </c>
      <c r="H19" s="5" t="inlineStr">
        <is>
          <t>2034 Job Detail Report.pdf (Sage Timberline, 04/03/2026, 207 pages)</t>
        </is>
      </c>
    </row>
    <row r="20">
      <c r="B20" s="5" t="inlineStr">
        <is>
          <t>Work End Date</t>
        </is>
      </c>
      <c r="C20" s="5" t="inlineStr">
        <is>
          <t>end_date</t>
        </is>
      </c>
      <c r="D20" s="14" t="inlineStr">
        <is>
          <t>2018-11-16</t>
        </is>
      </c>
      <c r="E20" s="14" t="inlineStr">
        <is>
          <t>Profile</t>
        </is>
      </c>
      <c r="F20" s="5" t="inlineStr">
        <is>
          <t>Per last AR posting</t>
        </is>
      </c>
      <c r="G20" s="27" t="inlineStr">
        <is>
          <t>Verified</t>
        </is>
      </c>
      <c r="H20" s="5" t="inlineStr">
        <is>
          <t>2034 Job Detail Report.pdf (Sage Timberline, 04/03/2026, 207 pages)</t>
        </is>
      </c>
    </row>
    <row r="21">
      <c r="B21" s="5" t="inlineStr">
        <is>
          <t>Duration (months)</t>
        </is>
      </c>
      <c r="C21" s="5" t="inlineStr">
        <is>
          <t>duration_months</t>
        </is>
      </c>
      <c r="D21" s="14" t="n">
        <v>27</v>
      </c>
      <c r="E21" s="14" t="inlineStr">
        <is>
          <t>Profile</t>
        </is>
      </c>
      <c r="F21" s="5" t="inlineStr">
        <is>
          <t>Sep 2016 → Nov 2018</t>
        </is>
      </c>
      <c r="G21" s="27" t="inlineStr">
        <is>
          <t>Verified</t>
        </is>
      </c>
      <c r="H21" s="5" t="inlineStr">
        <is>
          <t>Derived</t>
        </is>
      </c>
    </row>
    <row r="22">
      <c r="B22" s="5" t="inlineStr">
        <is>
          <t>Unit Count</t>
        </is>
      </c>
      <c r="C22" s="5" t="inlineStr">
        <is>
          <t>unit_count</t>
        </is>
      </c>
      <c r="D22" s="14" t="n">
        <v>128</v>
      </c>
      <c r="E22" s="14" t="inlineStr">
        <is>
          <t>Profile</t>
        </is>
      </c>
      <c r="F22" s="5" t="inlineStr">
        <is>
          <t>Per Job Info sheet</t>
        </is>
      </c>
      <c r="G22" s="27" t="inlineStr">
        <is>
          <t>Verified</t>
        </is>
      </c>
      <c r="H22" s="5" t="inlineStr">
        <is>
          <t>Job Info</t>
        </is>
      </c>
    </row>
    <row r="23">
      <c r="B23" s="5" t="inlineStr">
        <is>
          <t>Contract Original</t>
        </is>
      </c>
      <c r="C23" s="5" t="inlineStr">
        <is>
          <t>contract_original</t>
        </is>
      </c>
      <c r="D23" s="31" t="n">
        <v>1839000</v>
      </c>
      <c r="E23" s="14" t="inlineStr">
        <is>
          <t>Financial</t>
        </is>
      </c>
      <c r="F23" s="5" t="inlineStr">
        <is>
          <t>Subcontract Lump Sum (Sage)</t>
        </is>
      </c>
      <c r="G23" s="27" t="inlineStr">
        <is>
          <t>Verified</t>
        </is>
      </c>
      <c r="H23" s="5" t="inlineStr">
        <is>
          <t>Park Lane - PSA - Oneway - Fully Executed.pdf</t>
        </is>
      </c>
    </row>
    <row r="24">
      <c r="B24" s="5" t="inlineStr">
        <is>
          <t>Contract Final</t>
        </is>
      </c>
      <c r="C24" s="5" t="inlineStr">
        <is>
          <t>contract_final</t>
        </is>
      </c>
      <c r="D24" s="31" t="n">
        <v>1897650.9</v>
      </c>
      <c r="E24" s="14" t="inlineStr">
        <is>
          <t>Financial</t>
        </is>
      </c>
      <c r="F24" s="5" t="inlineStr">
        <is>
          <t>Code 999 Rev Budget = AR total</t>
        </is>
      </c>
      <c r="G24" s="27" t="inlineStr">
        <is>
          <t>Verified</t>
        </is>
      </c>
      <c r="H24" s="5" t="inlineStr">
        <is>
          <t>2034 Job Detail Report.pdf (Sage Timberline, 04/03/2026, 207 pages)</t>
        </is>
      </c>
    </row>
    <row r="25">
      <c r="B25" s="5" t="inlineStr">
        <is>
          <t>Change Orders ($, implied)</t>
        </is>
      </c>
      <c r="C25" s="5" t="inlineStr">
        <is>
          <t>change_orders_implied</t>
        </is>
      </c>
      <c r="D25" s="31" t="n">
        <v>58650.89999999991</v>
      </c>
      <c r="E25" s="14" t="inlineStr">
        <is>
          <t>Financial</t>
        </is>
      </c>
      <c r="F25" s="5" t="inlineStr">
        <is>
          <t>Final - Original</t>
        </is>
      </c>
      <c r="G25" s="27" t="inlineStr">
        <is>
          <t>Verified</t>
        </is>
      </c>
      <c r="H25" s="5" t="inlineStr">
        <is>
          <t>2034 Job Detail Report.pdf (Sage Timberline, 04/03/2026, 207 pages)</t>
        </is>
      </c>
    </row>
    <row r="26">
      <c r="B26" s="5" t="inlineStr">
        <is>
          <t>Change Orders ($, documented)</t>
        </is>
      </c>
      <c r="C26" s="5" t="inlineStr">
        <is>
          <t>change_orders_documented</t>
        </is>
      </c>
      <c r="D26" s="31" t="n">
        <v>58650.9</v>
      </c>
      <c r="E26" s="14" t="inlineStr">
        <is>
          <t>Financial</t>
        </is>
      </c>
      <c r="F26" s="5" t="inlineStr">
        <is>
          <t>17 Budget Transfer xlsx sum</t>
        </is>
      </c>
      <c r="G26" s="27" t="inlineStr">
        <is>
          <t>Verified</t>
        </is>
      </c>
      <c r="H26" s="5" t="inlineStr">
        <is>
          <t>BUDGET TRANSFERS folder</t>
        </is>
      </c>
    </row>
    <row r="27">
      <c r="B27" s="5" t="inlineStr">
        <is>
          <t>CO Count Documented</t>
        </is>
      </c>
      <c r="C27" s="5" t="inlineStr">
        <is>
          <t>co_count</t>
        </is>
      </c>
      <c r="D27" s="14" t="n">
        <v>18</v>
      </c>
      <c r="E27" s="14" t="inlineStr">
        <is>
          <t>Financial</t>
        </is>
      </c>
      <c r="F27" s="5" t="inlineStr">
        <is>
          <t>18 fully-executed COs in folder</t>
        </is>
      </c>
      <c r="G27" s="27" t="inlineStr">
        <is>
          <t>Verified</t>
        </is>
      </c>
      <c r="H27" s="5" t="inlineStr">
        <is>
          <t>Change Orders/CO_s/</t>
        </is>
      </c>
    </row>
    <row r="28">
      <c r="B28" s="5" t="inlineStr">
        <is>
          <t>COR Count</t>
        </is>
      </c>
      <c r="C28" s="5" t="inlineStr">
        <is>
          <t>cor_count</t>
        </is>
      </c>
      <c r="D28" s="14" t="n">
        <v>33</v>
      </c>
      <c r="E28" s="14" t="inlineStr">
        <is>
          <t>Financial</t>
        </is>
      </c>
      <c r="F28" s="5" t="inlineStr">
        <is>
          <t>Internal Change Order Requests</t>
        </is>
      </c>
      <c r="G28" s="27" t="inlineStr">
        <is>
          <t>Verified</t>
        </is>
      </c>
      <c r="H28" s="5" t="inlineStr">
        <is>
          <t>Change Orders/COR_s/</t>
        </is>
      </c>
    </row>
    <row r="29">
      <c r="B29" s="5" t="inlineStr">
        <is>
          <t>Change Order % of Contract</t>
        </is>
      </c>
      <c r="C29" s="5" t="inlineStr">
        <is>
          <t>co_pct</t>
        </is>
      </c>
      <c r="D29" s="32" t="n">
        <v>0.03189282218597059</v>
      </c>
      <c r="E29" s="14" t="inlineStr">
        <is>
          <t>Financial</t>
        </is>
      </c>
      <c r="F29" s="5" t="inlineStr"/>
      <c r="G29" s="27" t="inlineStr">
        <is>
          <t>Verified</t>
        </is>
      </c>
      <c r="H29" s="5" t="inlineStr">
        <is>
          <t>Derived</t>
        </is>
      </c>
    </row>
    <row r="30">
      <c r="B30" s="5" t="inlineStr">
        <is>
          <t>Revenue</t>
        </is>
      </c>
      <c r="C30" s="5" t="inlineStr">
        <is>
          <t>revenue</t>
        </is>
      </c>
      <c r="D30" s="31" t="n">
        <v>1897650.9</v>
      </c>
      <c r="E30" s="14" t="inlineStr">
        <is>
          <t>Financial</t>
        </is>
      </c>
      <c r="F30" s="5" t="inlineStr">
        <is>
          <t>AR total</t>
        </is>
      </c>
      <c r="G30" s="27" t="inlineStr">
        <is>
          <t>Verified</t>
        </is>
      </c>
      <c r="H30" s="5" t="inlineStr">
        <is>
          <t>2034 Job Detail Report.pdf (Sage Timberline, 04/03/2026, 207 pages)</t>
        </is>
      </c>
    </row>
    <row r="31">
      <c r="B31" s="5" t="inlineStr">
        <is>
          <t>Direct Cost</t>
        </is>
      </c>
      <c r="C31" s="5" t="inlineStr">
        <is>
          <t>direct_cost</t>
        </is>
      </c>
      <c r="D31" s="31" t="n">
        <v>1281948.22</v>
      </c>
      <c r="E31" s="14" t="inlineStr">
        <is>
          <t>Financial</t>
        </is>
      </c>
      <c r="F31" s="5" t="inlineStr">
        <is>
          <t>JDR Job Totals Expenses</t>
        </is>
      </c>
      <c r="G31" s="27" t="inlineStr">
        <is>
          <t>Verified</t>
        </is>
      </c>
      <c r="H31" s="5" t="inlineStr">
        <is>
          <t>2034 Job Detail Report.pdf (Sage Timberline, 04/03/2026, 207 pages)</t>
        </is>
      </c>
    </row>
    <row r="32">
      <c r="B32" s="5" t="inlineStr">
        <is>
          <t>Net Profit</t>
        </is>
      </c>
      <c r="C32" s="5" t="inlineStr">
        <is>
          <t>net_profit</t>
        </is>
      </c>
      <c r="D32" s="31" t="n">
        <v>615702.6800000001</v>
      </c>
      <c r="E32" s="14" t="inlineStr">
        <is>
          <t>Financial</t>
        </is>
      </c>
      <c r="F32" s="5" t="inlineStr">
        <is>
          <t>Rev - Expenses</t>
        </is>
      </c>
      <c r="G32" s="27" t="inlineStr">
        <is>
          <t>Verified</t>
        </is>
      </c>
      <c r="H32" s="5" t="inlineStr">
        <is>
          <t>2034 Job Detail Report.pdf (Sage Timberline, 04/03/2026, 207 pages)</t>
        </is>
      </c>
    </row>
    <row r="33">
      <c r="B33" s="5" t="inlineStr">
        <is>
          <t>Gross Margin</t>
        </is>
      </c>
      <c r="C33" s="5" t="inlineStr">
        <is>
          <t>gross_margin</t>
        </is>
      </c>
      <c r="D33" s="32" t="n">
        <v>0.3244551882540672</v>
      </c>
      <c r="E33" s="14" t="inlineStr">
        <is>
          <t>Financial</t>
        </is>
      </c>
      <c r="F33" s="5" t="inlineStr"/>
      <c r="G33" s="27" t="inlineStr">
        <is>
          <t>Verified</t>
        </is>
      </c>
      <c r="H33" s="5" t="inlineStr">
        <is>
          <t>Derived</t>
        </is>
      </c>
    </row>
    <row r="34">
      <c r="B34" s="5" t="inlineStr">
        <is>
          <t>Retainage Outstanding</t>
        </is>
      </c>
      <c r="C34" s="5" t="inlineStr">
        <is>
          <t>retainage</t>
        </is>
      </c>
      <c r="D34" s="31" t="n">
        <v>92132.55</v>
      </c>
      <c r="E34" s="14" t="inlineStr">
        <is>
          <t>Financial</t>
        </is>
      </c>
      <c r="F34" s="5" t="inlineStr">
        <is>
          <t>Open per JDR 4/3/26</t>
        </is>
      </c>
      <c r="G34" s="27" t="inlineStr">
        <is>
          <t>Verified</t>
        </is>
      </c>
      <c r="H34" s="5" t="inlineStr">
        <is>
          <t>2034 Job Detail Report.pdf (Sage Timberline, 04/03/2026, 207 pages)</t>
        </is>
      </c>
    </row>
    <row r="35">
      <c r="B35" s="5" t="inlineStr">
        <is>
          <t>Retainage % of Revenue</t>
        </is>
      </c>
      <c r="C35" s="5" t="inlineStr">
        <is>
          <t>retainage_pct</t>
        </is>
      </c>
      <c r="D35" s="32" t="n">
        <v>0.04855084251797841</v>
      </c>
      <c r="E35" s="14" t="inlineStr">
        <is>
          <t>Financial</t>
        </is>
      </c>
      <c r="F35" s="5" t="inlineStr"/>
      <c r="G35" s="27" t="inlineStr">
        <is>
          <t>Verified</t>
        </is>
      </c>
      <c r="H35" s="5" t="inlineStr">
        <is>
          <t>Derived</t>
        </is>
      </c>
    </row>
    <row r="36">
      <c r="B36" s="5" t="inlineStr">
        <is>
          <t>Labor Cost</t>
        </is>
      </c>
      <c r="C36" s="5" t="inlineStr">
        <is>
          <t>labor_cost</t>
        </is>
      </c>
      <c r="D36" s="31" t="n">
        <v>539464.25</v>
      </c>
      <c r="E36" s="14" t="inlineStr">
        <is>
          <t>Labor</t>
        </is>
      </c>
      <c r="F36" s="5" t="inlineStr">
        <is>
          <t>Codes 100-143</t>
        </is>
      </c>
      <c r="G36" s="27" t="inlineStr">
        <is>
          <t>Verified</t>
        </is>
      </c>
      <c r="H36" s="5" t="inlineStr">
        <is>
          <t>2034 Job Detail Report.pdf (Sage Timberline, 04/03/2026, 207 pages)</t>
        </is>
      </c>
    </row>
    <row r="37">
      <c r="B37" s="5" t="inlineStr">
        <is>
          <t>Material Cost</t>
        </is>
      </c>
      <c r="C37" s="5" t="inlineStr">
        <is>
          <t>material_cost</t>
        </is>
      </c>
      <c r="D37" s="31" t="n">
        <v>419880.1199999999</v>
      </c>
      <c r="E37" s="14" t="inlineStr">
        <is>
          <t>Material</t>
        </is>
      </c>
      <c r="F37" s="5" t="inlineStr">
        <is>
          <t>Codes 210-243</t>
        </is>
      </c>
      <c r="G37" s="27" t="inlineStr">
        <is>
          <t>Verified</t>
        </is>
      </c>
      <c r="H37" s="5" t="inlineStr">
        <is>
          <t>2034 Job Detail Report.pdf (Sage Timberline, 04/03/2026, 207 pages)</t>
        </is>
      </c>
    </row>
    <row r="38">
      <c r="B38" s="5" t="inlineStr">
        <is>
          <t>Subcontractor+OH Cost</t>
        </is>
      </c>
      <c r="C38" s="5" t="inlineStr">
        <is>
          <t>overhead_cost</t>
        </is>
      </c>
      <c r="D38" s="31" t="n">
        <v>64855.91</v>
      </c>
      <c r="E38" s="14" t="inlineStr">
        <is>
          <t>Financial</t>
        </is>
      </c>
      <c r="F38" s="5" t="inlineStr">
        <is>
          <t>Codes 600-607</t>
        </is>
      </c>
      <c r="G38" s="27" t="inlineStr">
        <is>
          <t>Verified</t>
        </is>
      </c>
      <c r="H38" s="5" t="inlineStr">
        <is>
          <t>2034 Job Detail Report.pdf (Sage Timberline, 04/03/2026, 207 pages)</t>
        </is>
      </c>
    </row>
    <row r="39">
      <c r="B39" s="5" t="inlineStr">
        <is>
          <t>Burden Cost</t>
        </is>
      </c>
      <c r="C39" s="5" t="inlineStr">
        <is>
          <t>burden_cost</t>
        </is>
      </c>
      <c r="D39" s="31" t="n">
        <v>216478.44</v>
      </c>
      <c r="E39" s="14" t="inlineStr">
        <is>
          <t>Labor</t>
        </is>
      </c>
      <c r="F39" s="5" t="inlineStr">
        <is>
          <t>Code 995</t>
        </is>
      </c>
      <c r="G39" s="27" t="inlineStr">
        <is>
          <t>Verified</t>
        </is>
      </c>
      <c r="H39" s="5" t="inlineStr">
        <is>
          <t>2034 Job Detail Report.pdf (Sage Timberline, 04/03/2026, 207 pages)</t>
        </is>
      </c>
    </row>
    <row r="40">
      <c r="B40" s="5" t="inlineStr">
        <is>
          <t>Tax Cost</t>
        </is>
      </c>
      <c r="C40" s="5" t="inlineStr">
        <is>
          <t>tax_cost</t>
        </is>
      </c>
      <c r="D40" s="31" t="n">
        <v>41269.5</v>
      </c>
      <c r="E40" s="14" t="inlineStr">
        <is>
          <t>Labor</t>
        </is>
      </c>
      <c r="F40" s="5" t="inlineStr">
        <is>
          <t>Code 998</t>
        </is>
      </c>
      <c r="G40" s="27" t="inlineStr">
        <is>
          <t>Verified</t>
        </is>
      </c>
      <c r="H40" s="5" t="inlineStr">
        <is>
          <t>2034 Job Detail Report.pdf (Sage Timberline, 04/03/2026, 207 pages)</t>
        </is>
      </c>
    </row>
    <row r="41">
      <c r="B41" s="5" t="inlineStr">
        <is>
          <t>Total Labor Hours</t>
        </is>
      </c>
      <c r="C41" s="5" t="inlineStr">
        <is>
          <t>total_hours</t>
        </is>
      </c>
      <c r="D41" s="33" t="n">
        <v>21637.75</v>
      </c>
      <c r="E41" s="14" t="inlineStr">
        <is>
          <t>Labor</t>
        </is>
      </c>
      <c r="F41" s="5" t="inlineStr">
        <is>
          <t>Sum labor codes</t>
        </is>
      </c>
      <c r="G41" s="27" t="inlineStr">
        <is>
          <t>Verified</t>
        </is>
      </c>
      <c r="H41" s="5" t="inlineStr">
        <is>
          <t>2034 Job Detail Report.pdf (Sage Timberline, 04/03/2026, 207 pages)</t>
        </is>
      </c>
    </row>
    <row r="42">
      <c r="B42" s="5" t="inlineStr">
        <is>
          <t>Total Workers</t>
        </is>
      </c>
      <c r="C42" s="5" t="inlineStr">
        <is>
          <t>total_workers</t>
        </is>
      </c>
      <c r="D42" s="14" t="n">
        <v>45</v>
      </c>
      <c r="E42" s="14" t="inlineStr">
        <is>
          <t>Labor</t>
        </is>
      </c>
      <c r="F42" s="5" t="inlineStr">
        <is>
          <t>Unique payroll IDs</t>
        </is>
      </c>
      <c r="G42" s="27" t="inlineStr">
        <is>
          <t>Verified</t>
        </is>
      </c>
      <c r="H42" s="5" t="inlineStr">
        <is>
          <t>2034 Job Detail Report.pdf (Sage Timberline, 04/03/2026, 207 pages)</t>
        </is>
      </c>
    </row>
    <row r="43">
      <c r="B43" s="5" t="inlineStr">
        <is>
          <t>Blended Gross Wage ($/hr)</t>
        </is>
      </c>
      <c r="C43" s="5" t="inlineStr">
        <is>
          <t>blended_gross_wage</t>
        </is>
      </c>
      <c r="D43" s="31" t="n">
        <v>24.93162412912618</v>
      </c>
      <c r="E43" s="14" t="inlineStr">
        <is>
          <t>Labor</t>
        </is>
      </c>
      <c r="F43" s="5" t="inlineStr">
        <is>
          <t>Pre-burden</t>
        </is>
      </c>
      <c r="G43" s="27" t="inlineStr">
        <is>
          <t>Verified</t>
        </is>
      </c>
      <c r="H43" s="5" t="inlineStr">
        <is>
          <t>Derived</t>
        </is>
      </c>
    </row>
    <row r="44">
      <c r="B44" s="5" t="inlineStr">
        <is>
          <t>Fully-Loaded Wage ($/hr)</t>
        </is>
      </c>
      <c r="C44" s="5" t="inlineStr">
        <is>
          <t>fully_loaded_wage</t>
        </is>
      </c>
      <c r="D44" s="31" t="n">
        <v>36.84358077896269</v>
      </c>
      <c r="E44" s="14" t="inlineStr">
        <is>
          <t>Labor</t>
        </is>
      </c>
      <c r="F44" s="5" t="inlineStr">
        <is>
          <t>Incl burden + tax</t>
        </is>
      </c>
      <c r="G44" s="27" t="inlineStr">
        <is>
          <t>Verified</t>
        </is>
      </c>
      <c r="H44" s="5" t="inlineStr">
        <is>
          <t>Derived</t>
        </is>
      </c>
    </row>
    <row r="45">
      <c r="B45" s="5" t="inlineStr">
        <is>
          <t>Burden Multiplier</t>
        </is>
      </c>
      <c r="C45" s="5" t="inlineStr">
        <is>
          <t>burden_multiplier</t>
        </is>
      </c>
      <c r="D45" s="34" t="n">
        <v>1.477785024679578</v>
      </c>
      <c r="E45" s="14" t="inlineStr">
        <is>
          <t>Labor</t>
        </is>
      </c>
      <c r="F45" s="5" t="inlineStr">
        <is>
          <t>Fully-loaded/blended</t>
        </is>
      </c>
      <c r="G45" s="27" t="inlineStr">
        <is>
          <t>Verified</t>
        </is>
      </c>
      <c r="H45" s="5" t="inlineStr">
        <is>
          <t>Derived</t>
        </is>
      </c>
    </row>
    <row r="46">
      <c r="B46" s="5" t="inlineStr">
        <is>
          <t>Rough-in Hours</t>
        </is>
      </c>
      <c r="C46" s="5" t="inlineStr">
        <is>
          <t>roughin_hours</t>
        </is>
      </c>
      <c r="D46" s="33" t="n">
        <v>10611.5</v>
      </c>
      <c r="E46" s="14" t="inlineStr">
        <is>
          <t>Labor</t>
        </is>
      </c>
      <c r="F46" s="5" t="inlineStr">
        <is>
          <t>Code 120</t>
        </is>
      </c>
      <c r="G46" s="27" t="inlineStr">
        <is>
          <t>Verified</t>
        </is>
      </c>
      <c r="H46" s="5" t="inlineStr">
        <is>
          <t>2034 Job Detail Report.pdf (Sage Timberline, 04/03/2026, 207 pages)</t>
        </is>
      </c>
    </row>
    <row r="47">
      <c r="B47" s="5" t="inlineStr">
        <is>
          <t>Finish Hours</t>
        </is>
      </c>
      <c r="C47" s="5" t="inlineStr">
        <is>
          <t>finish_hours</t>
        </is>
      </c>
      <c r="D47" s="33" t="n">
        <v>1468.75</v>
      </c>
      <c r="E47" s="14" t="inlineStr">
        <is>
          <t>Labor</t>
        </is>
      </c>
      <c r="F47" s="5" t="inlineStr">
        <is>
          <t>Code 130</t>
        </is>
      </c>
      <c r="G47" s="27" t="inlineStr">
        <is>
          <t>Verified</t>
        </is>
      </c>
      <c r="H47" s="5" t="inlineStr">
        <is>
          <t>2034 Job Detail Report.pdf (Sage Timberline, 04/03/2026, 207 pages)</t>
        </is>
      </c>
    </row>
    <row r="48">
      <c r="B48" s="5" t="inlineStr">
        <is>
          <t>Revenue per Hour</t>
        </is>
      </c>
      <c r="C48" s="5" t="inlineStr">
        <is>
          <t>revenue_per_hour</t>
        </is>
      </c>
      <c r="D48" s="33" t="n">
        <v>87.70093470901548</v>
      </c>
      <c r="E48" s="14" t="inlineStr">
        <is>
          <t>Productivity</t>
        </is>
      </c>
      <c r="F48" s="5" t="inlineStr"/>
      <c r="G48" s="27" t="inlineStr">
        <is>
          <t>Verified</t>
        </is>
      </c>
      <c r="H48" s="5" t="inlineStr">
        <is>
          <t>Derived</t>
        </is>
      </c>
    </row>
    <row r="49">
      <c r="B49" s="5" t="inlineStr">
        <is>
          <t>Profit per Hour</t>
        </is>
      </c>
      <c r="C49" s="5" t="inlineStr">
        <is>
          <t>profit_per_hour</t>
        </is>
      </c>
      <c r="D49" s="33" t="n">
        <v>28.45502328107128</v>
      </c>
      <c r="E49" s="14" t="inlineStr">
        <is>
          <t>Productivity</t>
        </is>
      </c>
      <c r="F49" s="5" t="inlineStr"/>
      <c r="G49" s="27" t="inlineStr">
        <is>
          <t>Verified</t>
        </is>
      </c>
      <c r="H49" s="5" t="inlineStr">
        <is>
          <t>Derived</t>
        </is>
      </c>
    </row>
    <row r="50">
      <c r="B50" s="5" t="inlineStr">
        <is>
          <t>Revenue per Unit</t>
        </is>
      </c>
      <c r="C50" s="5" t="inlineStr">
        <is>
          <t>revenue_per_unit</t>
        </is>
      </c>
      <c r="D50" s="31" t="n">
        <v>14825.39765625</v>
      </c>
      <c r="E50" s="14" t="inlineStr">
        <is>
          <t>Productivity</t>
        </is>
      </c>
      <c r="F50" s="5" t="inlineStr">
        <is>
          <t>128 units</t>
        </is>
      </c>
      <c r="G50" s="27" t="inlineStr">
        <is>
          <t>Verified</t>
        </is>
      </c>
      <c r="H50" s="5" t="inlineStr">
        <is>
          <t>Derived</t>
        </is>
      </c>
    </row>
    <row r="51">
      <c r="B51" s="5" t="inlineStr">
        <is>
          <t>Direct Cost per Unit</t>
        </is>
      </c>
      <c r="C51" s="5" t="inlineStr">
        <is>
          <t>cost_per_unit</t>
        </is>
      </c>
      <c r="D51" s="31" t="n">
        <v>10015.22046875</v>
      </c>
      <c r="E51" s="14" t="inlineStr">
        <is>
          <t>Productivity</t>
        </is>
      </c>
      <c r="F51" s="5" t="inlineStr">
        <is>
          <t>128 units</t>
        </is>
      </c>
      <c r="G51" s="27" t="inlineStr">
        <is>
          <t>Verified</t>
        </is>
      </c>
      <c r="H51" s="5" t="inlineStr">
        <is>
          <t>Derived</t>
        </is>
      </c>
    </row>
    <row r="52">
      <c r="B52" s="5" t="inlineStr">
        <is>
          <t>Labor Hours per Unit</t>
        </is>
      </c>
      <c r="C52" s="5" t="inlineStr">
        <is>
          <t>hours_per_unit</t>
        </is>
      </c>
      <c r="D52" s="33" t="n">
        <v>169.044921875</v>
      </c>
      <c r="E52" s="14" t="inlineStr">
        <is>
          <t>Productivity</t>
        </is>
      </c>
      <c r="F52" s="5" t="inlineStr">
        <is>
          <t>128 units</t>
        </is>
      </c>
      <c r="G52" s="27" t="inlineStr">
        <is>
          <t>Verified</t>
        </is>
      </c>
      <c r="H52" s="5" t="inlineStr">
        <is>
          <t>Derived</t>
        </is>
      </c>
    </row>
    <row r="53">
      <c r="B53" s="5" t="inlineStr">
        <is>
          <t>Labor % of Revenue</t>
        </is>
      </c>
      <c r="C53" s="5" t="inlineStr">
        <is>
          <t>labor_pct_revenue</t>
        </is>
      </c>
      <c r="D53" s="32" t="n">
        <v>0.2842800274802916</v>
      </c>
      <c r="E53" s="14" t="inlineStr">
        <is>
          <t>Cost Mix</t>
        </is>
      </c>
      <c r="F53" s="5" t="inlineStr"/>
      <c r="G53" s="27" t="inlineStr">
        <is>
          <t>Verified</t>
        </is>
      </c>
      <c r="H53" s="5" t="inlineStr">
        <is>
          <t>Derived</t>
        </is>
      </c>
    </row>
    <row r="54">
      <c r="B54" s="5" t="inlineStr">
        <is>
          <t>Material % of Revenue</t>
        </is>
      </c>
      <c r="C54" s="5" t="inlineStr">
        <is>
          <t>material_pct_revenue</t>
        </is>
      </c>
      <c r="D54" s="32" t="n">
        <v>0.2212630995511345</v>
      </c>
      <c r="E54" s="14" t="inlineStr">
        <is>
          <t>Cost Mix</t>
        </is>
      </c>
      <c r="F54" s="5" t="inlineStr"/>
      <c r="G54" s="27" t="inlineStr">
        <is>
          <t>Verified</t>
        </is>
      </c>
      <c r="H54" s="5" t="inlineStr">
        <is>
          <t>Derived</t>
        </is>
      </c>
    </row>
    <row r="55">
      <c r="B55" s="5" t="inlineStr">
        <is>
          <t>Total Vendors (AP)</t>
        </is>
      </c>
      <c r="C55" s="5" t="inlineStr">
        <is>
          <t>total_vendors</t>
        </is>
      </c>
      <c r="D55" s="14" t="n">
        <v>24</v>
      </c>
      <c r="E55" s="14" t="inlineStr">
        <is>
          <t>Material</t>
        </is>
      </c>
      <c r="F55" s="5" t="inlineStr">
        <is>
          <t>Unique vendor IDs</t>
        </is>
      </c>
      <c r="G55" s="27" t="inlineStr">
        <is>
          <t>Verified</t>
        </is>
      </c>
      <c r="H55" s="5" t="inlineStr">
        <is>
          <t>2034 Job Detail Report.pdf (Sage Timberline, 04/03/2026, 207 pages)</t>
        </is>
      </c>
    </row>
    <row r="56">
      <c r="B56" s="5" t="inlineStr">
        <is>
          <t>Total Invoices (AR)</t>
        </is>
      </c>
      <c r="C56" s="5" t="inlineStr">
        <is>
          <t>total_invoices</t>
        </is>
      </c>
      <c r="D56" s="14" t="n">
        <v>30</v>
      </c>
      <c r="E56" s="14" t="inlineStr">
        <is>
          <t>Billing</t>
        </is>
      </c>
      <c r="F56" s="5" t="inlineStr">
        <is>
          <t>Unique invoice numbers</t>
        </is>
      </c>
      <c r="G56" s="27" t="inlineStr">
        <is>
          <t>Verified</t>
        </is>
      </c>
      <c r="H56" s="5" t="inlineStr">
        <is>
          <t>2034 Job Detail Report.pdf (Sage Timberline, 04/03/2026, 207 pages)</t>
        </is>
      </c>
    </row>
    <row r="57">
      <c r="B57" s="5" t="inlineStr">
        <is>
          <t>RFI Count (documented)</t>
        </is>
      </c>
      <c r="C57" s="5" t="inlineStr">
        <is>
          <t>rfi_count</t>
        </is>
      </c>
      <c r="D57" s="14" t="n">
        <v>59</v>
      </c>
      <c r="E57" s="14" t="inlineStr">
        <is>
          <t>Docs</t>
        </is>
      </c>
      <c r="F57" s="5" t="inlineStr">
        <is>
          <t>Items in ASI-RFI folder (mix of ASI + RFI)</t>
        </is>
      </c>
      <c r="G57" s="27" t="inlineStr">
        <is>
          <t>Verified</t>
        </is>
      </c>
      <c r="H57" s="5" t="inlineStr">
        <is>
          <t>ASI-RFI/</t>
        </is>
      </c>
    </row>
    <row r="58">
      <c r="B58" s="5" t="inlineStr">
        <is>
          <t>Submittal Count</t>
        </is>
      </c>
      <c r="C58" s="5" t="inlineStr">
        <is>
          <t>submittal_count</t>
        </is>
      </c>
      <c r="D58" s="14" t="n">
        <v>22</v>
      </c>
      <c r="E58" s="14" t="inlineStr">
        <is>
          <t>Docs</t>
        </is>
      </c>
      <c r="F58" s="5" t="inlineStr">
        <is>
          <t>Items in Submittals folder</t>
        </is>
      </c>
      <c r="G58" s="27" t="inlineStr">
        <is>
          <t>Verified</t>
        </is>
      </c>
      <c r="H58" s="5" t="inlineStr">
        <is>
          <t>Submittals/</t>
        </is>
      </c>
    </row>
    <row r="59">
      <c r="B59" s="5" t="inlineStr">
        <is>
          <t>Permit Count</t>
        </is>
      </c>
      <c r="C59" s="5" t="inlineStr">
        <is>
          <t>permit_count</t>
        </is>
      </c>
      <c r="D59" s="14" t="n">
        <v>10</v>
      </c>
      <c r="E59" s="14" t="inlineStr">
        <is>
          <t>Docs</t>
        </is>
      </c>
      <c r="F59" s="5" t="inlineStr">
        <is>
          <t>Items in Permits folder</t>
        </is>
      </c>
      <c r="G59" s="27" t="inlineStr">
        <is>
          <t>Verified</t>
        </is>
      </c>
      <c r="H59" s="5" t="inlineStr">
        <is>
          <t>Permits/</t>
        </is>
      </c>
    </row>
    <row r="60">
      <c r="B60" s="5" t="inlineStr">
        <is>
          <t>PO Count</t>
        </is>
      </c>
      <c r="C60" s="5" t="inlineStr">
        <is>
          <t>po_count</t>
        </is>
      </c>
      <c r="D60" s="14" t="n">
        <v>231</v>
      </c>
      <c r="E60" s="14" t="inlineStr">
        <is>
          <t>Docs</t>
        </is>
      </c>
      <c r="F60" s="5" t="inlineStr">
        <is>
          <t>Across 1 Placed, 2 Scheduled, 3 Completed</t>
        </is>
      </c>
      <c r="G60" s="27" t="inlineStr">
        <is>
          <t>Verified</t>
        </is>
      </c>
      <c r="H60" s="5" t="inlineStr">
        <is>
          <t>POs folder</t>
        </is>
      </c>
    </row>
    <row r="61">
      <c r="B61" s="5" t="inlineStr">
        <is>
          <t>Photo Count</t>
        </is>
      </c>
      <c r="C61" s="5" t="inlineStr">
        <is>
          <t>photo_count</t>
        </is>
      </c>
      <c r="D61" s="14" t="n">
        <v>503</v>
      </c>
      <c r="E61" s="14" t="inlineStr">
        <is>
          <t>Docs</t>
        </is>
      </c>
      <c r="F61" s="5" t="inlineStr">
        <is>
          <t>Photos folder</t>
        </is>
      </c>
      <c r="G61" s="27" t="inlineStr">
        <is>
          <t>Verified</t>
        </is>
      </c>
      <c r="H61" s="5" t="inlineStr">
        <is>
          <t>Photos/</t>
        </is>
      </c>
    </row>
    <row r="62">
      <c r="B62" s="5" t="inlineStr">
        <is>
          <t>AP Spend (JDR footer)</t>
        </is>
      </c>
      <c r="C62" s="5" t="inlineStr">
        <is>
          <t>ap_total</t>
        </is>
      </c>
      <c r="D62" s="31" t="n">
        <v>407866.12</v>
      </c>
      <c r="E62" s="14" t="inlineStr">
        <is>
          <t>Material</t>
        </is>
      </c>
      <c r="F62" s="5" t="inlineStr">
        <is>
          <t>JDR footer</t>
        </is>
      </c>
      <c r="G62" s="27" t="inlineStr">
        <is>
          <t>Verified</t>
        </is>
      </c>
      <c r="H62" s="5" t="inlineStr">
        <is>
          <t>2034 Job Detail Report.pdf (Sage Timberline, 04/03/2026, 207 pages)</t>
        </is>
      </c>
    </row>
    <row r="63">
      <c r="B63" s="5" t="inlineStr">
        <is>
          <t>PR Spend (JDR footer)</t>
        </is>
      </c>
      <c r="C63" s="5" t="inlineStr">
        <is>
          <t>pr_total</t>
        </is>
      </c>
      <c r="D63" s="31" t="n">
        <v>797212.1899999999</v>
      </c>
      <c r="E63" s="14" t="inlineStr">
        <is>
          <t>Labor</t>
        </is>
      </c>
      <c r="F63" s="5" t="inlineStr">
        <is>
          <t>JDR footer (labor+burden+tax)</t>
        </is>
      </c>
      <c r="G63" s="27" t="inlineStr">
        <is>
          <t>Verified</t>
        </is>
      </c>
      <c r="H63" s="5" t="inlineStr">
        <is>
          <t>2034 Job Detail Report.pdf (Sage Timberline, 04/03/2026, 207 pages)</t>
        </is>
      </c>
    </row>
    <row r="64">
      <c r="B64" s="5" t="inlineStr">
        <is>
          <t>GL Spend (JDR footer)</t>
        </is>
      </c>
      <c r="C64" s="5" t="inlineStr">
        <is>
          <t>gl_total</t>
        </is>
      </c>
      <c r="D64" s="31" t="n">
        <v>76869.91</v>
      </c>
      <c r="E64" s="14" t="inlineStr">
        <is>
          <t>Financial</t>
        </is>
      </c>
      <c r="F64" s="5" t="inlineStr">
        <is>
          <t>JDR footer</t>
        </is>
      </c>
      <c r="G64" s="27" t="inlineStr">
        <is>
          <t>Verified</t>
        </is>
      </c>
      <c r="H64" s="5" t="inlineStr">
        <is>
          <t>2034 Job Detail Report.pdf (Sage Timberline, 04/03/2026, 207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0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38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2" ht="28" customHeight="1">
      <c r="B2" s="1" t="inlineStr">
        <is>
          <t>Vendors — AP Summary</t>
        </is>
      </c>
    </row>
    <row r="3">
      <c r="B3" s="2" t="inlineStr">
        <is>
          <t>Vendor-level spend ranking</t>
        </is>
      </c>
    </row>
    <row r="5">
      <c r="B5" s="13" t="inlineStr">
        <is>
          <t>Rank</t>
        </is>
      </c>
      <c r="C5" s="13" t="inlineStr">
        <is>
          <t>Vendor ID</t>
        </is>
      </c>
      <c r="D5" s="13" t="inlineStr">
        <is>
          <t>Vendor Name</t>
        </is>
      </c>
      <c r="E5" s="13" t="inlineStr">
        <is>
          <t>Total Spend</t>
        </is>
      </c>
      <c r="F5" s="13" t="inlineStr">
        <is>
          <t># Transactions</t>
        </is>
      </c>
      <c r="G5" s="13" t="inlineStr">
        <is>
          <t>% of AP</t>
        </is>
      </c>
      <c r="H5" s="13" t="inlineStr">
        <is>
          <t>Source</t>
        </is>
      </c>
    </row>
    <row r="6">
      <c r="B6" s="14" t="n">
        <v>1</v>
      </c>
      <c r="C6" s="14" t="inlineStr">
        <is>
          <t>2034RS</t>
        </is>
      </c>
      <c r="D6" s="5" t="inlineStr">
        <is>
          <t>Rosen Supply Company, Inc. $Park Lane</t>
        </is>
      </c>
      <c r="E6" s="15" t="n">
        <v>179409.2700000001</v>
      </c>
      <c r="F6" s="14" t="n">
        <v>121</v>
      </c>
      <c r="G6" s="16">
        <f>E6/407866.12000000005</f>
        <v/>
      </c>
      <c r="H6" s="8" t="inlineStr">
        <is>
          <t>2034 Job Detail Report.pdf (Sage Timberline, 04/03/2026, 207 pages)</t>
        </is>
      </c>
    </row>
    <row r="7">
      <c r="B7" s="14" t="n">
        <v>2</v>
      </c>
      <c r="C7" s="14" t="inlineStr">
        <is>
          <t>2034KS</t>
        </is>
      </c>
      <c r="D7" s="5" t="inlineStr">
        <is>
          <t>Keller Supply Co. $Park Lane</t>
        </is>
      </c>
      <c r="E7" s="15" t="n">
        <v>84362.75999999998</v>
      </c>
      <c r="F7" s="14" t="n">
        <v>51</v>
      </c>
      <c r="G7" s="16">
        <f>E7/407866.12000000005</f>
        <v/>
      </c>
      <c r="H7" s="8" t="inlineStr">
        <is>
          <t>2034 Job Detail Report.pdf (Sage Timberline, 04/03/2026, 207 pages)</t>
        </is>
      </c>
    </row>
    <row r="8">
      <c r="B8" s="14" t="n">
        <v>3</v>
      </c>
      <c r="C8" s="14" t="inlineStr">
        <is>
          <t>2034CS</t>
        </is>
      </c>
      <c r="D8" s="5" t="inlineStr">
        <is>
          <t>Consolidated Supply Co. $Park Lane</t>
        </is>
      </c>
      <c r="E8" s="15" t="n">
        <v>44621.69</v>
      </c>
      <c r="F8" s="14" t="n">
        <v>44</v>
      </c>
      <c r="G8" s="16">
        <f>E8/407866.12000000005</f>
        <v/>
      </c>
      <c r="H8" s="8" t="inlineStr">
        <is>
          <t>2034 Job Detail Report.pdf (Sage Timberline, 04/03/2026, 207 pages)</t>
        </is>
      </c>
    </row>
    <row r="9">
      <c r="B9" s="14" t="n">
        <v>4</v>
      </c>
      <c r="C9" s="14" t="inlineStr">
        <is>
          <t>1625FE</t>
        </is>
      </c>
      <c r="D9" s="5" t="inlineStr">
        <is>
          <t>Franklin Engineering</t>
        </is>
      </c>
      <c r="E9" s="15" t="n">
        <v>33606.25</v>
      </c>
      <c r="F9" s="14" t="n">
        <v>7</v>
      </c>
      <c r="G9" s="16">
        <f>E9/407866.12000000005</f>
        <v/>
      </c>
      <c r="H9" s="8" t="inlineStr">
        <is>
          <t>2034 Job Detail Report.pdf (Sage Timberline, 04/03/2026, 207 pages)</t>
        </is>
      </c>
    </row>
    <row r="10">
      <c r="B10" s="14" t="n">
        <v>5</v>
      </c>
      <c r="C10" s="14" t="inlineStr">
        <is>
          <t>1234BA</t>
        </is>
      </c>
      <c r="D10" s="5" t="inlineStr">
        <is>
          <t>Bank of America CC</t>
        </is>
      </c>
      <c r="E10" s="15" t="n">
        <v>18927.11</v>
      </c>
      <c r="F10" s="14" t="n">
        <v>5</v>
      </c>
      <c r="G10" s="16">
        <f>E10/407866.12000000005</f>
        <v/>
      </c>
      <c r="H10" s="8" t="inlineStr">
        <is>
          <t>2034 Job Detail Report.pdf (Sage Timberline, 04/03/2026, 207 pages)</t>
        </is>
      </c>
    </row>
    <row r="11">
      <c r="B11" s="14" t="n">
        <v>6</v>
      </c>
      <c r="C11" s="14" t="inlineStr">
        <is>
          <t>2034FE</t>
        </is>
      </c>
      <c r="D11" s="5" t="inlineStr">
        <is>
          <t>Ferguson Enterprises, Inc. $Park Lane</t>
        </is>
      </c>
      <c r="E11" s="15" t="n">
        <v>12194.1</v>
      </c>
      <c r="F11" s="14" t="n">
        <v>17</v>
      </c>
      <c r="G11" s="16">
        <f>E11/407866.12000000005</f>
        <v/>
      </c>
      <c r="H11" s="8" t="inlineStr">
        <is>
          <t>2034 Job Detail Report.pdf (Sage Timberline, 04/03/2026, 207 pages)</t>
        </is>
      </c>
    </row>
    <row r="12">
      <c r="B12" s="14" t="n">
        <v>7</v>
      </c>
      <c r="C12" s="14" t="inlineStr">
        <is>
          <t>1609QC</t>
        </is>
      </c>
      <c r="D12" s="5" t="inlineStr">
        <is>
          <t>Quality Concrete Products, Inc. $32</t>
        </is>
      </c>
      <c r="E12" s="15" t="n">
        <v>8070</v>
      </c>
      <c r="F12" s="14" t="n">
        <v>1</v>
      </c>
      <c r="G12" s="16">
        <f>E12/407866.12000000005</f>
        <v/>
      </c>
      <c r="H12" s="8" t="inlineStr">
        <is>
          <t>2034 Job Detail Report.pdf (Sage Timberline, 04/03/2026, 207 pages)</t>
        </is>
      </c>
    </row>
    <row r="13">
      <c r="B13" s="14" t="n">
        <v>8</v>
      </c>
      <c r="C13" s="14" t="inlineStr">
        <is>
          <t>7200UR</t>
        </is>
      </c>
      <c r="D13" s="5" t="inlineStr">
        <is>
          <t>United Rentals, Inc.</t>
        </is>
      </c>
      <c r="E13" s="15" t="n">
        <v>6832.199999999998</v>
      </c>
      <c r="F13" s="14" t="n">
        <v>12</v>
      </c>
      <c r="G13" s="16">
        <f>E13/407866.12000000005</f>
        <v/>
      </c>
      <c r="H13" s="8" t="inlineStr">
        <is>
          <t>2034 Job Detail Report.pdf (Sage Timberline, 04/03/2026, 207 pages)</t>
        </is>
      </c>
    </row>
    <row r="14">
      <c r="B14" s="14" t="n">
        <v>9</v>
      </c>
      <c r="C14" s="14" t="inlineStr">
        <is>
          <t>3612MS</t>
        </is>
      </c>
      <c r="D14" s="5" t="inlineStr">
        <is>
          <t>Mechanical Sales, Inc.</t>
        </is>
      </c>
      <c r="E14" s="15" t="n">
        <v>5147.68</v>
      </c>
      <c r="F14" s="14" t="n">
        <v>3</v>
      </c>
      <c r="G14" s="16">
        <f>E14/407866.12000000005</f>
        <v/>
      </c>
      <c r="H14" s="8" t="inlineStr">
        <is>
          <t>2034 Job Detail Report.pdf (Sage Timberline, 04/03/2026, 207 pages)</t>
        </is>
      </c>
    </row>
    <row r="15">
      <c r="B15" s="14" t="n">
        <v>10</v>
      </c>
      <c r="C15" s="14" t="inlineStr">
        <is>
          <t>1234CO</t>
        </is>
      </c>
      <c r="D15" s="5" t="inlineStr">
        <is>
          <t>Capital One Credit Card</t>
        </is>
      </c>
      <c r="E15" s="15" t="n">
        <v>4131.57</v>
      </c>
      <c r="F15" s="14" t="n">
        <v>7</v>
      </c>
      <c r="G15" s="16">
        <f>E15/407866.12000000005</f>
        <v/>
      </c>
      <c r="H15" s="8" t="inlineStr">
        <is>
          <t>2034 Job Detail Report.pdf (Sage Timberline, 04/03/2026, 207 pages)</t>
        </is>
      </c>
    </row>
    <row r="16">
      <c r="B16" s="14" t="n">
        <v>11</v>
      </c>
      <c r="C16" s="14" t="inlineStr">
        <is>
          <t>1231KS</t>
        </is>
      </c>
      <c r="D16" s="5" t="inlineStr">
        <is>
          <t>Keller Supply Company</t>
        </is>
      </c>
      <c r="E16" s="15" t="n">
        <v>3121.62</v>
      </c>
      <c r="F16" s="14" t="n">
        <v>3</v>
      </c>
      <c r="G16" s="16">
        <f>E16/407866.12000000005</f>
        <v/>
      </c>
      <c r="H16" s="8" t="inlineStr">
        <is>
          <t>2034 Job Detail Report.pdf (Sage Timberline, 04/03/2026, 207 pages)</t>
        </is>
      </c>
    </row>
    <row r="17">
      <c r="B17" s="14" t="n">
        <v>12</v>
      </c>
      <c r="C17" s="14" t="inlineStr">
        <is>
          <t>1400MG</t>
        </is>
      </c>
      <c r="D17" s="5" t="inlineStr">
        <is>
          <t>Merrill Gardens of Kirkland</t>
        </is>
      </c>
      <c r="E17" s="15" t="n">
        <v>2400</v>
      </c>
      <c r="F17" s="14" t="n">
        <v>12</v>
      </c>
      <c r="G17" s="16">
        <f>E17/407866.12000000005</f>
        <v/>
      </c>
      <c r="H17" s="8" t="inlineStr">
        <is>
          <t>2034 Job Detail Report.pdf (Sage Timberline, 04/03/2026, 207 pages)</t>
        </is>
      </c>
    </row>
    <row r="18">
      <c r="B18" s="14" t="n">
        <v>13</v>
      </c>
      <c r="C18" s="14" t="inlineStr">
        <is>
          <t>5919PW</t>
        </is>
      </c>
      <c r="D18" s="5" t="inlineStr">
        <is>
          <t>Patchworks, Inc.</t>
        </is>
      </c>
      <c r="E18" s="15" t="n">
        <v>1248.75</v>
      </c>
      <c r="F18" s="14" t="n">
        <v>3</v>
      </c>
      <c r="G18" s="16">
        <f>E18/407866.12000000005</f>
        <v/>
      </c>
      <c r="H18" s="8" t="inlineStr">
        <is>
          <t>2034 Job Detail Report.pdf (Sage Timberline, 04/03/2026, 207 pages)</t>
        </is>
      </c>
    </row>
    <row r="19">
      <c r="B19" s="14" t="n">
        <v>14</v>
      </c>
      <c r="C19" s="14" t="inlineStr">
        <is>
          <t>3181SC</t>
        </is>
      </c>
      <c r="D19" s="5" t="inlineStr">
        <is>
          <t>Scan2Core, Inc.</t>
        </is>
      </c>
      <c r="E19" s="15" t="n">
        <v>1200</v>
      </c>
      <c r="F19" s="14" t="n">
        <v>2</v>
      </c>
      <c r="G19" s="16">
        <f>E19/407866.12000000005</f>
        <v/>
      </c>
      <c r="H19" s="8" t="inlineStr">
        <is>
          <t>2034 Job Detail Report.pdf (Sage Timberline, 04/03/2026, 207 pages)</t>
        </is>
      </c>
    </row>
    <row r="20">
      <c r="B20" s="14" t="n">
        <v>15</v>
      </c>
      <c r="C20" s="14" t="inlineStr">
        <is>
          <t>2132MH</t>
        </is>
      </c>
      <c r="D20" s="5" t="inlineStr">
        <is>
          <t>Manor Hardware &amp; Construction Supply</t>
        </is>
      </c>
      <c r="E20" s="15" t="n">
        <v>611.52</v>
      </c>
      <c r="F20" s="14" t="n">
        <v>1</v>
      </c>
      <c r="G20" s="16">
        <f>E20/407866.12000000005</f>
        <v/>
      </c>
      <c r="H20" s="8" t="inlineStr">
        <is>
          <t>2034 Job Detail Report.pdf (Sage Timberline, 04/03/2026, 207 pages)</t>
        </is>
      </c>
    </row>
    <row r="21">
      <c r="B21" s="14" t="n">
        <v>16</v>
      </c>
      <c r="C21" s="14" t="inlineStr">
        <is>
          <t>5560CH</t>
        </is>
      </c>
      <c r="D21" s="5" t="inlineStr">
        <is>
          <t>California Hydronics Corp</t>
        </is>
      </c>
      <c r="E21" s="15" t="n">
        <v>465</v>
      </c>
      <c r="F21" s="14" t="n">
        <v>1</v>
      </c>
      <c r="G21" s="16">
        <f>E21/407866.12000000005</f>
        <v/>
      </c>
      <c r="H21" s="8" t="inlineStr">
        <is>
          <t>2034 Job Detail Report.pdf (Sage Timberline, 04/03/2026, 207 pages)</t>
        </is>
      </c>
    </row>
    <row r="22">
      <c r="B22" s="14" t="n">
        <v>17</v>
      </c>
      <c r="C22" s="14" t="inlineStr">
        <is>
          <t>8068MI</t>
        </is>
      </c>
      <c r="D22" s="5" t="inlineStr">
        <is>
          <t>Kele, Inc $ MI Controls</t>
        </is>
      </c>
      <c r="E22" s="15" t="n">
        <v>453</v>
      </c>
      <c r="F22" s="14" t="n">
        <v>2</v>
      </c>
      <c r="G22" s="16">
        <f>E22/407866.12000000005</f>
        <v/>
      </c>
      <c r="H22" s="8" t="inlineStr">
        <is>
          <t>2034 Job Detail Report.pdf (Sage Timberline, 04/03/2026, 207 pages)</t>
        </is>
      </c>
    </row>
    <row r="23">
      <c r="B23" s="14" t="n">
        <v>18</v>
      </c>
      <c r="C23" s="14" t="inlineStr">
        <is>
          <t>4320MC</t>
        </is>
      </c>
      <c r="D23" s="5" t="inlineStr">
        <is>
          <t>MAD Concrete Cutting &amp; Coring, Inc.</t>
        </is>
      </c>
      <c r="E23" s="15" t="n">
        <v>330.6</v>
      </c>
      <c r="F23" s="14" t="n">
        <v>1</v>
      </c>
      <c r="G23" s="16">
        <f>E23/407866.12000000005</f>
        <v/>
      </c>
      <c r="H23" s="8" t="inlineStr">
        <is>
          <t>2034 Job Detail Report.pdf (Sage Timberline, 04/03/2026, 207 pages)</t>
        </is>
      </c>
    </row>
    <row r="24">
      <c r="B24" s="14" t="n">
        <v>19</v>
      </c>
      <c r="C24" s="14" t="inlineStr">
        <is>
          <t>1421RA</t>
        </is>
      </c>
      <c r="D24" s="5" t="inlineStr">
        <is>
          <t>R.A. Brown Backflow Testing</t>
        </is>
      </c>
      <c r="E24" s="15" t="n">
        <v>265</v>
      </c>
      <c r="F24" s="14" t="n">
        <v>2</v>
      </c>
      <c r="G24" s="16">
        <f>E24/407866.12000000005</f>
        <v/>
      </c>
      <c r="H24" s="8" t="inlineStr">
        <is>
          <t>2034 Job Detail Report.pdf (Sage Timberline, 04/03/2026, 207 pages)</t>
        </is>
      </c>
    </row>
    <row r="25">
      <c r="B25" s="14" t="n">
        <v>20</v>
      </c>
      <c r="C25" s="14" t="inlineStr">
        <is>
          <t>1175FE</t>
        </is>
      </c>
      <c r="D25" s="5" t="inlineStr">
        <is>
          <t>Ferguson Enterprises, Inc. #3007</t>
        </is>
      </c>
      <c r="E25" s="15" t="n">
        <v>169.35</v>
      </c>
      <c r="F25" s="14" t="n">
        <v>2</v>
      </c>
      <c r="G25" s="16">
        <f>E25/407866.12000000005</f>
        <v/>
      </c>
      <c r="H25" s="8" t="inlineStr">
        <is>
          <t>2034 Job Detail Report.pdf (Sage Timberline, 04/03/2026, 207 pages)</t>
        </is>
      </c>
    </row>
    <row r="26">
      <c r="B26" s="14" t="n">
        <v>21</v>
      </c>
      <c r="C26" s="14" t="inlineStr">
        <is>
          <t>1978FC</t>
        </is>
      </c>
      <c r="D26" s="5" t="inlineStr">
        <is>
          <t>Fastenal Company</t>
        </is>
      </c>
      <c r="E26" s="15" t="n">
        <v>155.07</v>
      </c>
      <c r="F26" s="14" t="n">
        <v>8</v>
      </c>
      <c r="G26" s="16">
        <f>E26/407866.12000000005</f>
        <v/>
      </c>
      <c r="H26" s="8" t="inlineStr">
        <is>
          <t>2034 Job Detail Report.pdf (Sage Timberline, 04/03/2026, 207 pages)</t>
        </is>
      </c>
    </row>
    <row r="27">
      <c r="B27" s="14" t="n">
        <v>22</v>
      </c>
      <c r="C27" s="14" t="inlineStr">
        <is>
          <t>1021AT</t>
        </is>
      </c>
      <c r="D27" s="5" t="inlineStr">
        <is>
          <t>ACME Corp</t>
        </is>
      </c>
      <c r="E27" s="15" t="n">
        <v>135</v>
      </c>
      <c r="F27" s="14" t="n">
        <v>1</v>
      </c>
      <c r="G27" s="16">
        <f>E27/407866.12000000005</f>
        <v/>
      </c>
      <c r="H27" s="8" t="inlineStr">
        <is>
          <t>2034 Job Detail Report.pdf (Sage Timberline, 04/03/2026, 207 pages)</t>
        </is>
      </c>
    </row>
    <row r="28">
      <c r="B28" s="14" t="n">
        <v>23</v>
      </c>
      <c r="C28" s="14" t="inlineStr">
        <is>
          <t>1380RS</t>
        </is>
      </c>
      <c r="D28" s="5" t="inlineStr">
        <is>
          <t>Rosen Supply Kirkland</t>
        </is>
      </c>
      <c r="E28" s="15" t="n">
        <v>8.58</v>
      </c>
      <c r="F28" s="14" t="n">
        <v>1</v>
      </c>
      <c r="G28" s="16">
        <f>E28/407866.12000000005</f>
        <v/>
      </c>
      <c r="H28" s="8" t="inlineStr">
        <is>
          <t>2034 Job Detail Report.pdf (Sage Timberline, 04/03/2026, 207 pages)</t>
        </is>
      </c>
    </row>
    <row r="29">
      <c r="B29" s="14" t="n">
        <v>24</v>
      </c>
      <c r="C29" s="14" t="inlineStr">
        <is>
          <t>2033RS</t>
        </is>
      </c>
      <c r="D29" s="5" t="inlineStr">
        <is>
          <t>Rosen Supply Company, Inc. $Vuecrest</t>
        </is>
      </c>
      <c r="E29" s="15" t="n">
        <v>0</v>
      </c>
      <c r="F29" s="14" t="n">
        <v>6</v>
      </c>
      <c r="G29" s="16">
        <f>E29/407866.12000000005</f>
        <v/>
      </c>
      <c r="H29" s="8" t="inlineStr">
        <is>
          <t>2034 Job Detail Report.pdf (Sage Timberline, 04/03/2026, 207 pages)</t>
        </is>
      </c>
    </row>
    <row r="30">
      <c r="B30" s="18" t="inlineStr">
        <is>
          <t>TOTAL</t>
        </is>
      </c>
      <c r="E30" s="9">
        <f>SUM(E6:E29)</f>
        <v/>
      </c>
      <c r="F30" s="23">
        <f>SUM(F6:F29)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4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22" customWidth="1" min="4" max="4"/>
    <col width="50" customWidth="1" min="5" max="5"/>
    <col width="22" customWidth="1" min="6" max="6"/>
    <col width="16" customWidth="1" min="7" max="7"/>
    <col width="18" customWidth="1" min="8" max="8"/>
    <col width="42" customWidth="1" min="9" max="9"/>
  </cols>
  <sheetData>
    <row r="2" ht="28" customHeight="1">
      <c r="B2" s="1" t="inlineStr">
        <is>
          <t>Change Log — Master Register</t>
        </is>
      </c>
    </row>
    <row r="3">
      <c r="B3" s="2" t="inlineStr">
        <is>
          <t>COs, RFIs, ASIs, Submittals, Permits, POs — from project folders</t>
        </is>
      </c>
    </row>
    <row r="5">
      <c r="B5" s="13" t="inlineStr">
        <is>
          <t>Event ID</t>
        </is>
      </c>
      <c r="C5" s="13" t="inlineStr">
        <is>
          <t>Type</t>
        </is>
      </c>
      <c r="D5" s="13" t="inlineStr">
        <is>
          <t>Date</t>
        </is>
      </c>
      <c r="E5" s="13" t="inlineStr">
        <is>
          <t>Subject</t>
        </is>
      </c>
      <c r="F5" s="13" t="inlineStr">
        <is>
          <t>Originator</t>
        </is>
      </c>
      <c r="G5" s="13" t="inlineStr">
        <is>
          <t>Cost Impact ($)</t>
        </is>
      </c>
      <c r="H5" s="13" t="inlineStr">
        <is>
          <t>Status</t>
        </is>
      </c>
      <c r="I5" s="13" t="inlineStr">
        <is>
          <t>Source</t>
        </is>
      </c>
    </row>
    <row r="6">
      <c r="B6" s="14" t="inlineStr">
        <is>
          <t>CONTRACT-ORIG</t>
        </is>
      </c>
      <c r="C6" s="14" t="inlineStr">
        <is>
          <t>Contract</t>
        </is>
      </c>
      <c r="D6" s="14" t="inlineStr">
        <is>
          <t>2016-09-26</t>
        </is>
      </c>
      <c r="E6" s="5" t="inlineStr">
        <is>
          <t>Prime subcontract — Lump Sum $1,839,000.00 (Fully Executed)</t>
        </is>
      </c>
      <c r="F6" s="5" t="inlineStr">
        <is>
          <t>Compass Harbor Construction, LLC</t>
        </is>
      </c>
      <c r="G6" s="15" t="n">
        <v>1839000</v>
      </c>
      <c r="H6" s="14" t="inlineStr">
        <is>
          <t>Executed</t>
        </is>
      </c>
      <c r="I6" s="8" t="inlineStr">
        <is>
          <t>Park Lane - PSA - Oneway - Fully Executed.pdf</t>
        </is>
      </c>
    </row>
    <row r="7">
      <c r="B7" s="14" t="inlineStr">
        <is>
          <t>CO#01</t>
        </is>
      </c>
      <c r="C7" s="14" t="inlineStr">
        <is>
          <t>Change Order</t>
        </is>
      </c>
      <c r="D7" s="28" t="inlineStr">
        <is>
          <t>NOT FOUND</t>
        </is>
      </c>
      <c r="E7" s="5" t="inlineStr">
        <is>
          <t>BT CO#01 — initial additive</t>
        </is>
      </c>
      <c r="F7" s="5" t="inlineStr">
        <is>
          <t>Compass Harbor Construction, LLC</t>
        </is>
      </c>
      <c r="G7" s="15" t="n">
        <v>10365</v>
      </c>
      <c r="H7" s="14" t="inlineStr">
        <is>
          <t>Executed</t>
        </is>
      </c>
      <c r="I7" s="8" t="inlineStr">
        <is>
          <t>Change Orders/BT CO#01 — initial additive</t>
        </is>
      </c>
    </row>
    <row r="8">
      <c r="B8" s="14" t="inlineStr">
        <is>
          <t>CO#02a</t>
        </is>
      </c>
      <c r="C8" s="14" t="inlineStr">
        <is>
          <t>Change Order</t>
        </is>
      </c>
      <c r="D8" s="28" t="inlineStr">
        <is>
          <t>NOT FOUND</t>
        </is>
      </c>
      <c r="E8" s="5" t="inlineStr">
        <is>
          <t>BT CO#02 Boiler Flues, Hosebib, Backflow</t>
        </is>
      </c>
      <c r="F8" s="5" t="inlineStr">
        <is>
          <t>Compass Harbor Construction, LLC</t>
        </is>
      </c>
      <c r="G8" s="15" t="n">
        <v>5545</v>
      </c>
      <c r="H8" s="14" t="inlineStr">
        <is>
          <t>Executed</t>
        </is>
      </c>
      <c r="I8" s="8" t="inlineStr">
        <is>
          <t>Change Orders/BT CO#02 Boiler Flues, Hosebib, Backflow</t>
        </is>
      </c>
    </row>
    <row r="9">
      <c r="B9" s="14" t="inlineStr">
        <is>
          <t>CO#02b</t>
        </is>
      </c>
      <c r="C9" s="14" t="inlineStr">
        <is>
          <t>Change Order</t>
        </is>
      </c>
      <c r="D9" s="28" t="inlineStr">
        <is>
          <t>NOT FOUND</t>
        </is>
      </c>
      <c r="E9" s="5" t="inlineStr">
        <is>
          <t>BT CO#02 Condensate Drains</t>
        </is>
      </c>
      <c r="F9" s="5" t="inlineStr">
        <is>
          <t>Compass Harbor Construction, LLC</t>
        </is>
      </c>
      <c r="G9" s="15" t="n">
        <v>20436</v>
      </c>
      <c r="H9" s="14" t="inlineStr">
        <is>
          <t>Executed</t>
        </is>
      </c>
      <c r="I9" s="8" t="inlineStr">
        <is>
          <t>Change Orders/BT CO#02 Condensate Drains</t>
        </is>
      </c>
    </row>
    <row r="10">
      <c r="B10" s="14" t="inlineStr">
        <is>
          <t>CO#03</t>
        </is>
      </c>
      <c r="C10" s="14" t="inlineStr">
        <is>
          <t>Change Order</t>
        </is>
      </c>
      <c r="D10" s="28" t="inlineStr">
        <is>
          <t>NOT FOUND</t>
        </is>
      </c>
      <c r="E10" s="5" t="inlineStr">
        <is>
          <t>BT CO#03 Credit — Change Labor Burden</t>
        </is>
      </c>
      <c r="F10" s="5" t="inlineStr">
        <is>
          <t>Compass Harbor Construction, LLC</t>
        </is>
      </c>
      <c r="G10" s="15" t="n">
        <v>-13284.1</v>
      </c>
      <c r="H10" s="14" t="inlineStr">
        <is>
          <t>Executed</t>
        </is>
      </c>
      <c r="I10" s="8" t="inlineStr">
        <is>
          <t>Change Orders/BT CO#03 Credit — Change Labor Burden</t>
        </is>
      </c>
    </row>
    <row r="11">
      <c r="B11" s="14" t="inlineStr">
        <is>
          <t>CO#04</t>
        </is>
      </c>
      <c r="C11" s="14" t="inlineStr">
        <is>
          <t>Change Order</t>
        </is>
      </c>
      <c r="D11" s="28" t="inlineStr">
        <is>
          <t>NOT FOUND</t>
        </is>
      </c>
      <c r="E11" s="5" t="inlineStr">
        <is>
          <t>BT CO#04 — additional scope</t>
        </is>
      </c>
      <c r="F11" s="5" t="inlineStr">
        <is>
          <t>Compass Harbor Construction, LLC</t>
        </is>
      </c>
      <c r="G11" s="15" t="n">
        <v>8456</v>
      </c>
      <c r="H11" s="14" t="inlineStr">
        <is>
          <t>Executed</t>
        </is>
      </c>
      <c r="I11" s="8" t="inlineStr">
        <is>
          <t>Change Orders/BT CO#04 — additional scope</t>
        </is>
      </c>
    </row>
    <row r="12">
      <c r="B12" s="14" t="inlineStr">
        <is>
          <t>CO#05</t>
        </is>
      </c>
      <c r="C12" s="14" t="inlineStr">
        <is>
          <t>Change Order</t>
        </is>
      </c>
      <c r="D12" s="28" t="inlineStr">
        <is>
          <t>NOT FOUND</t>
        </is>
      </c>
      <c r="E12" s="5" t="inlineStr">
        <is>
          <t>BT CO#05 — additional scope</t>
        </is>
      </c>
      <c r="F12" s="5" t="inlineStr">
        <is>
          <t>Compass Harbor Construction, LLC</t>
        </is>
      </c>
      <c r="G12" s="15" t="n">
        <v>6364</v>
      </c>
      <c r="H12" s="14" t="inlineStr">
        <is>
          <t>Executed</t>
        </is>
      </c>
      <c r="I12" s="8" t="inlineStr">
        <is>
          <t>Change Orders/BT CO#05 — additional scope</t>
        </is>
      </c>
    </row>
    <row r="13">
      <c r="B13" s="14" t="inlineStr">
        <is>
          <t>CO#06</t>
        </is>
      </c>
      <c r="C13" s="14" t="inlineStr">
        <is>
          <t>Change Order</t>
        </is>
      </c>
      <c r="D13" s="28" t="inlineStr">
        <is>
          <t>NOT FOUND</t>
        </is>
      </c>
      <c r="E13" s="5" t="inlineStr">
        <is>
          <t>BT CO#06 — additional scope</t>
        </is>
      </c>
      <c r="F13" s="5" t="inlineStr">
        <is>
          <t>Compass Harbor Construction, LLC</t>
        </is>
      </c>
      <c r="G13" s="15" t="n">
        <v>4057</v>
      </c>
      <c r="H13" s="14" t="inlineStr">
        <is>
          <t>Executed</t>
        </is>
      </c>
      <c r="I13" s="8" t="inlineStr">
        <is>
          <t>Change Orders/BT CO#06 — additional scope</t>
        </is>
      </c>
    </row>
    <row r="14">
      <c r="B14" s="14" t="inlineStr">
        <is>
          <t>CO#07</t>
        </is>
      </c>
      <c r="C14" s="14" t="inlineStr">
        <is>
          <t>Change Order</t>
        </is>
      </c>
      <c r="D14" s="28" t="inlineStr">
        <is>
          <t>NOT FOUND</t>
        </is>
      </c>
      <c r="E14" s="5" t="inlineStr">
        <is>
          <t>BT CO#07 — additional scope</t>
        </is>
      </c>
      <c r="F14" s="5" t="inlineStr">
        <is>
          <t>Compass Harbor Construction, LLC</t>
        </is>
      </c>
      <c r="G14" s="15" t="n">
        <v>1171</v>
      </c>
      <c r="H14" s="14" t="inlineStr">
        <is>
          <t>Executed</t>
        </is>
      </c>
      <c r="I14" s="8" t="inlineStr">
        <is>
          <t>Change Orders/BT CO#07 — additional scope</t>
        </is>
      </c>
    </row>
    <row r="15">
      <c r="B15" s="14" t="inlineStr">
        <is>
          <t>CO#08</t>
        </is>
      </c>
      <c r="C15" s="14" t="inlineStr">
        <is>
          <t>Change Order</t>
        </is>
      </c>
      <c r="D15" s="28" t="inlineStr">
        <is>
          <t>NOT FOUND</t>
        </is>
      </c>
      <c r="E15" s="5" t="inlineStr">
        <is>
          <t>BT CO#08 — additional scope</t>
        </is>
      </c>
      <c r="F15" s="5" t="inlineStr">
        <is>
          <t>Compass Harbor Construction, LLC</t>
        </is>
      </c>
      <c r="G15" s="15" t="n">
        <v>1143</v>
      </c>
      <c r="H15" s="14" t="inlineStr">
        <is>
          <t>Executed</t>
        </is>
      </c>
      <c r="I15" s="8" t="inlineStr">
        <is>
          <t>Change Orders/BT CO#08 — additional scope</t>
        </is>
      </c>
    </row>
    <row r="16">
      <c r="B16" s="14" t="inlineStr">
        <is>
          <t>CO#09</t>
        </is>
      </c>
      <c r="C16" s="14" t="inlineStr">
        <is>
          <t>Change Order</t>
        </is>
      </c>
      <c r="D16" s="28" t="inlineStr">
        <is>
          <t>NOT FOUND</t>
        </is>
      </c>
      <c r="E16" s="5" t="inlineStr">
        <is>
          <t>BT CO#09 — additional scope</t>
        </is>
      </c>
      <c r="F16" s="5" t="inlineStr">
        <is>
          <t>Compass Harbor Construction, LLC</t>
        </is>
      </c>
      <c r="G16" s="15" t="n">
        <v>3668</v>
      </c>
      <c r="H16" s="14" t="inlineStr">
        <is>
          <t>Executed</t>
        </is>
      </c>
      <c r="I16" s="8" t="inlineStr">
        <is>
          <t>Change Orders/BT CO#09 — additional scope</t>
        </is>
      </c>
    </row>
    <row r="17">
      <c r="B17" s="14" t="inlineStr">
        <is>
          <t>CO#10</t>
        </is>
      </c>
      <c r="C17" s="14" t="inlineStr">
        <is>
          <t>Change Order</t>
        </is>
      </c>
      <c r="D17" s="28" t="inlineStr">
        <is>
          <t>NOT FOUND</t>
        </is>
      </c>
      <c r="E17" s="5" t="inlineStr">
        <is>
          <t>BT CO#10 — additional scope</t>
        </is>
      </c>
      <c r="F17" s="5" t="inlineStr">
        <is>
          <t>Compass Harbor Construction, LLC</t>
        </is>
      </c>
      <c r="G17" s="15" t="n">
        <v>3116</v>
      </c>
      <c r="H17" s="14" t="inlineStr">
        <is>
          <t>Executed</t>
        </is>
      </c>
      <c r="I17" s="8" t="inlineStr">
        <is>
          <t>Change Orders/BT CO#10 — additional scope</t>
        </is>
      </c>
    </row>
    <row r="18">
      <c r="B18" s="14" t="inlineStr">
        <is>
          <t>CO#11</t>
        </is>
      </c>
      <c r="C18" s="14" t="inlineStr">
        <is>
          <t>Change Order</t>
        </is>
      </c>
      <c r="D18" s="28" t="inlineStr">
        <is>
          <t>NOT FOUND</t>
        </is>
      </c>
      <c r="E18" s="5" t="inlineStr">
        <is>
          <t>BT CO#11 — additional scope</t>
        </is>
      </c>
      <c r="F18" s="5" t="inlineStr">
        <is>
          <t>Compass Harbor Construction, LLC</t>
        </is>
      </c>
      <c r="G18" s="15" t="n">
        <v>2663</v>
      </c>
      <c r="H18" s="14" t="inlineStr">
        <is>
          <t>Executed</t>
        </is>
      </c>
      <c r="I18" s="8" t="inlineStr">
        <is>
          <t>Change Orders/BT CO#11 — additional scope</t>
        </is>
      </c>
    </row>
    <row r="19">
      <c r="B19" s="14" t="inlineStr">
        <is>
          <t>CO#12</t>
        </is>
      </c>
      <c r="C19" s="14" t="inlineStr">
        <is>
          <t>Change Order</t>
        </is>
      </c>
      <c r="D19" s="28" t="inlineStr">
        <is>
          <t>NOT FOUND</t>
        </is>
      </c>
      <c r="E19" s="5" t="inlineStr">
        <is>
          <t>BT CO#12 — additional scope</t>
        </is>
      </c>
      <c r="F19" s="5" t="inlineStr">
        <is>
          <t>Compass Harbor Construction, LLC</t>
        </is>
      </c>
      <c r="G19" s="15" t="n">
        <v>1069</v>
      </c>
      <c r="H19" s="14" t="inlineStr">
        <is>
          <t>Executed</t>
        </is>
      </c>
      <c r="I19" s="8" t="inlineStr">
        <is>
          <t>Change Orders/BT CO#12 — additional scope</t>
        </is>
      </c>
    </row>
    <row r="20">
      <c r="B20" s="14" t="inlineStr">
        <is>
          <t>CO#13</t>
        </is>
      </c>
      <c r="C20" s="14" t="inlineStr">
        <is>
          <t>Change Order</t>
        </is>
      </c>
      <c r="D20" s="28" t="inlineStr">
        <is>
          <t>NOT FOUND</t>
        </is>
      </c>
      <c r="E20" s="5" t="inlineStr">
        <is>
          <t>BT CO#13 — additional scope</t>
        </is>
      </c>
      <c r="F20" s="5" t="inlineStr">
        <is>
          <t>Compass Harbor Construction, LLC</t>
        </is>
      </c>
      <c r="G20" s="15" t="n">
        <v>3882</v>
      </c>
      <c r="H20" s="14" t="inlineStr">
        <is>
          <t>Executed</t>
        </is>
      </c>
      <c r="I20" s="8" t="inlineStr">
        <is>
          <t>Change Orders/BT CO#13 — additional scope</t>
        </is>
      </c>
    </row>
    <row r="21">
      <c r="B21" s="14" t="inlineStr">
        <is>
          <t>CO#14</t>
        </is>
      </c>
      <c r="C21" s="14" t="inlineStr">
        <is>
          <t>Change Order</t>
        </is>
      </c>
      <c r="D21" s="28" t="inlineStr">
        <is>
          <t>NOT FOUND</t>
        </is>
      </c>
      <c r="E21" s="5" t="inlineStr">
        <is>
          <t>CO_s/Final CO#14 — closeout wrap (no new scope $)</t>
        </is>
      </c>
      <c r="F21" s="5" t="inlineStr">
        <is>
          <t>Compass Harbor Construction, LLC</t>
        </is>
      </c>
      <c r="G21" s="15" t="n">
        <v>0</v>
      </c>
      <c r="H21" s="14" t="inlineStr">
        <is>
          <t>Executed</t>
        </is>
      </c>
      <c r="I21" s="8" t="inlineStr">
        <is>
          <t>Change Orders/CO_s/Final CO#14 — closeout wrap (no new scope $)</t>
        </is>
      </c>
    </row>
    <row r="22">
      <c r="B22" s="14" t="inlineStr">
        <is>
          <t>CO-GAP</t>
        </is>
      </c>
      <c r="C22" s="14" t="inlineStr">
        <is>
          <t>Reconciliation</t>
        </is>
      </c>
      <c r="D22" s="14" t="inlineStr">
        <is>
          <t>—</t>
        </is>
      </c>
      <c r="E22" s="5" t="inlineStr">
        <is>
          <t>Documented vs implied CO delta = $-0.00 (perfect match — all COs reconciled)</t>
        </is>
      </c>
      <c r="F22" s="5" t="inlineStr">
        <is>
          <t>—</t>
        </is>
      </c>
      <c r="G22" s="15" t="n">
        <v>0</v>
      </c>
      <c r="H22" s="14" t="inlineStr">
        <is>
          <t>Resolved</t>
        </is>
      </c>
      <c r="I22" s="8" t="inlineStr">
        <is>
          <t>2034 Job Detail Report.pdf (Sage Timberline, 04/03/2026, 207 pages)</t>
        </is>
      </c>
    </row>
    <row r="23">
      <c r="B23" s="14" t="inlineStr">
        <is>
          <t>COR-ALL</t>
        </is>
      </c>
      <c r="C23" s="14" t="inlineStr">
        <is>
          <t>COR batch</t>
        </is>
      </c>
      <c r="D23" s="14" t="inlineStr">
        <is>
          <t>—</t>
        </is>
      </c>
      <c r="E23" s="5" t="inlineStr">
        <is>
          <t>131 Change Order Requests in COR_s/ (Temp Water, Added Drains, Alt Lavs/Kitchen Sinks, Shower Heads, RIDALCO Pet Wash, RFI-linked scope)</t>
        </is>
      </c>
      <c r="F23" s="5" t="inlineStr">
        <is>
          <t>Sub (OWP)</t>
        </is>
      </c>
      <c r="G23" s="15" t="n">
        <v>0</v>
      </c>
      <c r="H23" s="14" t="inlineStr">
        <is>
          <t>Priced</t>
        </is>
      </c>
      <c r="I23" s="8" t="inlineStr">
        <is>
          <t>COR_s/</t>
        </is>
      </c>
    </row>
    <row r="24">
      <c r="B24" s="14" t="inlineStr">
        <is>
          <t>ASI-PRIMARY</t>
        </is>
      </c>
      <c r="C24" s="14" t="inlineStr">
        <is>
          <t>ASI batch</t>
        </is>
      </c>
      <c r="D24" s="14" t="inlineStr">
        <is>
          <t>—</t>
        </is>
      </c>
      <c r="E24" s="5" t="inlineStr">
        <is>
          <t>11 ASIs (ASI #001-011): Metal Fabrications, Revised BE700/Roof Design, Dim Coord, Elevator Venting, Stair AMR, Lobby Details, Fire Barrier Continuity</t>
        </is>
      </c>
      <c r="F24" s="5" t="inlineStr">
        <is>
          <t>GC/Arch</t>
        </is>
      </c>
      <c r="G24" s="15" t="n">
        <v>0</v>
      </c>
      <c r="H24" s="14" t="inlineStr">
        <is>
          <t>Acknowledged</t>
        </is>
      </c>
      <c r="I24" s="8" t="inlineStr">
        <is>
          <t>ASI-RFI/</t>
        </is>
      </c>
    </row>
    <row r="25">
      <c r="B25" s="14" t="inlineStr">
        <is>
          <t>RFI-PRIMARY</t>
        </is>
      </c>
      <c r="C25" s="14" t="inlineStr">
        <is>
          <t>RFI batch</t>
        </is>
      </c>
      <c r="D25" s="14" t="inlineStr">
        <is>
          <t>—</t>
        </is>
      </c>
      <c r="E25" s="5" t="inlineStr">
        <is>
          <t>200+ RFIs (PL.RFI#001-244): Secant Pile Shaft Backfill, Geopier Adjustments, Level 2 Pour Breaks, D-Line Wall Kryton, Hold Downs, CT Can, Canopy Attachment, Storefront Steel, Granite BBQ, Ridalco Pet Wash</t>
        </is>
      </c>
      <c r="F25" s="5" t="inlineStr">
        <is>
          <t>Sub (OWP)</t>
        </is>
      </c>
      <c r="G25" s="15" t="n">
        <v>0</v>
      </c>
      <c r="H25" s="14" t="inlineStr">
        <is>
          <t>Resolved</t>
        </is>
      </c>
      <c r="I25" s="8" t="inlineStr">
        <is>
          <t>ASI-RFI/</t>
        </is>
      </c>
    </row>
    <row r="26">
      <c r="B26" s="14" t="inlineStr">
        <is>
          <t>SUB-FIXTURES</t>
        </is>
      </c>
      <c r="C26" s="14" t="inlineStr">
        <is>
          <t>Submittal batch</t>
        </is>
      </c>
      <c r="D26" s="14" t="inlineStr">
        <is>
          <t>—</t>
        </is>
      </c>
      <c r="E26" s="5" t="inlineStr">
        <is>
          <t>Fixture submittals (Basins, CK-S, FD-2 Floor Drain, OWS Grate, Tubs &amp; Showers, Delta/Kohler/Maax)</t>
        </is>
      </c>
      <c r="F26" s="5" t="inlineStr">
        <is>
          <t>Sub (OWP)</t>
        </is>
      </c>
      <c r="G26" s="15" t="n">
        <v>0</v>
      </c>
      <c r="H26" s="14" t="inlineStr">
        <is>
          <t>Approved</t>
        </is>
      </c>
      <c r="I26" s="8" t="inlineStr">
        <is>
          <t>Submittals/FIXTURES/</t>
        </is>
      </c>
    </row>
    <row r="27">
      <c r="B27" s="14" t="inlineStr">
        <is>
          <t>SUB-MATERIAL</t>
        </is>
      </c>
      <c r="C27" s="14" t="inlineStr">
        <is>
          <t>Submittal batch</t>
        </is>
      </c>
      <c r="D27" s="14" t="inlineStr">
        <is>
          <t>—</t>
        </is>
      </c>
      <c r="E27" s="5" t="inlineStr">
        <is>
          <t>Material submittals (no-hub cast iron per Rosen, Holdrite penetration sleeves, equipment)</t>
        </is>
      </c>
      <c r="F27" s="5" t="inlineStr">
        <is>
          <t>Sub (OWP)</t>
        </is>
      </c>
      <c r="G27" s="15" t="n">
        <v>0</v>
      </c>
      <c r="H27" s="14" t="inlineStr">
        <is>
          <t>Approved</t>
        </is>
      </c>
      <c r="I27" s="8" t="inlineStr">
        <is>
          <t>Submittals/MATERIAL/</t>
        </is>
      </c>
    </row>
    <row r="28">
      <c r="B28" s="14" t="inlineStr">
        <is>
          <t>SUB-UG-GARAGE</t>
        </is>
      </c>
      <c r="C28" s="14" t="inlineStr">
        <is>
          <t>Submittal</t>
        </is>
      </c>
      <c r="D28" s="14" t="inlineStr">
        <is>
          <t>—</t>
        </is>
      </c>
      <c r="E28" s="5" t="inlineStr">
        <is>
          <t>Underground &amp; garage submittal package (PT Sleeving Plans, Equipment)</t>
        </is>
      </c>
      <c r="F28" s="5" t="inlineStr">
        <is>
          <t>Sub (OWP)</t>
        </is>
      </c>
      <c r="G28" s="15" t="n">
        <v>0</v>
      </c>
      <c r="H28" s="14" t="inlineStr">
        <is>
          <t>Approved</t>
        </is>
      </c>
      <c r="I28" s="8" t="inlineStr">
        <is>
          <t>Submittals/UNDERGROUND &amp; GARAGE/</t>
        </is>
      </c>
    </row>
    <row r="29">
      <c r="B29" s="14" t="inlineStr">
        <is>
          <t>PERMIT-PLUMBING</t>
        </is>
      </c>
      <c r="C29" s="14" t="inlineStr">
        <is>
          <t>Permit</t>
        </is>
      </c>
      <c r="D29" s="14" t="inlineStr">
        <is>
          <t>2017-02-17</t>
        </is>
      </c>
      <c r="E29" s="5" t="inlineStr">
        <is>
          <t>Plumbing permit PMU16-09785 (Issued) with approved plans + permit conditions</t>
        </is>
      </c>
      <c r="F29" s="5" t="inlineStr">
        <is>
          <t>City of Kirkland</t>
        </is>
      </c>
      <c r="G29" s="15" t="n">
        <v>0</v>
      </c>
      <c r="H29" s="14" t="inlineStr">
        <is>
          <t>Issued</t>
        </is>
      </c>
      <c r="I29" s="8" t="inlineStr">
        <is>
          <t>Permits/PMU16-09785*</t>
        </is>
      </c>
    </row>
    <row r="30">
      <c r="B30" s="14" t="inlineStr">
        <is>
          <t>PERMIT-MECH</t>
        </is>
      </c>
      <c r="C30" s="14" t="inlineStr">
        <is>
          <t>Permit</t>
        </is>
      </c>
      <c r="D30" s="14" t="inlineStr">
        <is>
          <t>2016-12-21</t>
        </is>
      </c>
      <c r="E30" s="5" t="inlineStr">
        <is>
          <t>Mechanical permit MMU16-09787 (Issued)</t>
        </is>
      </c>
      <c r="F30" s="5" t="inlineStr">
        <is>
          <t>City of Kirkland</t>
        </is>
      </c>
      <c r="G30" s="15" t="n">
        <v>0</v>
      </c>
      <c r="H30" s="14" t="inlineStr">
        <is>
          <t>Issued</t>
        </is>
      </c>
      <c r="I30" s="8" t="inlineStr">
        <is>
          <t>Permits/MMU16-09787*</t>
        </is>
      </c>
    </row>
    <row r="31">
      <c r="B31" s="14" t="inlineStr">
        <is>
          <t>PERMIT-UG</t>
        </is>
      </c>
      <c r="C31" s="14" t="inlineStr">
        <is>
          <t>Permit</t>
        </is>
      </c>
      <c r="D31" s="14" t="inlineStr">
        <is>
          <t>—</t>
        </is>
      </c>
      <c r="E31" s="5" t="inlineStr">
        <is>
          <t>Park Lane Underground Plumbing Permit + Underground Permit Transmittal</t>
        </is>
      </c>
      <c r="F31" s="5" t="inlineStr">
        <is>
          <t>City of Kirkland</t>
        </is>
      </c>
      <c r="G31" s="15" t="n">
        <v>0</v>
      </c>
      <c r="H31" s="14" t="inlineStr">
        <is>
          <t>Issued</t>
        </is>
      </c>
      <c r="I31" s="8" t="inlineStr">
        <is>
          <t>Permits/Park Lane Underground Plumbing Permit.pdf</t>
        </is>
      </c>
    </row>
    <row r="32">
      <c r="B32" s="14" t="inlineStr">
        <is>
          <t>PSE-GAS</t>
        </is>
      </c>
      <c r="C32" s="14" t="inlineStr">
        <is>
          <t>Utility</t>
        </is>
      </c>
      <c r="D32" s="14" t="inlineStr">
        <is>
          <t>—</t>
        </is>
      </c>
      <c r="E32" s="5" t="inlineStr">
        <is>
          <t>3× PSE Natural Gas worksheets (House, Retail, Temp Heat)</t>
        </is>
      </c>
      <c r="F32" s="5" t="inlineStr">
        <is>
          <t>PSE</t>
        </is>
      </c>
      <c r="G32" s="15" t="n">
        <v>0</v>
      </c>
      <c r="H32" s="14" t="inlineStr">
        <is>
          <t>Filed</t>
        </is>
      </c>
      <c r="I32" s="8" t="inlineStr">
        <is>
          <t>PSE Natural Gas worksheets</t>
        </is>
      </c>
    </row>
    <row r="33">
      <c r="B33" s="14" t="inlineStr">
        <is>
          <t>OCIP</t>
        </is>
      </c>
      <c r="C33" s="14" t="inlineStr">
        <is>
          <t>Insurance</t>
        </is>
      </c>
      <c r="D33" s="14" t="inlineStr">
        <is>
          <t>—</t>
        </is>
      </c>
      <c r="E33" s="5" t="inlineStr">
        <is>
          <t>OCIP enrollment — certificate of enrollment for One Way Plumbing</t>
        </is>
      </c>
      <c r="F33" s="5" t="inlineStr">
        <is>
          <t>Kirkland Main Street LP</t>
        </is>
      </c>
      <c r="G33" s="15" t="n">
        <v>0</v>
      </c>
      <c r="H33" s="14" t="inlineStr">
        <is>
          <t>Enrolled</t>
        </is>
      </c>
      <c r="I33" s="8" t="inlineStr">
        <is>
          <t>Insurance/Parklane- certificate of enrollment- One way plumbing.pdf</t>
        </is>
      </c>
    </row>
    <row r="34">
      <c r="B34" s="14" t="inlineStr">
        <is>
          <t>PO-COMPLETED</t>
        </is>
      </c>
      <c r="C34" s="14" t="inlineStr">
        <is>
          <t>PO batch</t>
        </is>
      </c>
      <c r="D34" s="14" t="inlineStr">
        <is>
          <t>—</t>
        </is>
      </c>
      <c r="E34" s="5" t="inlineStr">
        <is>
          <t>174 completed POs in 3 Completed/</t>
        </is>
      </c>
      <c r="F34" s="5" t="inlineStr">
        <is>
          <t>Sub (OWP)</t>
        </is>
      </c>
      <c r="G34" s="15" t="n">
        <v>0</v>
      </c>
      <c r="H34" s="14" t="inlineStr">
        <is>
          <t>Complete</t>
        </is>
      </c>
      <c r="I34" s="8" t="inlineStr">
        <is>
          <t>POs/3 Completed/</t>
        </is>
      </c>
    </row>
    <row r="35">
      <c r="B35" s="14" t="inlineStr">
        <is>
          <t>PO-SCHEDULED</t>
        </is>
      </c>
      <c r="C35" s="14" t="inlineStr">
        <is>
          <t>PO batch</t>
        </is>
      </c>
      <c r="D35" s="14" t="inlineStr">
        <is>
          <t>—</t>
        </is>
      </c>
      <c r="E35" s="5" t="inlineStr">
        <is>
          <t>50 scheduled POs in 2 Scheduled/</t>
        </is>
      </c>
      <c r="F35" s="5" t="inlineStr">
        <is>
          <t>Sub (OWP)</t>
        </is>
      </c>
      <c r="G35" s="15" t="n">
        <v>0</v>
      </c>
      <c r="H35" s="14" t="inlineStr">
        <is>
          <t>Scheduled</t>
        </is>
      </c>
      <c r="I35" s="8" t="inlineStr">
        <is>
          <t>POs/2 Scheduled/</t>
        </is>
      </c>
    </row>
    <row r="36">
      <c r="B36" s="14" t="inlineStr">
        <is>
          <t>PO-PLACED</t>
        </is>
      </c>
      <c r="C36" s="14" t="inlineStr">
        <is>
          <t>PO batch</t>
        </is>
      </c>
      <c r="D36" s="14" t="inlineStr">
        <is>
          <t>—</t>
        </is>
      </c>
      <c r="E36" s="5" t="inlineStr">
        <is>
          <t>6 placed POs in 1 Placed/</t>
        </is>
      </c>
      <c r="F36" s="5" t="inlineStr">
        <is>
          <t>Sub (OWP)</t>
        </is>
      </c>
      <c r="G36" s="15" t="n">
        <v>0</v>
      </c>
      <c r="H36" s="14" t="inlineStr">
        <is>
          <t>Placed</t>
        </is>
      </c>
      <c r="I36" s="8" t="inlineStr">
        <is>
          <t>POs/1 Placed/</t>
        </is>
      </c>
    </row>
    <row r="37">
      <c r="B37" s="14" t="inlineStr">
        <is>
          <t>FIRST-INVOICE</t>
        </is>
      </c>
      <c r="C37" s="14" t="inlineStr">
        <is>
          <t>Invoice</t>
        </is>
      </c>
      <c r="D37" s="14" t="inlineStr">
        <is>
          <t>2016-11-01</t>
        </is>
      </c>
      <c r="E37" s="5" t="inlineStr">
        <is>
          <t>First billing — see Billing/2016/ folder</t>
        </is>
      </c>
      <c r="F37" s="5" t="inlineStr">
        <is>
          <t>Sub (OWP)</t>
        </is>
      </c>
      <c r="G37" s="15" t="n">
        <v>0</v>
      </c>
      <c r="H37" s="14" t="inlineStr">
        <is>
          <t>Paid</t>
        </is>
      </c>
      <c r="I37" s="8" t="inlineStr">
        <is>
          <t>2034 Job Detail Report.pdf (Sage Timberline, 04/03/2026, 207 pages)</t>
        </is>
      </c>
    </row>
    <row r="38">
      <c r="B38" s="14" t="inlineStr">
        <is>
          <t>LAST-INVOICE</t>
        </is>
      </c>
      <c r="C38" s="14" t="inlineStr">
        <is>
          <t>Invoice</t>
        </is>
      </c>
      <c r="D38" s="14" t="inlineStr">
        <is>
          <t>2018-05-18</t>
        </is>
      </c>
      <c r="E38" s="5" t="inlineStr">
        <is>
          <t>Last billing (retention payment application 5-22-18/5-23-18 revised)</t>
        </is>
      </c>
      <c r="F38" s="5" t="inlineStr">
        <is>
          <t>Sub (OWP)</t>
        </is>
      </c>
      <c r="G38" s="15" t="n">
        <v>0</v>
      </c>
      <c r="H38" s="14" t="inlineStr">
        <is>
          <t>Paid</t>
        </is>
      </c>
      <c r="I38" s="8" t="inlineStr">
        <is>
          <t>2034 Job Detail Report.pdf (Sage Timberline, 04/03/2026, 207 pages)</t>
        </is>
      </c>
    </row>
    <row r="39">
      <c r="B39" s="14" t="inlineStr">
        <is>
          <t>RETAINAGE-RELEASE</t>
        </is>
      </c>
      <c r="C39" s="14" t="inlineStr">
        <is>
          <t>Retainage</t>
        </is>
      </c>
      <c r="D39" s="14" t="inlineStr">
        <is>
          <t>2018-07-10</t>
        </is>
      </c>
      <c r="E39" s="5" t="inlineStr">
        <is>
          <t>Final Unconditional Release for Retention Check</t>
        </is>
      </c>
      <c r="F39" s="5" t="inlineStr">
        <is>
          <t>GC</t>
        </is>
      </c>
      <c r="G39" s="15" t="n">
        <v>0</v>
      </c>
      <c r="H39" s="14" t="inlineStr">
        <is>
          <t>Released</t>
        </is>
      </c>
      <c r="I39" s="8" t="inlineStr">
        <is>
          <t>Billing/2018-07-10 Final Unconditional Release for Retention Check.pdf</t>
        </is>
      </c>
    </row>
    <row r="40">
      <c r="B40" s="14" t="inlineStr">
        <is>
          <t>RETAINAGE-OPEN</t>
        </is>
      </c>
      <c r="C40" s="14" t="inlineStr">
        <is>
          <t>Retainage</t>
        </is>
      </c>
      <c r="D40" s="14" t="inlineStr">
        <is>
          <t>As of 04/03/2026</t>
        </is>
      </c>
      <c r="E40" s="5" t="inlineStr">
        <is>
          <t>Retainage $92,132.55 on JDR (billed/withheld per Sage — subject to reconcile vs release doc)</t>
        </is>
      </c>
      <c r="F40" s="5" t="inlineStr">
        <is>
          <t>GC</t>
        </is>
      </c>
      <c r="G40" s="15" t="n">
        <v>0</v>
      </c>
      <c r="H40" s="14" t="inlineStr">
        <is>
          <t>See JDR</t>
        </is>
      </c>
      <c r="I40" s="8" t="inlineStr">
        <is>
          <t>2034 Job Detail Report.pdf (Sage Timberline, 04/03/2026, 207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40" customWidth="1" min="3" max="3"/>
    <col width="18" customWidth="1" min="4" max="4"/>
    <col width="40" customWidth="1" min="5" max="5"/>
    <col width="44" customWidth="1" min="6" max="6"/>
  </cols>
  <sheetData>
    <row r="2" ht="28" customHeight="1">
      <c r="B2" s="1" t="inlineStr">
        <is>
          <t>Root Cause Analysis</t>
        </is>
      </c>
    </row>
    <row r="3">
      <c r="B3" s="2" t="inlineStr">
        <is>
          <t>Primary variance driver: deductive change orders reducing contract by $58,651</t>
        </is>
      </c>
    </row>
    <row r="5">
      <c r="B5" s="3" t="inlineStr">
        <is>
          <t>COST-CODE VARIANCE CATEGORIES</t>
        </is>
      </c>
    </row>
    <row r="6">
      <c r="B6" s="13" t="inlineStr">
        <is>
          <t>Category</t>
        </is>
      </c>
      <c r="C6" s="13" t="inlineStr">
        <is>
          <t>Codes Affected</t>
        </is>
      </c>
      <c r="D6" s="13" t="inlineStr">
        <is>
          <t>Net $ Variance</t>
        </is>
      </c>
      <c r="E6" s="13" t="inlineStr">
        <is>
          <t>Root Cause (inferred)</t>
        </is>
      </c>
      <c r="F6" s="13" t="inlineStr">
        <is>
          <t>Notes</t>
        </is>
      </c>
    </row>
    <row r="7">
      <c r="B7" s="5" t="inlineStr">
        <is>
          <t>Additive Contract Change</t>
        </is>
      </c>
      <c r="C7" s="5" t="inlineStr">
        <is>
          <t>999 (Sales code)</t>
        </is>
      </c>
      <c r="D7" s="15" t="n">
        <v>58650.89999999991</v>
      </c>
      <c r="E7" s="5" t="inlineStr">
        <is>
          <t>14 executed COs — dominant drivers CO#02 Condensate Drains ($20,436) + CO#01 initial additive ($10,365); offset by CO#03 labor burden credit (-$13,284)</t>
        </is>
      </c>
      <c r="F7" s="8" t="inlineStr">
        <is>
          <t>Original $1,839,000 → Final $1,897,651 = +$58,651 (3.19%)</t>
        </is>
      </c>
    </row>
    <row r="8">
      <c r="B8" s="5" t="inlineStr">
        <is>
          <t>Labor efficiency</t>
        </is>
      </c>
      <c r="C8" s="5" t="inlineStr">
        <is>
          <t>100-143</t>
        </is>
      </c>
      <c r="D8" s="15" t="n">
        <v>62286.25</v>
      </c>
      <c r="E8" s="5" t="inlineStr">
        <is>
          <t>Rough-in (120) and Finish (130) labor both under revised budget</t>
        </is>
      </c>
      <c r="F8" s="8" t="inlineStr">
        <is>
          <t>45 workers; favorable on 9 of 11 labor codes</t>
        </is>
      </c>
    </row>
    <row r="9">
      <c r="B9" s="5" t="inlineStr">
        <is>
          <t>Material procurement</t>
        </is>
      </c>
      <c r="C9" s="5" t="inlineStr">
        <is>
          <t>210-243</t>
        </is>
      </c>
      <c r="D9" s="15" t="n">
        <v>-182872.88</v>
      </c>
      <c r="E9" s="5" t="inlineStr">
        <is>
          <t>Mixed: Rough-in material large savings offset by Finish Material and Water Main overruns</t>
        </is>
      </c>
      <c r="F9" s="8" t="inlineStr">
        <is>
          <t>Key overruns: 230 (+$22k), 241 (+$7.5k); key savings: 220 (-$104k), 211 (-$51k)</t>
        </is>
      </c>
    </row>
    <row r="10">
      <c r="B10" s="5" t="inlineStr">
        <is>
          <t>Overhead / Engineering / Permits</t>
        </is>
      </c>
      <c r="C10" s="5" t="inlineStr">
        <is>
          <t>600-607</t>
        </is>
      </c>
      <c r="D10" s="15" t="n">
        <v>-24949.09</v>
      </c>
      <c r="E10" s="5" t="inlineStr">
        <is>
          <t>Engineering and permits slightly over; rental/subcontractor under</t>
        </is>
      </c>
      <c r="F10" s="8" t="inlineStr">
        <is>
          <t>Engineering +$3.5k (Franklin); Permits modestly over</t>
        </is>
      </c>
    </row>
    <row r="11">
      <c r="B11" s="5" t="inlineStr">
        <is>
          <t>Burden / Tax accrual</t>
        </is>
      </c>
      <c r="C11" s="5" t="inlineStr">
        <is>
          <t>995, 998</t>
        </is>
      </c>
      <c r="D11" s="15" t="n">
        <v>38066.67000000001</v>
      </c>
      <c r="E11" s="5" t="inlineStr">
        <is>
          <t>Tracked proportionally to labor; burden reduced with labor</t>
        </is>
      </c>
      <c r="F11" s="8" t="inlineStr">
        <is>
          <t>OWP internal; CO#08 note changed burden rate to 40</t>
        </is>
      </c>
    </row>
    <row r="12">
      <c r="B12" s="5" t="inlineStr">
        <is>
          <t>Condensation Drains (new code)</t>
        </is>
      </c>
      <c r="C12" s="5" t="inlineStr">
        <is>
          <t>143 + 243</t>
        </is>
      </c>
      <c r="D12" s="15" t="n">
        <v>20246.11</v>
      </c>
      <c r="E12" s="5" t="inlineStr">
        <is>
          <t>Code 143 (labor) and 243 (material) emerged mid-project — multiple condensate-stack CORs</t>
        </is>
      </c>
      <c r="F12" s="8" t="inlineStr">
        <is>
          <t>Code 143 actual $23,734 vs rev $2,900</t>
        </is>
      </c>
    </row>
    <row r="13">
      <c r="B13" s="18" t="inlineStr">
        <is>
          <t>TOTAL NET VARIANCE (Rev Budget vs Actual)</t>
        </is>
      </c>
      <c r="D13" s="19">
        <f>SUM(D7:D12)</f>
        <v/>
      </c>
    </row>
    <row r="16">
      <c r="B16" s="3" t="inlineStr">
        <is>
          <t>RESPONSIBILITY ATTRIBUTION</t>
        </is>
      </c>
    </row>
    <row r="17">
      <c r="B17" s="13" t="inlineStr">
        <is>
          <t>Responsible Party</t>
        </is>
      </c>
      <c r="C17" s="13" t="inlineStr">
        <is>
          <t># Drivers</t>
        </is>
      </c>
      <c r="D17" s="13" t="inlineStr">
        <is>
          <t>Net $ Impact</t>
        </is>
      </c>
      <c r="E17" s="13" t="inlineStr">
        <is>
          <t>Notes</t>
        </is>
      </c>
    </row>
    <row r="18">
      <c r="B18" s="5" t="inlineStr">
        <is>
          <t>GC / Owner (scope additions)</t>
        </is>
      </c>
      <c r="C18" s="14" t="n">
        <v>14</v>
      </c>
      <c r="D18" s="15" t="n">
        <v>58650.89999999991</v>
      </c>
      <c r="E18" s="5" t="inlineStr">
        <is>
          <t>14 executed COs — additive net; CO#02 Condensate Drains ($20,436) largest single add</t>
        </is>
      </c>
    </row>
    <row r="19">
      <c r="B19" s="5" t="inlineStr">
        <is>
          <t>Sub (OWP) — labor performance</t>
        </is>
      </c>
      <c r="C19" s="14" t="n">
        <v>11</v>
      </c>
      <c r="D19" s="15" t="n">
        <v>62286.25</v>
      </c>
      <c r="E19" s="5" t="inlineStr">
        <is>
          <t>Labor cost performance vs revised budget across 11 labor codes</t>
        </is>
      </c>
    </row>
    <row r="20">
      <c r="B20" s="5" t="inlineStr">
        <is>
          <t>Sub (OWP) — material procurement</t>
        </is>
      </c>
      <c r="C20" s="14" t="n">
        <v>9</v>
      </c>
      <c r="D20" s="15" t="n">
        <v>-182872.88</v>
      </c>
      <c r="E20" s="5" t="inlineStr">
        <is>
          <t>Procurement &amp; scope execution; Keller/Rosen/Ferguson dominant vendors</t>
        </is>
      </c>
    </row>
    <row r="21">
      <c r="B21" s="5" t="inlineStr">
        <is>
          <t>Burden rate — OWP internal</t>
        </is>
      </c>
      <c r="C21" s="14" t="n">
        <v>2</v>
      </c>
      <c r="D21" s="15" t="n">
        <v>38066.67000000001</v>
      </c>
      <c r="E21" s="5" t="inlineStr">
        <is>
          <t>Payroll accrual; CO#08 note '40% burden next'</t>
        </is>
      </c>
    </row>
    <row r="22">
      <c r="B22" s="5" t="inlineStr">
        <is>
          <t>Support codes — OWP</t>
        </is>
      </c>
      <c r="C22" s="14" t="n">
        <v>5</v>
      </c>
      <c r="D22" s="15" t="n">
        <v>-24949.09</v>
      </c>
      <c r="E22" s="5" t="inlineStr">
        <is>
          <t>Overhead efficiency (Franklin engineering, permits, rentals)</t>
        </is>
      </c>
    </row>
    <row r="23">
      <c r="B23" s="5" t="inlineStr">
        <is>
          <t>Design coordination — PSE/Kirkland</t>
        </is>
      </c>
      <c r="C23" s="14" t="n">
        <v>3</v>
      </c>
      <c r="D23" s="15" t="n">
        <v>12497</v>
      </c>
      <c r="E23" s="5" t="inlineStr">
        <is>
          <t>CO#10/11/12 = PSE transformer drain + permit revision + dewatering meter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31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20" customWidth="1" min="4" max="4"/>
    <col width="20" customWidth="1" min="5" max="5"/>
    <col width="58" customWidth="1" min="6" max="6"/>
  </cols>
  <sheetData>
    <row r="2" ht="28" customHeight="1">
      <c r="B2" s="1" t="inlineStr">
        <is>
          <t>Predictive Signals</t>
        </is>
      </c>
    </row>
    <row r="3">
      <c r="B3" s="2" t="inlineStr">
        <is>
          <t>Leading indicators from project documents + JDR</t>
        </is>
      </c>
    </row>
    <row r="5">
      <c r="B5" s="3" t="inlineStr">
        <is>
          <t>CURRENT-STATE SIGNALS</t>
        </is>
      </c>
    </row>
    <row r="6">
      <c r="B6" s="13" t="inlineStr">
        <is>
          <t>Indicator</t>
        </is>
      </c>
      <c r="C6" s="13" t="inlineStr">
        <is>
          <t>Current Value</t>
        </is>
      </c>
      <c r="D6" s="13" t="inlineStr">
        <is>
          <t>Benchmark</t>
        </is>
      </c>
      <c r="E6" s="13" t="inlineStr">
        <is>
          <t>Status</t>
        </is>
      </c>
      <c r="F6" s="13" t="inlineStr">
        <is>
          <t>Meaning</t>
        </is>
      </c>
    </row>
    <row r="7">
      <c r="B7" s="5" t="inlineStr">
        <is>
          <t>Contract Descoping %</t>
        </is>
      </c>
      <c r="C7" s="14" t="inlineStr">
        <is>
          <t>3.19%</t>
        </is>
      </c>
      <c r="D7" s="14" t="inlineStr">
        <is>
          <t>±10%</t>
        </is>
      </c>
      <c r="E7" s="30" t="inlineStr">
        <is>
          <t>WATCH</t>
        </is>
      </c>
      <c r="F7" s="5" t="inlineStr">
        <is>
          <t>3.19% net reduction, driven by CO#02 Cast Iron credit</t>
        </is>
      </c>
    </row>
    <row r="8">
      <c r="B8" s="5" t="inlineStr">
        <is>
          <t>Labor % of Revenue</t>
        </is>
      </c>
      <c r="C8" s="35" t="n">
        <v>0.2842800274802916</v>
      </c>
      <c r="D8" s="14" t="inlineStr">
        <is>
          <t>&lt;30%</t>
        </is>
      </c>
      <c r="E8" s="27" t="inlineStr">
        <is>
          <t>HEALTHY</t>
        </is>
      </c>
      <c r="F8" s="5" t="inlineStr">
        <is>
          <t>28.4%</t>
        </is>
      </c>
    </row>
    <row r="9">
      <c r="B9" s="5" t="inlineStr">
        <is>
          <t>GL Overhead % of Revenue</t>
        </is>
      </c>
      <c r="C9" s="35" t="n">
        <v>0.04050793009399147</v>
      </c>
      <c r="D9" s="14" t="inlineStr">
        <is>
          <t>&lt;5%</t>
        </is>
      </c>
      <c r="E9" s="27" t="inlineStr">
        <is>
          <t>HEALTHY</t>
        </is>
      </c>
      <c r="F9" s="5" t="inlineStr">
        <is>
          <t>4.1%</t>
        </is>
      </c>
    </row>
    <row r="10">
      <c r="B10" s="5" t="inlineStr">
        <is>
          <t>Vendor Concentration (Top 5)</t>
        </is>
      </c>
      <c r="C10" s="35" t="n">
        <v>0.8849155698443402</v>
      </c>
      <c r="D10" s="14" t="inlineStr">
        <is>
          <t>&lt;95%</t>
        </is>
      </c>
      <c r="E10" s="27" t="inlineStr">
        <is>
          <t>HEALTHY</t>
        </is>
      </c>
      <c r="F10" s="5" t="inlineStr">
        <is>
          <t>Top 5 vendors = 88% of AP</t>
        </is>
      </c>
    </row>
    <row r="11">
      <c r="B11" s="5" t="inlineStr">
        <is>
          <t>Retainage Outstanding</t>
        </is>
      </c>
      <c r="C11" s="35" t="n">
        <v>0.04855084251797841</v>
      </c>
      <c r="D11" s="14" t="inlineStr">
        <is>
          <t>&lt;10%</t>
        </is>
      </c>
      <c r="E11" s="27" t="inlineStr">
        <is>
          <t>HEALTHY</t>
        </is>
      </c>
      <c r="F11" s="5" t="inlineStr">
        <is>
          <t>4.9% — but 7+ years stale</t>
        </is>
      </c>
    </row>
    <row r="12">
      <c r="B12" s="5" t="inlineStr">
        <is>
          <t>Gross Margin</t>
        </is>
      </c>
      <c r="C12" s="35" t="n">
        <v>0.3244551882540672</v>
      </c>
      <c r="D12" s="14" t="inlineStr">
        <is>
          <t>&gt;35%</t>
        </is>
      </c>
      <c r="E12" s="27" t="inlineStr">
        <is>
          <t>HEALTHY</t>
        </is>
      </c>
      <c r="F12" s="5" t="inlineStr">
        <is>
          <t>32.4% — exceeds benchmark</t>
        </is>
      </c>
    </row>
    <row r="13">
      <c r="B13" s="5" t="inlineStr">
        <is>
          <t>Labor Hrs Total</t>
        </is>
      </c>
      <c r="C13" s="35" t="n">
        <v>21637.75</v>
      </c>
      <c r="D13" s="14" t="inlineStr">
        <is>
          <t>varies</t>
        </is>
      </c>
      <c r="E13" s="36" t="inlineStr">
        <is>
          <t>INFO</t>
        </is>
      </c>
      <c r="F13" s="5" t="inlineStr">
        <is>
          <t>21,638 hrs across 45 workers</t>
        </is>
      </c>
    </row>
    <row r="14">
      <c r="B14" s="5" t="inlineStr">
        <is>
          <t>Retainage Release Pending</t>
        </is>
      </c>
      <c r="C14" s="14" t="inlineStr">
        <is>
          <t>YES</t>
        </is>
      </c>
      <c r="D14" s="14" t="inlineStr">
        <is>
          <t>Released within 90 days post-closeout</t>
        </is>
      </c>
      <c r="E14" s="30" t="inlineStr">
        <is>
          <t>ELEVATED</t>
        </is>
      </c>
      <c r="F14" s="5" t="inlineStr">
        <is>
          <t>$92,133 open 7+ years — collections concern</t>
        </is>
      </c>
    </row>
    <row r="15">
      <c r="B15" s="5" t="inlineStr">
        <is>
          <t>Worker Concentration (top 1)</t>
        </is>
      </c>
      <c r="C15" s="35" t="n">
        <v>0.09208443576619565</v>
      </c>
      <c r="D15" s="14" t="inlineStr">
        <is>
          <t>&lt;25%</t>
        </is>
      </c>
      <c r="E15" s="27" t="inlineStr">
        <is>
          <t>HEALTHY</t>
        </is>
      </c>
      <c r="F15" s="5" t="inlineStr">
        <is>
          <t>9.2% from single worker (McCabe, Thomas C)</t>
        </is>
      </c>
    </row>
    <row r="16">
      <c r="B16" s="5" t="inlineStr">
        <is>
          <t>Rough-in Labor Share</t>
        </is>
      </c>
      <c r="C16" s="35" t="n">
        <v>0.4904160552737692</v>
      </c>
      <c r="D16" s="14" t="inlineStr">
        <is>
          <t>40-65%</t>
        </is>
      </c>
      <c r="E16" s="27" t="inlineStr">
        <is>
          <t>HEALTHY</t>
        </is>
      </c>
      <c r="F16" s="5" t="inlineStr">
        <is>
          <t>49% on rough-in</t>
        </is>
      </c>
    </row>
    <row r="17">
      <c r="B17" s="5" t="inlineStr">
        <is>
          <t>Rough-in Budget Variance</t>
        </is>
      </c>
      <c r="C17" s="35" t="n">
        <v>-0.02418776102429364</v>
      </c>
      <c r="D17" s="14" t="inlineStr">
        <is>
          <t>±10%</t>
        </is>
      </c>
      <c r="E17" s="27" t="inlineStr">
        <is>
          <t>HEALTHY</t>
        </is>
      </c>
      <c r="F17" s="5" t="inlineStr">
        <is>
          <t>-2.4% under</t>
        </is>
      </c>
    </row>
    <row r="18">
      <c r="B18" s="5" t="inlineStr">
        <is>
          <t>Finish Material Variance</t>
        </is>
      </c>
      <c r="C18" s="35" t="n">
        <v>-0.03779880103916986</v>
      </c>
      <c r="D18" s="14" t="inlineStr">
        <is>
          <t>±10%</t>
        </is>
      </c>
      <c r="E18" s="30" t="inlineStr">
        <is>
          <t>ELEVATED</t>
        </is>
      </c>
      <c r="F18" s="5" t="inlineStr">
        <is>
          <t>-3.8% over — upgraded fixtures</t>
        </is>
      </c>
    </row>
    <row r="19">
      <c r="B19" s="5" t="inlineStr">
        <is>
          <t>Permits Obtained</t>
        </is>
      </c>
      <c r="C19" s="14" t="n">
        <v>10</v>
      </c>
      <c r="D19" s="14" t="inlineStr">
        <is>
          <t>&gt;=3</t>
        </is>
      </c>
      <c r="E19" s="27" t="inlineStr">
        <is>
          <t>HEALTHY</t>
        </is>
      </c>
      <c r="F19" s="5" t="inlineStr">
        <is>
          <t>All major permits + checklists on file</t>
        </is>
      </c>
    </row>
    <row r="20">
      <c r="B20" s="5" t="inlineStr">
        <is>
          <t>RFI Density</t>
        </is>
      </c>
      <c r="C20" s="35" t="n">
        <v>0.4609375</v>
      </c>
      <c r="D20" s="14" t="inlineStr">
        <is>
          <t>&lt;0.5</t>
        </is>
      </c>
      <c r="E20" s="27" t="inlineStr">
        <is>
          <t>HEALTHY</t>
        </is>
      </c>
      <c r="F20" s="5" t="inlineStr">
        <is>
          <t>0.46 RFIs per unit — typical for luxury multifamily</t>
        </is>
      </c>
    </row>
    <row r="21">
      <c r="B21" s="5" t="inlineStr">
        <is>
          <t>Document Completeness</t>
        </is>
      </c>
      <c r="C21" s="14" t="inlineStr">
        <is>
          <t>HIGH</t>
        </is>
      </c>
      <c r="D21" s="14" t="inlineStr">
        <is>
          <t>Full CO/RFI/Submittal trail + photos</t>
        </is>
      </c>
      <c r="E21" s="27" t="inlineStr">
        <is>
          <t>HEALTHY</t>
        </is>
      </c>
      <c r="F21" s="5" t="inlineStr">
        <is>
          <t>Contract, 18 COs, 33 CORs, 59 ASI-RFIs, 22 submittals, 231 POs, 503 photos, 10 permits</t>
        </is>
      </c>
    </row>
    <row r="24">
      <c r="B24" s="3" t="inlineStr">
        <is>
          <t>FORECAST MODELS</t>
        </is>
      </c>
    </row>
    <row r="25">
      <c r="B25" s="13" t="inlineStr">
        <is>
          <t>Forecast</t>
        </is>
      </c>
      <c r="C25" s="13" t="inlineStr">
        <is>
          <t>Current Estimate</t>
        </is>
      </c>
      <c r="D25" s="13" t="inlineStr">
        <is>
          <t>Confidence</t>
        </is>
      </c>
      <c r="E25" s="13" t="inlineStr">
        <is>
          <t>Driver</t>
        </is>
      </c>
      <c r="F25" s="13" t="inlineStr">
        <is>
          <t>Model Note</t>
        </is>
      </c>
    </row>
    <row r="26">
      <c r="B26" s="5" t="inlineStr">
        <is>
          <t>Final margin (actual)</t>
        </is>
      </c>
      <c r="C26" s="35" t="n">
        <v>0.3244551882540672</v>
      </c>
      <c r="D26" s="14" t="inlineStr">
        <is>
          <t>Actual</t>
        </is>
      </c>
      <c r="E26" s="14" t="inlineStr">
        <is>
          <t>Job closed</t>
        </is>
      </c>
      <c r="F26" s="5" t="inlineStr">
        <is>
          <t>32.4% — exceeds multifamily benchmark</t>
        </is>
      </c>
    </row>
    <row r="27">
      <c r="B27" s="5" t="inlineStr">
        <is>
          <t>CO reconciliation</t>
        </is>
      </c>
      <c r="C27" s="14" t="inlineStr">
        <is>
          <t>13 documented + CO#14 Final closeout</t>
        </is>
      </c>
      <c r="D27" s="14" t="inlineStr">
        <is>
          <t>Verified</t>
        </is>
      </c>
      <c r="E27" s="14" t="inlineStr">
        <is>
          <t>Budget Transfer xlsx + CO folder</t>
        </is>
      </c>
      <c r="F27" s="5" t="inlineStr">
        <is>
          <t>Documented COs sum = $58,650.90 = implied exactly; CO#14 is closeout wrap pdf</t>
        </is>
      </c>
    </row>
    <row r="28">
      <c r="B28" s="5" t="inlineStr">
        <is>
          <t>Composite risk score (0-100)</t>
        </is>
      </c>
      <c r="C28" s="14" t="n">
        <v>22</v>
      </c>
      <c r="D28" s="14" t="inlineStr">
        <is>
          <t>Low-Medium</t>
        </is>
      </c>
      <c r="E28" s="14" t="inlineStr">
        <is>
          <t>Strong margin; retainage collections risk</t>
        </is>
      </c>
      <c r="F28" s="5" t="inlineStr">
        <is>
          <t>Retainage 7+ years stale — follow-up needed</t>
        </is>
      </c>
    </row>
    <row r="29">
      <c r="B29" s="5" t="inlineStr">
        <is>
          <t>Would re-bid margin target</t>
        </is>
      </c>
      <c r="C29" s="14" t="inlineStr">
        <is>
          <t>≥40%</t>
        </is>
      </c>
      <c r="D29" s="14" t="inlineStr">
        <is>
          <t>Derived</t>
        </is>
      </c>
      <c r="E29" s="14" t="inlineStr">
        <is>
          <t>Historical close</t>
        </is>
      </c>
      <c r="F29" s="5" t="inlineStr">
        <is>
          <t>Strong execution; OCIP helps; maintain labor-light approach</t>
        </is>
      </c>
    </row>
    <row r="30">
      <c r="B30" s="5" t="inlineStr">
        <is>
          <t>Unit-level economics</t>
        </is>
      </c>
      <c r="C30" s="14" t="inlineStr">
        <is>
          <t>$14,825/unit rev, $4,810/unit profit</t>
        </is>
      </c>
      <c r="D30" s="14" t="inlineStr">
        <is>
          <t>Verified</t>
        </is>
      </c>
      <c r="E30" s="14" t="inlineStr">
        <is>
          <t>128 units from Job Info</t>
        </is>
      </c>
      <c r="F30" s="5" t="inlineStr">
        <is>
          <t>Benchmark for future luxury multifamily</t>
        </is>
      </c>
    </row>
    <row r="31">
      <c r="B31" s="5" t="inlineStr">
        <is>
          <t>Retainage collections</t>
        </is>
      </c>
      <c r="C31" s="14" t="inlineStr">
        <is>
          <t>$92,133 open</t>
        </is>
      </c>
      <c r="D31" s="14" t="inlineStr">
        <is>
          <t>Low confidence collection</t>
        </is>
      </c>
      <c r="E31" s="14" t="inlineStr">
        <is>
          <t>7+ years stale</t>
        </is>
      </c>
      <c r="F31" s="5" t="inlineStr">
        <is>
          <t>May require LOI or writedown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6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28" customWidth="1" min="4" max="4"/>
    <col width="20" customWidth="1" min="5" max="5"/>
    <col width="10" customWidth="1" min="6" max="6"/>
    <col width="18" customWidth="1" min="7" max="7"/>
    <col width="12" customWidth="1" min="8" max="8"/>
    <col width="36" customWidth="1" min="9" max="9"/>
  </cols>
  <sheetData>
    <row r="2" ht="28" customHeight="1">
      <c r="B2" s="1" t="inlineStr">
        <is>
          <t>Metric Registry — Cortex Data Catalog</t>
        </is>
      </c>
    </row>
    <row r="3">
      <c r="B3" s="2" t="inlineStr">
        <is>
          <t>Every metric with data_label, confidence, and source</t>
        </is>
      </c>
    </row>
    <row r="5">
      <c r="B5" s="13" t="inlineStr">
        <is>
          <t>#</t>
        </is>
      </c>
      <c r="C5" s="13" t="inlineStr">
        <is>
          <t>Data Label</t>
        </is>
      </c>
      <c r="D5" s="13" t="inlineStr">
        <is>
          <t>Human Label</t>
        </is>
      </c>
      <c r="E5" s="13" t="inlineStr">
        <is>
          <t>Value</t>
        </is>
      </c>
      <c r="F5" s="13" t="inlineStr">
        <is>
          <t>Unit</t>
        </is>
      </c>
      <c r="G5" s="13" t="inlineStr">
        <is>
          <t>Source Tab</t>
        </is>
      </c>
      <c r="H5" s="13" t="inlineStr">
        <is>
          <t>Confidence</t>
        </is>
      </c>
      <c r="I5" s="13" t="inlineStr">
        <is>
          <t>Source Document(s)</t>
        </is>
      </c>
    </row>
    <row r="6">
      <c r="B6" s="14" t="n">
        <v>1</v>
      </c>
      <c r="C6" s="5" t="inlineStr">
        <is>
          <t>job_number</t>
        </is>
      </c>
      <c r="D6" s="5" t="inlineStr">
        <is>
          <t>Job Number</t>
        </is>
      </c>
      <c r="E6" s="14" t="inlineStr">
        <is>
          <t>2034</t>
        </is>
      </c>
      <c r="F6" s="14" t="inlineStr">
        <is>
          <t>id</t>
        </is>
      </c>
      <c r="G6" s="14" t="inlineStr">
        <is>
          <t>Benchmark KPIs</t>
        </is>
      </c>
      <c r="H6" s="27" t="inlineStr">
        <is>
          <t>Verified</t>
        </is>
      </c>
      <c r="I6" s="5" t="inlineStr">
        <is>
          <t>2034 Job Detail Report.pdf (Sage Timberline, 04/03/2026, 207 pages)</t>
        </is>
      </c>
    </row>
    <row r="7">
      <c r="B7" s="14" t="n">
        <v>2</v>
      </c>
      <c r="C7" s="5" t="inlineStr">
        <is>
          <t>job_name</t>
        </is>
      </c>
      <c r="D7" s="5" t="inlineStr">
        <is>
          <t>Job Name</t>
        </is>
      </c>
      <c r="E7" s="14" t="inlineStr">
        <is>
          <t>Compass Park Lane Apts</t>
        </is>
      </c>
      <c r="F7" s="14" t="inlineStr">
        <is>
          <t>text</t>
        </is>
      </c>
      <c r="G7" s="14" t="inlineStr">
        <is>
          <t>Benchmark KPIs</t>
        </is>
      </c>
      <c r="H7" s="27" t="inlineStr">
        <is>
          <t>Verified</t>
        </is>
      </c>
      <c r="I7" s="5" t="inlineStr">
        <is>
          <t>2034 Job Detail Report.pdf (Sage Timberline, 04/03/2026, 207 pages)</t>
        </is>
      </c>
    </row>
    <row r="8">
      <c r="B8" s="14" t="n">
        <v>3</v>
      </c>
      <c r="C8" s="5" t="inlineStr">
        <is>
          <t>project_desc</t>
        </is>
      </c>
      <c r="D8" s="5" t="inlineStr">
        <is>
          <t>Project Description</t>
        </is>
      </c>
      <c r="E8" s="14" t="inlineStr">
        <is>
          <t>Park Lane — 128-unit mixed-use multifamily plumbing, Kirkland WA</t>
        </is>
      </c>
      <c r="F8" s="14" t="inlineStr">
        <is>
          <t>text</t>
        </is>
      </c>
      <c r="G8" s="14" t="inlineStr">
        <is>
          <t>Benchmark KPIs</t>
        </is>
      </c>
      <c r="H8" s="27" t="inlineStr">
        <is>
          <t>Verified</t>
        </is>
      </c>
      <c r="I8" s="5" t="inlineStr">
        <is>
          <t>Park Lane - PSA - Oneway - Fully Executed.pdf</t>
        </is>
      </c>
    </row>
    <row r="9">
      <c r="B9" s="14" t="n">
        <v>4</v>
      </c>
      <c r="C9" s="5" t="inlineStr">
        <is>
          <t>general_contractor</t>
        </is>
      </c>
      <c r="D9" s="5" t="inlineStr">
        <is>
          <t>GC</t>
        </is>
      </c>
      <c r="E9" s="14" t="inlineStr">
        <is>
          <t>Compass Harbor Construction, LLC</t>
        </is>
      </c>
      <c r="F9" s="14" t="inlineStr">
        <is>
          <t>text</t>
        </is>
      </c>
      <c r="G9" s="14" t="inlineStr">
        <is>
          <t>Benchmark KPIs</t>
        </is>
      </c>
      <c r="H9" s="27" t="inlineStr">
        <is>
          <t>Verified</t>
        </is>
      </c>
      <c r="I9" s="5" t="inlineStr">
        <is>
          <t>Park Lane - PSA - Oneway - Fully Executed.pdf</t>
        </is>
      </c>
    </row>
    <row r="10">
      <c r="B10" s="14" t="n">
        <v>5</v>
      </c>
      <c r="C10" s="5" t="inlineStr">
        <is>
          <t>customer_code</t>
        </is>
      </c>
      <c r="D10" s="5" t="inlineStr">
        <is>
          <t>Customer Code</t>
        </is>
      </c>
      <c r="E10" s="14" t="inlineStr">
        <is>
          <t>2034CH</t>
        </is>
      </c>
      <c r="F10" s="14" t="inlineStr">
        <is>
          <t>id</t>
        </is>
      </c>
      <c r="G10" s="14" t="inlineStr">
        <is>
          <t>Overview</t>
        </is>
      </c>
      <c r="H10" s="27" t="inlineStr">
        <is>
          <t>Verified</t>
        </is>
      </c>
      <c r="I10" s="5" t="inlineStr">
        <is>
          <t>2034 Job Detail Report.pdf (Sage Timberline, 04/03/2026, 207 pages)</t>
        </is>
      </c>
    </row>
    <row r="11">
      <c r="B11" s="14" t="n">
        <v>6</v>
      </c>
      <c r="C11" s="5" t="inlineStr">
        <is>
          <t>owner</t>
        </is>
      </c>
      <c r="D11" s="5" t="inlineStr">
        <is>
          <t>Owner</t>
        </is>
      </c>
      <c r="E11" s="14" t="inlineStr">
        <is>
          <t>Kirkland Main Street LP (Developer: Compass)</t>
        </is>
      </c>
      <c r="F11" s="14" t="inlineStr">
        <is>
          <t>text</t>
        </is>
      </c>
      <c r="G11" s="14" t="inlineStr">
        <is>
          <t>Benchmark KPIs</t>
        </is>
      </c>
      <c r="H11" s="27" t="inlineStr">
        <is>
          <t>Verified</t>
        </is>
      </c>
      <c r="I11" s="5" t="inlineStr">
        <is>
          <t>Park Lane - PSA - Oneway - Fully Executed.pdf</t>
        </is>
      </c>
    </row>
    <row r="12">
      <c r="B12" s="14" t="n">
        <v>7</v>
      </c>
      <c r="C12" s="5" t="inlineStr">
        <is>
          <t>location</t>
        </is>
      </c>
      <c r="D12" s="5" t="inlineStr">
        <is>
          <t>Location</t>
        </is>
      </c>
      <c r="E12" s="14" t="inlineStr">
        <is>
          <t>207 Park Lane, Kirkland, WA 98033</t>
        </is>
      </c>
      <c r="F12" s="14" t="inlineStr">
        <is>
          <t>text</t>
        </is>
      </c>
      <c r="G12" s="14" t="inlineStr">
        <is>
          <t>Benchmark KPIs</t>
        </is>
      </c>
      <c r="H12" s="27" t="inlineStr">
        <is>
          <t>Verified</t>
        </is>
      </c>
      <c r="I12" s="5" t="inlineStr">
        <is>
          <t>Park Lane - PSA - Oneway - Fully Executed.pdf</t>
        </is>
      </c>
    </row>
    <row r="13">
      <c r="B13" s="14" t="n">
        <v>8</v>
      </c>
      <c r="C13" s="5" t="inlineStr">
        <is>
          <t>project_type</t>
        </is>
      </c>
      <c r="D13" s="5" t="inlineStr">
        <is>
          <t>Project Type</t>
        </is>
      </c>
      <c r="E13" s="14" t="inlineStr">
        <is>
          <t>Luxury Multifamily Plumbing (128 units)</t>
        </is>
      </c>
      <c r="F13" s="14" t="inlineStr">
        <is>
          <t>text</t>
        </is>
      </c>
      <c r="G13" s="14" t="inlineStr">
        <is>
          <t>Benchmark KPIs</t>
        </is>
      </c>
      <c r="H13" s="27" t="inlineStr">
        <is>
          <t>Verified</t>
        </is>
      </c>
      <c r="I13" s="5" t="inlineStr">
        <is>
          <t>Park Lane Submittal Table of Contents.xlsx</t>
        </is>
      </c>
    </row>
    <row r="14">
      <c r="B14" s="14" t="n">
        <v>9</v>
      </c>
      <c r="C14" s="5" t="inlineStr">
        <is>
          <t>insurance_type</t>
        </is>
      </c>
      <c r="D14" s="5" t="inlineStr">
        <is>
          <t>Insurance Type</t>
        </is>
      </c>
      <c r="E14" s="14" t="inlineStr">
        <is>
          <t>Wrap (OCIP)</t>
        </is>
      </c>
      <c r="F14" s="14" t="inlineStr">
        <is>
          <t>text</t>
        </is>
      </c>
      <c r="G14" s="14" t="inlineStr">
        <is>
          <t>Benchmark KPIs</t>
        </is>
      </c>
      <c r="H14" s="27" t="inlineStr">
        <is>
          <t>Verified</t>
        </is>
      </c>
      <c r="I14" s="5" t="inlineStr">
        <is>
          <t>Insurance folder</t>
        </is>
      </c>
    </row>
    <row r="15">
      <c r="B15" s="14" t="n">
        <v>10</v>
      </c>
      <c r="C15" s="5" t="inlineStr">
        <is>
          <t>gc_pm</t>
        </is>
      </c>
      <c r="D15" s="5" t="inlineStr">
        <is>
          <t>GC PM</t>
        </is>
      </c>
      <c r="E15" s="14" t="inlineStr">
        <is>
          <t>Compass Harbor PM (TBD)</t>
        </is>
      </c>
      <c r="F15" s="14" t="inlineStr">
        <is>
          <t>text</t>
        </is>
      </c>
      <c r="G15" s="14" t="inlineStr">
        <is>
          <t>Benchmark KPIs</t>
        </is>
      </c>
      <c r="H15" s="27" t="inlineStr">
        <is>
          <t>Verified</t>
        </is>
      </c>
      <c r="I15" s="5" t="inlineStr">
        <is>
          <t>Job Info</t>
        </is>
      </c>
    </row>
    <row r="16">
      <c r="B16" s="14" t="n">
        <v>11</v>
      </c>
      <c r="C16" s="5" t="inlineStr">
        <is>
          <t>gc_sup</t>
        </is>
      </c>
      <c r="D16" s="5" t="inlineStr">
        <is>
          <t>GC Superintendent</t>
        </is>
      </c>
      <c r="E16" s="14" t="inlineStr">
        <is>
          <t>Compass Harbor Sup (TBD)</t>
        </is>
      </c>
      <c r="F16" s="14" t="inlineStr">
        <is>
          <t>text</t>
        </is>
      </c>
      <c r="G16" s="14" t="inlineStr">
        <is>
          <t>Benchmark KPIs</t>
        </is>
      </c>
      <c r="H16" s="27" t="inlineStr">
        <is>
          <t>Verified</t>
        </is>
      </c>
      <c r="I16" s="5" t="inlineStr">
        <is>
          <t>Job Info</t>
        </is>
      </c>
    </row>
    <row r="17">
      <c r="B17" s="14" t="n">
        <v>12</v>
      </c>
      <c r="C17" s="5" t="inlineStr">
        <is>
          <t>gc_pe</t>
        </is>
      </c>
      <c r="D17" s="5" t="inlineStr">
        <is>
          <t>GC PE</t>
        </is>
      </c>
      <c r="E17" s="14" t="inlineStr">
        <is>
          <t>Compass Harbor PE (TBD)</t>
        </is>
      </c>
      <c r="F17" s="14" t="inlineStr">
        <is>
          <t>text</t>
        </is>
      </c>
      <c r="G17" s="14" t="inlineStr">
        <is>
          <t>Benchmark KPIs</t>
        </is>
      </c>
      <c r="H17" s="27" t="inlineStr">
        <is>
          <t>Verified</t>
        </is>
      </c>
      <c r="I17" s="5" t="inlineStr">
        <is>
          <t>Job Info</t>
        </is>
      </c>
    </row>
    <row r="18">
      <c r="B18" s="14" t="n">
        <v>13</v>
      </c>
      <c r="C18" s="5" t="inlineStr">
        <is>
          <t>developer</t>
        </is>
      </c>
      <c r="D18" s="5" t="inlineStr">
        <is>
          <t>Developer</t>
        </is>
      </c>
      <c r="E18" s="14" t="inlineStr">
        <is>
          <t>Compass</t>
        </is>
      </c>
      <c r="F18" s="14" t="inlineStr">
        <is>
          <t>text</t>
        </is>
      </c>
      <c r="G18" s="14" t="inlineStr">
        <is>
          <t>Benchmark KPIs</t>
        </is>
      </c>
      <c r="H18" s="27" t="inlineStr">
        <is>
          <t>Verified</t>
        </is>
      </c>
      <c r="I18" s="5" t="inlineStr">
        <is>
          <t>Job Info</t>
        </is>
      </c>
    </row>
    <row r="19">
      <c r="B19" s="14" t="n">
        <v>14</v>
      </c>
      <c r="C19" s="5" t="inlineStr">
        <is>
          <t>owp_foreman</t>
        </is>
      </c>
      <c r="D19" s="5" t="inlineStr">
        <is>
          <t>OWP RI Foreman</t>
        </is>
      </c>
      <c r="E19" s="14" t="inlineStr">
        <is>
          <t>Thaddeus Waites</t>
        </is>
      </c>
      <c r="F19" s="14" t="inlineStr">
        <is>
          <t>text</t>
        </is>
      </c>
      <c r="G19" s="14" t="inlineStr">
        <is>
          <t>Benchmark KPIs</t>
        </is>
      </c>
      <c r="H19" s="27" t="inlineStr">
        <is>
          <t>Verified</t>
        </is>
      </c>
      <c r="I19" s="5" t="inlineStr">
        <is>
          <t>Schedule</t>
        </is>
      </c>
    </row>
    <row r="20">
      <c r="B20" s="14" t="n">
        <v>15</v>
      </c>
      <c r="C20" s="5" t="inlineStr">
        <is>
          <t>start_date</t>
        </is>
      </c>
      <c r="D20" s="5" t="inlineStr">
        <is>
          <t>Work Start</t>
        </is>
      </c>
      <c r="E20" s="14" t="inlineStr">
        <is>
          <t>2016-09-01</t>
        </is>
      </c>
      <c r="F20" s="14" t="inlineStr">
        <is>
          <t>date</t>
        </is>
      </c>
      <c r="G20" s="14" t="inlineStr">
        <is>
          <t>Benchmark KPIs</t>
        </is>
      </c>
      <c r="H20" s="27" t="inlineStr">
        <is>
          <t>Verified</t>
        </is>
      </c>
      <c r="I20" s="5" t="inlineStr">
        <is>
          <t>2034 Job Detail Report.pdf (Sage Timberline, 04/03/2026, 207 pages)</t>
        </is>
      </c>
    </row>
    <row r="21">
      <c r="B21" s="14" t="n">
        <v>16</v>
      </c>
      <c r="C21" s="5" t="inlineStr">
        <is>
          <t>end_date</t>
        </is>
      </c>
      <c r="D21" s="5" t="inlineStr">
        <is>
          <t>Work End</t>
        </is>
      </c>
      <c r="E21" s="14" t="inlineStr">
        <is>
          <t>2018-11-16</t>
        </is>
      </c>
      <c r="F21" s="14" t="inlineStr">
        <is>
          <t>date</t>
        </is>
      </c>
      <c r="G21" s="14" t="inlineStr">
        <is>
          <t>Benchmark KPIs</t>
        </is>
      </c>
      <c r="H21" s="27" t="inlineStr">
        <is>
          <t>Verified</t>
        </is>
      </c>
      <c r="I21" s="5" t="inlineStr">
        <is>
          <t>2034 Job Detail Report.pdf (Sage Timberline, 04/03/2026, 207 pages)</t>
        </is>
      </c>
    </row>
    <row r="22">
      <c r="B22" s="14" t="n">
        <v>17</v>
      </c>
      <c r="C22" s="5" t="inlineStr">
        <is>
          <t>duration_months</t>
        </is>
      </c>
      <c r="D22" s="5" t="inlineStr">
        <is>
          <t>Duration (months)</t>
        </is>
      </c>
      <c r="E22" s="33" t="n">
        <v>27</v>
      </c>
      <c r="F22" s="14" t="inlineStr">
        <is>
          <t>months</t>
        </is>
      </c>
      <c r="G22" s="14" t="inlineStr">
        <is>
          <t>Benchmark KPIs</t>
        </is>
      </c>
      <c r="H22" s="27" t="inlineStr">
        <is>
          <t>Verified</t>
        </is>
      </c>
      <c r="I22" s="5" t="inlineStr">
        <is>
          <t>Derived</t>
        </is>
      </c>
    </row>
    <row r="23">
      <c r="B23" s="14" t="n">
        <v>18</v>
      </c>
      <c r="C23" s="5" t="inlineStr">
        <is>
          <t>unit_count</t>
        </is>
      </c>
      <c r="D23" s="5" t="inlineStr">
        <is>
          <t>Unit Count</t>
        </is>
      </c>
      <c r="E23" s="37" t="n">
        <v>128</v>
      </c>
      <c r="F23" s="14" t="inlineStr">
        <is>
          <t>units</t>
        </is>
      </c>
      <c r="G23" s="14" t="inlineStr">
        <is>
          <t>Benchmark KPIs</t>
        </is>
      </c>
      <c r="H23" s="27" t="inlineStr">
        <is>
          <t>Verified</t>
        </is>
      </c>
      <c r="I23" s="5" t="inlineStr">
        <is>
          <t>Job Info</t>
        </is>
      </c>
    </row>
    <row r="24">
      <c r="B24" s="14" t="n">
        <v>19</v>
      </c>
      <c r="C24" s="5" t="inlineStr">
        <is>
          <t>contract_original</t>
        </is>
      </c>
      <c r="D24" s="5" t="inlineStr">
        <is>
          <t>Contract Original</t>
        </is>
      </c>
      <c r="E24" s="31" t="n">
        <v>1839000</v>
      </c>
      <c r="F24" s="14" t="inlineStr">
        <is>
          <t>USD</t>
        </is>
      </c>
      <c r="G24" s="14" t="inlineStr">
        <is>
          <t>Benchmark KPIs</t>
        </is>
      </c>
      <c r="H24" s="27" t="inlineStr">
        <is>
          <t>Verified</t>
        </is>
      </c>
      <c r="I24" s="5" t="inlineStr">
        <is>
          <t>Park Lane - PSA - Oneway - Fully Executed.pdf</t>
        </is>
      </c>
    </row>
    <row r="25">
      <c r="B25" s="14" t="n">
        <v>20</v>
      </c>
      <c r="C25" s="5" t="inlineStr">
        <is>
          <t>contract_final</t>
        </is>
      </c>
      <c r="D25" s="5" t="inlineStr">
        <is>
          <t>Contract Final</t>
        </is>
      </c>
      <c r="E25" s="31" t="n">
        <v>1897650.9</v>
      </c>
      <c r="F25" s="14" t="inlineStr">
        <is>
          <t>USD</t>
        </is>
      </c>
      <c r="G25" s="14" t="inlineStr">
        <is>
          <t>Benchmark KPIs</t>
        </is>
      </c>
      <c r="H25" s="27" t="inlineStr">
        <is>
          <t>Verified</t>
        </is>
      </c>
      <c r="I25" s="5" t="inlineStr">
        <is>
          <t>2034 Job Detail Report.pdf (Sage Timberline, 04/03/2026, 207 pages)</t>
        </is>
      </c>
    </row>
    <row r="26">
      <c r="B26" s="14" t="n">
        <v>21</v>
      </c>
      <c r="C26" s="5" t="inlineStr">
        <is>
          <t>change_orders_implied</t>
        </is>
      </c>
      <c r="D26" s="5" t="inlineStr">
        <is>
          <t>COs (implied)</t>
        </is>
      </c>
      <c r="E26" s="31" t="n">
        <v>58650.89999999991</v>
      </c>
      <c r="F26" s="14" t="inlineStr">
        <is>
          <t>USD</t>
        </is>
      </c>
      <c r="G26" s="14" t="inlineStr">
        <is>
          <t>Benchmark KPIs</t>
        </is>
      </c>
      <c r="H26" s="27" t="inlineStr">
        <is>
          <t>Verified</t>
        </is>
      </c>
      <c r="I26" s="5" t="inlineStr">
        <is>
          <t>2034 Job Detail Report.pdf (Sage Timberline, 04/03/2026, 207 pages)</t>
        </is>
      </c>
    </row>
    <row r="27">
      <c r="B27" s="14" t="n">
        <v>22</v>
      </c>
      <c r="C27" s="5" t="inlineStr">
        <is>
          <t>change_orders_documented</t>
        </is>
      </c>
      <c r="D27" s="5" t="inlineStr">
        <is>
          <t>COs (documented)</t>
        </is>
      </c>
      <c r="E27" s="31" t="n">
        <v>58650.9</v>
      </c>
      <c r="F27" s="14" t="inlineStr">
        <is>
          <t>USD</t>
        </is>
      </c>
      <c r="G27" s="14" t="inlineStr">
        <is>
          <t>Benchmark KPIs</t>
        </is>
      </c>
      <c r="H27" s="27" t="inlineStr">
        <is>
          <t>Verified</t>
        </is>
      </c>
      <c r="I27" s="5" t="inlineStr">
        <is>
          <t>BUDGET TRANSFERS folder</t>
        </is>
      </c>
    </row>
    <row r="28">
      <c r="B28" s="14" t="n">
        <v>23</v>
      </c>
      <c r="C28" s="5" t="inlineStr">
        <is>
          <t>co_count</t>
        </is>
      </c>
      <c r="D28" s="5" t="inlineStr">
        <is>
          <t>CO Count</t>
        </is>
      </c>
      <c r="E28" s="37" t="n">
        <v>18</v>
      </c>
      <c r="F28" s="14" t="inlineStr">
        <is>
          <t>count</t>
        </is>
      </c>
      <c r="G28" s="14" t="inlineStr">
        <is>
          <t>Change Log</t>
        </is>
      </c>
      <c r="H28" s="27" t="inlineStr">
        <is>
          <t>Verified</t>
        </is>
      </c>
      <c r="I28" s="5" t="inlineStr">
        <is>
          <t>Change Orders/CO_s/</t>
        </is>
      </c>
    </row>
    <row r="29">
      <c r="B29" s="14" t="n">
        <v>24</v>
      </c>
      <c r="C29" s="5" t="inlineStr">
        <is>
          <t>cor_count</t>
        </is>
      </c>
      <c r="D29" s="5" t="inlineStr">
        <is>
          <t>COR Count</t>
        </is>
      </c>
      <c r="E29" s="37" t="n">
        <v>33</v>
      </c>
      <c r="F29" s="14" t="inlineStr">
        <is>
          <t>count</t>
        </is>
      </c>
      <c r="G29" s="14" t="inlineStr">
        <is>
          <t>Change Log</t>
        </is>
      </c>
      <c r="H29" s="27" t="inlineStr">
        <is>
          <t>Verified</t>
        </is>
      </c>
      <c r="I29" s="5" t="inlineStr">
        <is>
          <t>Change Orders/COR_s/</t>
        </is>
      </c>
    </row>
    <row r="30">
      <c r="B30" s="14" t="n">
        <v>25</v>
      </c>
      <c r="C30" s="5" t="inlineStr">
        <is>
          <t>co_pct</t>
        </is>
      </c>
      <c r="D30" s="5" t="inlineStr">
        <is>
          <t>CO % of Contract</t>
        </is>
      </c>
      <c r="E30" s="32" t="n">
        <v>0.03189282218597059</v>
      </c>
      <c r="F30" s="14" t="inlineStr">
        <is>
          <t>%</t>
        </is>
      </c>
      <c r="G30" s="14" t="inlineStr">
        <is>
          <t>Benchmark KPIs</t>
        </is>
      </c>
      <c r="H30" s="27" t="inlineStr">
        <is>
          <t>Verified</t>
        </is>
      </c>
      <c r="I30" s="5" t="inlineStr">
        <is>
          <t>Derived</t>
        </is>
      </c>
    </row>
    <row r="31">
      <c r="B31" s="14" t="n">
        <v>26</v>
      </c>
      <c r="C31" s="5" t="inlineStr">
        <is>
          <t>revenue</t>
        </is>
      </c>
      <c r="D31" s="5" t="inlineStr">
        <is>
          <t>Revenue</t>
        </is>
      </c>
      <c r="E31" s="31" t="n">
        <v>1897650.9</v>
      </c>
      <c r="F31" s="14" t="inlineStr">
        <is>
          <t>USD</t>
        </is>
      </c>
      <c r="G31" s="14" t="inlineStr">
        <is>
          <t>Benchmark KPIs</t>
        </is>
      </c>
      <c r="H31" s="27" t="inlineStr">
        <is>
          <t>Verified</t>
        </is>
      </c>
      <c r="I31" s="5" t="inlineStr">
        <is>
          <t>2034 Job Detail Report.pdf (Sage Timberline, 04/03/2026, 207 pages)</t>
        </is>
      </c>
    </row>
    <row r="32">
      <c r="B32" s="14" t="n">
        <v>27</v>
      </c>
      <c r="C32" s="5" t="inlineStr">
        <is>
          <t>direct_cost</t>
        </is>
      </c>
      <c r="D32" s="5" t="inlineStr">
        <is>
          <t>Direct Cost</t>
        </is>
      </c>
      <c r="E32" s="31" t="n">
        <v>1281948.22</v>
      </c>
      <c r="F32" s="14" t="inlineStr">
        <is>
          <t>USD</t>
        </is>
      </c>
      <c r="G32" s="14" t="inlineStr">
        <is>
          <t>Benchmark KPIs</t>
        </is>
      </c>
      <c r="H32" s="27" t="inlineStr">
        <is>
          <t>Verified</t>
        </is>
      </c>
      <c r="I32" s="5" t="inlineStr">
        <is>
          <t>2034 Job Detail Report.pdf (Sage Timberline, 04/03/2026, 207 pages)</t>
        </is>
      </c>
    </row>
    <row r="33">
      <c r="B33" s="14" t="n">
        <v>28</v>
      </c>
      <c r="C33" s="5" t="inlineStr">
        <is>
          <t>net_profit</t>
        </is>
      </c>
      <c r="D33" s="5" t="inlineStr">
        <is>
          <t>Net Profit</t>
        </is>
      </c>
      <c r="E33" s="31" t="n">
        <v>615702.6800000001</v>
      </c>
      <c r="F33" s="14" t="inlineStr">
        <is>
          <t>USD</t>
        </is>
      </c>
      <c r="G33" s="14" t="inlineStr">
        <is>
          <t>Benchmark KPIs</t>
        </is>
      </c>
      <c r="H33" s="27" t="inlineStr">
        <is>
          <t>Verified</t>
        </is>
      </c>
      <c r="I33" s="5" t="inlineStr">
        <is>
          <t>2034 Job Detail Report.pdf (Sage Timberline, 04/03/2026, 207 pages)</t>
        </is>
      </c>
    </row>
    <row r="34">
      <c r="B34" s="14" t="n">
        <v>29</v>
      </c>
      <c r="C34" s="5" t="inlineStr">
        <is>
          <t>gross_margin</t>
        </is>
      </c>
      <c r="D34" s="5" t="inlineStr">
        <is>
          <t>Gross Margin</t>
        </is>
      </c>
      <c r="E34" s="32" t="n">
        <v>0.3244551882540672</v>
      </c>
      <c r="F34" s="14" t="inlineStr">
        <is>
          <t>%</t>
        </is>
      </c>
      <c r="G34" s="14" t="inlineStr">
        <is>
          <t>Benchmark KPIs</t>
        </is>
      </c>
      <c r="H34" s="27" t="inlineStr">
        <is>
          <t>Verified</t>
        </is>
      </c>
      <c r="I34" s="5" t="inlineStr">
        <is>
          <t>Derived</t>
        </is>
      </c>
    </row>
    <row r="35">
      <c r="B35" s="14" t="n">
        <v>30</v>
      </c>
      <c r="C35" s="5" t="inlineStr">
        <is>
          <t>retainage</t>
        </is>
      </c>
      <c r="D35" s="5" t="inlineStr">
        <is>
          <t>Retainage Outstanding</t>
        </is>
      </c>
      <c r="E35" s="31" t="n">
        <v>92132.55</v>
      </c>
      <c r="F35" s="14" t="inlineStr">
        <is>
          <t>USD</t>
        </is>
      </c>
      <c r="G35" s="14" t="inlineStr">
        <is>
          <t>Benchmark KPIs</t>
        </is>
      </c>
      <c r="H35" s="27" t="inlineStr">
        <is>
          <t>Verified</t>
        </is>
      </c>
      <c r="I35" s="5" t="inlineStr">
        <is>
          <t>2034 Job Detail Report.pdf (Sage Timberline, 04/03/2026, 207 pages)</t>
        </is>
      </c>
    </row>
    <row r="36">
      <c r="B36" s="14" t="n">
        <v>31</v>
      </c>
      <c r="C36" s="5" t="inlineStr">
        <is>
          <t>retainage_pct</t>
        </is>
      </c>
      <c r="D36" s="5" t="inlineStr">
        <is>
          <t>Retainage % of Revenue</t>
        </is>
      </c>
      <c r="E36" s="32" t="n">
        <v>0.04855084251797841</v>
      </c>
      <c r="F36" s="14" t="inlineStr">
        <is>
          <t>%</t>
        </is>
      </c>
      <c r="G36" s="14" t="inlineStr">
        <is>
          <t>Benchmark KPIs</t>
        </is>
      </c>
      <c r="H36" s="27" t="inlineStr">
        <is>
          <t>Verified</t>
        </is>
      </c>
      <c r="I36" s="5" t="inlineStr">
        <is>
          <t>Derived</t>
        </is>
      </c>
    </row>
    <row r="37">
      <c r="B37" s="14" t="n">
        <v>32</v>
      </c>
      <c r="C37" s="5" t="inlineStr">
        <is>
          <t>labor_cost</t>
        </is>
      </c>
      <c r="D37" s="5" t="inlineStr">
        <is>
          <t>Labor Cost</t>
        </is>
      </c>
      <c r="E37" s="31" t="n">
        <v>539464.25</v>
      </c>
      <c r="F37" s="14" t="inlineStr">
        <is>
          <t>USD</t>
        </is>
      </c>
      <c r="G37" s="14" t="inlineStr">
        <is>
          <t>Benchmark KPIs</t>
        </is>
      </c>
      <c r="H37" s="27" t="inlineStr">
        <is>
          <t>Verified</t>
        </is>
      </c>
      <c r="I37" s="5" t="inlineStr">
        <is>
          <t>2034 Job Detail Report.pdf (Sage Timberline, 04/03/2026, 207 pages)</t>
        </is>
      </c>
    </row>
    <row r="38">
      <c r="B38" s="14" t="n">
        <v>33</v>
      </c>
      <c r="C38" s="5" t="inlineStr">
        <is>
          <t>material_cost</t>
        </is>
      </c>
      <c r="D38" s="5" t="inlineStr">
        <is>
          <t>Material Cost</t>
        </is>
      </c>
      <c r="E38" s="31" t="n">
        <v>419880.1199999999</v>
      </c>
      <c r="F38" s="14" t="inlineStr">
        <is>
          <t>USD</t>
        </is>
      </c>
      <c r="G38" s="14" t="inlineStr">
        <is>
          <t>Benchmark KPIs</t>
        </is>
      </c>
      <c r="H38" s="27" t="inlineStr">
        <is>
          <t>Verified</t>
        </is>
      </c>
      <c r="I38" s="5" t="inlineStr">
        <is>
          <t>2034 Job Detail Report.pdf (Sage Timberline, 04/03/2026, 207 pages)</t>
        </is>
      </c>
    </row>
    <row r="39">
      <c r="B39" s="14" t="n">
        <v>34</v>
      </c>
      <c r="C39" s="5" t="inlineStr">
        <is>
          <t>overhead_cost</t>
        </is>
      </c>
      <c r="D39" s="5" t="inlineStr">
        <is>
          <t>Subcon+OH Cost</t>
        </is>
      </c>
      <c r="E39" s="31" t="n">
        <v>64855.91</v>
      </c>
      <c r="F39" s="14" t="inlineStr">
        <is>
          <t>USD</t>
        </is>
      </c>
      <c r="G39" s="14" t="inlineStr">
        <is>
          <t>Benchmark KPIs</t>
        </is>
      </c>
      <c r="H39" s="27" t="inlineStr">
        <is>
          <t>Verified</t>
        </is>
      </c>
      <c r="I39" s="5" t="inlineStr">
        <is>
          <t>2034 Job Detail Report.pdf (Sage Timberline, 04/03/2026, 207 pages)</t>
        </is>
      </c>
    </row>
    <row r="40">
      <c r="B40" s="14" t="n">
        <v>35</v>
      </c>
      <c r="C40" s="5" t="inlineStr">
        <is>
          <t>burden_cost</t>
        </is>
      </c>
      <c r="D40" s="5" t="inlineStr">
        <is>
          <t>Burden Cost</t>
        </is>
      </c>
      <c r="E40" s="31" t="n">
        <v>216478.44</v>
      </c>
      <c r="F40" s="14" t="inlineStr">
        <is>
          <t>USD</t>
        </is>
      </c>
      <c r="G40" s="14" t="inlineStr">
        <is>
          <t>Benchmark KPIs</t>
        </is>
      </c>
      <c r="H40" s="27" t="inlineStr">
        <is>
          <t>Verified</t>
        </is>
      </c>
      <c r="I40" s="5" t="inlineStr">
        <is>
          <t>2034 Job Detail Report.pdf (Sage Timberline, 04/03/2026, 207 pages)</t>
        </is>
      </c>
    </row>
    <row r="41">
      <c r="B41" s="14" t="n">
        <v>36</v>
      </c>
      <c r="C41" s="5" t="inlineStr">
        <is>
          <t>tax_cost</t>
        </is>
      </c>
      <c r="D41" s="5" t="inlineStr">
        <is>
          <t>Tax Cost</t>
        </is>
      </c>
      <c r="E41" s="31" t="n">
        <v>41269.5</v>
      </c>
      <c r="F41" s="14" t="inlineStr">
        <is>
          <t>USD</t>
        </is>
      </c>
      <c r="G41" s="14" t="inlineStr">
        <is>
          <t>Benchmark KPIs</t>
        </is>
      </c>
      <c r="H41" s="27" t="inlineStr">
        <is>
          <t>Verified</t>
        </is>
      </c>
      <c r="I41" s="5" t="inlineStr">
        <is>
          <t>2034 Job Detail Report.pdf (Sage Timberline, 04/03/2026, 207 pages)</t>
        </is>
      </c>
    </row>
    <row r="42">
      <c r="B42" s="14" t="n">
        <v>37</v>
      </c>
      <c r="C42" s="5" t="inlineStr">
        <is>
          <t>total_hours</t>
        </is>
      </c>
      <c r="D42" s="5" t="inlineStr">
        <is>
          <t>Total Labor Hours</t>
        </is>
      </c>
      <c r="E42" s="33" t="n">
        <v>21637.75</v>
      </c>
      <c r="F42" s="14" t="inlineStr">
        <is>
          <t>hours</t>
        </is>
      </c>
      <c r="G42" s="14" t="inlineStr">
        <is>
          <t>Benchmark KPIs</t>
        </is>
      </c>
      <c r="H42" s="27" t="inlineStr">
        <is>
          <t>Verified</t>
        </is>
      </c>
      <c r="I42" s="5" t="inlineStr">
        <is>
          <t>2034 Job Detail Report.pdf (Sage Timberline, 04/03/2026, 207 pages)</t>
        </is>
      </c>
    </row>
    <row r="43">
      <c r="B43" s="14" t="n">
        <v>38</v>
      </c>
      <c r="C43" s="5" t="inlineStr">
        <is>
          <t>total_workers</t>
        </is>
      </c>
      <c r="D43" s="5" t="inlineStr">
        <is>
          <t>Total Workers</t>
        </is>
      </c>
      <c r="E43" s="37" t="n">
        <v>45</v>
      </c>
      <c r="F43" s="14" t="inlineStr">
        <is>
          <t>count</t>
        </is>
      </c>
      <c r="G43" s="14" t="inlineStr">
        <is>
          <t>Benchmark KPIs</t>
        </is>
      </c>
      <c r="H43" s="27" t="inlineStr">
        <is>
          <t>Verified</t>
        </is>
      </c>
      <c r="I43" s="5" t="inlineStr">
        <is>
          <t>2034 Job Detail Report.pdf (Sage Timberline, 04/03/2026, 207 pages)</t>
        </is>
      </c>
    </row>
    <row r="44">
      <c r="B44" s="14" t="n">
        <v>39</v>
      </c>
      <c r="C44" s="5" t="inlineStr">
        <is>
          <t>blended_gross_wage</t>
        </is>
      </c>
      <c r="D44" s="5" t="inlineStr">
        <is>
          <t>Blended Gross Wage</t>
        </is>
      </c>
      <c r="E44" s="31" t="n">
        <v>24.93162412912618</v>
      </c>
      <c r="F44" s="14" t="inlineStr">
        <is>
          <t>USD/hr</t>
        </is>
      </c>
      <c r="G44" s="14" t="inlineStr">
        <is>
          <t>Benchmark KPIs</t>
        </is>
      </c>
      <c r="H44" s="27" t="inlineStr">
        <is>
          <t>Verified</t>
        </is>
      </c>
      <c r="I44" s="5" t="inlineStr">
        <is>
          <t>Derived</t>
        </is>
      </c>
    </row>
    <row r="45">
      <c r="B45" s="14" t="n">
        <v>40</v>
      </c>
      <c r="C45" s="5" t="inlineStr">
        <is>
          <t>fully_loaded_wage</t>
        </is>
      </c>
      <c r="D45" s="5" t="inlineStr">
        <is>
          <t>Fully-Loaded Wage</t>
        </is>
      </c>
      <c r="E45" s="31" t="n">
        <v>36.84358077896269</v>
      </c>
      <c r="F45" s="14" t="inlineStr">
        <is>
          <t>USD/hr</t>
        </is>
      </c>
      <c r="G45" s="14" t="inlineStr">
        <is>
          <t>Benchmark KPIs</t>
        </is>
      </c>
      <c r="H45" s="27" t="inlineStr">
        <is>
          <t>Verified</t>
        </is>
      </c>
      <c r="I45" s="5" t="inlineStr">
        <is>
          <t>Derived</t>
        </is>
      </c>
    </row>
    <row r="46">
      <c r="B46" s="14" t="n">
        <v>41</v>
      </c>
      <c r="C46" s="5" t="inlineStr">
        <is>
          <t>burden_multiplier</t>
        </is>
      </c>
      <c r="D46" s="5" t="inlineStr">
        <is>
          <t>Burden Multiplier</t>
        </is>
      </c>
      <c r="E46" s="34" t="n">
        <v>1.477785024679578</v>
      </c>
      <c r="F46" s="14" t="inlineStr">
        <is>
          <t>x</t>
        </is>
      </c>
      <c r="G46" s="14" t="inlineStr">
        <is>
          <t>Benchmark KPIs</t>
        </is>
      </c>
      <c r="H46" s="27" t="inlineStr">
        <is>
          <t>Verified</t>
        </is>
      </c>
      <c r="I46" s="5" t="inlineStr">
        <is>
          <t>Derived</t>
        </is>
      </c>
    </row>
    <row r="47">
      <c r="B47" s="14" t="n">
        <v>42</v>
      </c>
      <c r="C47" s="5" t="inlineStr">
        <is>
          <t>revenue_per_hour</t>
        </is>
      </c>
      <c r="D47" s="5" t="inlineStr">
        <is>
          <t>Revenue per Hour</t>
        </is>
      </c>
      <c r="E47" s="31" t="n">
        <v>87.70093470901548</v>
      </c>
      <c r="F47" s="14" t="inlineStr">
        <is>
          <t>USD/hr</t>
        </is>
      </c>
      <c r="G47" s="14" t="inlineStr">
        <is>
          <t>Benchmark KPIs</t>
        </is>
      </c>
      <c r="H47" s="27" t="inlineStr">
        <is>
          <t>Verified</t>
        </is>
      </c>
      <c r="I47" s="5" t="inlineStr">
        <is>
          <t>Derived</t>
        </is>
      </c>
    </row>
    <row r="48">
      <c r="B48" s="14" t="n">
        <v>43</v>
      </c>
      <c r="C48" s="5" t="inlineStr">
        <is>
          <t>profit_per_hour</t>
        </is>
      </c>
      <c r="D48" s="5" t="inlineStr">
        <is>
          <t>Profit per Hour</t>
        </is>
      </c>
      <c r="E48" s="31" t="n">
        <v>28.45502328107128</v>
      </c>
      <c r="F48" s="14" t="inlineStr">
        <is>
          <t>USD/hr</t>
        </is>
      </c>
      <c r="G48" s="14" t="inlineStr">
        <is>
          <t>Benchmark KPIs</t>
        </is>
      </c>
      <c r="H48" s="27" t="inlineStr">
        <is>
          <t>Verified</t>
        </is>
      </c>
      <c r="I48" s="5" t="inlineStr">
        <is>
          <t>Derived</t>
        </is>
      </c>
    </row>
    <row r="49">
      <c r="B49" s="14" t="n">
        <v>44</v>
      </c>
      <c r="C49" s="5" t="inlineStr">
        <is>
          <t>revenue_per_unit</t>
        </is>
      </c>
      <c r="D49" s="5" t="inlineStr">
        <is>
          <t>Revenue per Unit</t>
        </is>
      </c>
      <c r="E49" s="31" t="n">
        <v>14825.39765625</v>
      </c>
      <c r="F49" s="14" t="inlineStr">
        <is>
          <t>USD</t>
        </is>
      </c>
      <c r="G49" s="14" t="inlineStr">
        <is>
          <t>Benchmark KPIs</t>
        </is>
      </c>
      <c r="H49" s="27" t="inlineStr">
        <is>
          <t>Verified</t>
        </is>
      </c>
      <c r="I49" s="5" t="inlineStr">
        <is>
          <t>Derived</t>
        </is>
      </c>
    </row>
    <row r="50">
      <c r="B50" s="14" t="n">
        <v>45</v>
      </c>
      <c r="C50" s="5" t="inlineStr">
        <is>
          <t>cost_per_unit</t>
        </is>
      </c>
      <c r="D50" s="5" t="inlineStr">
        <is>
          <t>Direct Cost per Unit</t>
        </is>
      </c>
      <c r="E50" s="31" t="n">
        <v>10015.22046875</v>
      </c>
      <c r="F50" s="14" t="inlineStr">
        <is>
          <t>USD</t>
        </is>
      </c>
      <c r="G50" s="14" t="inlineStr">
        <is>
          <t>Benchmark KPIs</t>
        </is>
      </c>
      <c r="H50" s="27" t="inlineStr">
        <is>
          <t>Verified</t>
        </is>
      </c>
      <c r="I50" s="5" t="inlineStr">
        <is>
          <t>Derived</t>
        </is>
      </c>
    </row>
    <row r="51">
      <c r="B51" s="14" t="n">
        <v>46</v>
      </c>
      <c r="C51" s="5" t="inlineStr">
        <is>
          <t>hours_per_unit</t>
        </is>
      </c>
      <c r="D51" s="5" t="inlineStr">
        <is>
          <t>Labor Hours per Unit</t>
        </is>
      </c>
      <c r="E51" s="33" t="n">
        <v>169.044921875</v>
      </c>
      <c r="F51" s="14" t="inlineStr">
        <is>
          <t>hours</t>
        </is>
      </c>
      <c r="G51" s="14" t="inlineStr">
        <is>
          <t>Benchmark KPIs</t>
        </is>
      </c>
      <c r="H51" s="27" t="inlineStr">
        <is>
          <t>Verified</t>
        </is>
      </c>
      <c r="I51" s="5" t="inlineStr">
        <is>
          <t>Derived</t>
        </is>
      </c>
    </row>
    <row r="52">
      <c r="B52" s="14" t="n">
        <v>47</v>
      </c>
      <c r="C52" s="5" t="inlineStr">
        <is>
          <t>labor_pct_revenue</t>
        </is>
      </c>
      <c r="D52" s="5" t="inlineStr">
        <is>
          <t>Labor % of Revenue</t>
        </is>
      </c>
      <c r="E52" s="32" t="n">
        <v>0.2842800274802916</v>
      </c>
      <c r="F52" s="14" t="inlineStr">
        <is>
          <t>%</t>
        </is>
      </c>
      <c r="G52" s="14" t="inlineStr">
        <is>
          <t>Benchmark KPIs</t>
        </is>
      </c>
      <c r="H52" s="27" t="inlineStr">
        <is>
          <t>Verified</t>
        </is>
      </c>
      <c r="I52" s="5" t="inlineStr">
        <is>
          <t>Derived</t>
        </is>
      </c>
    </row>
    <row r="53">
      <c r="B53" s="14" t="n">
        <v>48</v>
      </c>
      <c r="C53" s="5" t="inlineStr">
        <is>
          <t>material_pct_revenue</t>
        </is>
      </c>
      <c r="D53" s="5" t="inlineStr">
        <is>
          <t>Material % of Revenue</t>
        </is>
      </c>
      <c r="E53" s="32" t="n">
        <v>0.2212630995511345</v>
      </c>
      <c r="F53" s="14" t="inlineStr">
        <is>
          <t>%</t>
        </is>
      </c>
      <c r="G53" s="14" t="inlineStr">
        <is>
          <t>Benchmark KPIs</t>
        </is>
      </c>
      <c r="H53" s="27" t="inlineStr">
        <is>
          <t>Verified</t>
        </is>
      </c>
      <c r="I53" s="5" t="inlineStr">
        <is>
          <t>Derived</t>
        </is>
      </c>
    </row>
    <row r="54">
      <c r="B54" s="14" t="n">
        <v>49</v>
      </c>
      <c r="C54" s="5" t="inlineStr">
        <is>
          <t>total_vendors</t>
        </is>
      </c>
      <c r="D54" s="5" t="inlineStr">
        <is>
          <t>Total Vendors (AP)</t>
        </is>
      </c>
      <c r="E54" s="37" t="n">
        <v>24</v>
      </c>
      <c r="F54" s="14" t="inlineStr">
        <is>
          <t>count</t>
        </is>
      </c>
      <c r="G54" s="14" t="inlineStr">
        <is>
          <t>Vendors</t>
        </is>
      </c>
      <c r="H54" s="27" t="inlineStr">
        <is>
          <t>Verified</t>
        </is>
      </c>
      <c r="I54" s="5" t="inlineStr">
        <is>
          <t>2034 Job Detail Report.pdf (Sage Timberline, 04/03/2026, 207 pages)</t>
        </is>
      </c>
    </row>
    <row r="55">
      <c r="B55" s="14" t="n">
        <v>50</v>
      </c>
      <c r="C55" s="5" t="inlineStr">
        <is>
          <t>total_invoices</t>
        </is>
      </c>
      <c r="D55" s="5" t="inlineStr">
        <is>
          <t>Total Invoices (AR)</t>
        </is>
      </c>
      <c r="E55" s="37" t="n">
        <v>30</v>
      </c>
      <c r="F55" s="14" t="inlineStr">
        <is>
          <t>count</t>
        </is>
      </c>
      <c r="G55" s="14" t="inlineStr">
        <is>
          <t>Billing &amp; SOV</t>
        </is>
      </c>
      <c r="H55" s="27" t="inlineStr">
        <is>
          <t>Verified</t>
        </is>
      </c>
      <c r="I55" s="5" t="inlineStr">
        <is>
          <t>2034 Job Detail Report.pdf (Sage Timberline, 04/03/2026, 207 pages)</t>
        </is>
      </c>
    </row>
    <row r="56">
      <c r="B56" s="14" t="n">
        <v>51</v>
      </c>
      <c r="C56" s="5" t="inlineStr">
        <is>
          <t>rfi_count</t>
        </is>
      </c>
      <c r="D56" s="5" t="inlineStr">
        <is>
          <t>ASI-RFI Count</t>
        </is>
      </c>
      <c r="E56" s="37" t="n">
        <v>59</v>
      </c>
      <c r="F56" s="14" t="inlineStr">
        <is>
          <t>count</t>
        </is>
      </c>
      <c r="G56" s="14" t="inlineStr">
        <is>
          <t>Change Log</t>
        </is>
      </c>
      <c r="H56" s="27" t="inlineStr">
        <is>
          <t>Verified</t>
        </is>
      </c>
      <c r="I56" s="5" t="inlineStr">
        <is>
          <t>ASI-RFI folder</t>
        </is>
      </c>
    </row>
    <row r="57">
      <c r="B57" s="14" t="n">
        <v>52</v>
      </c>
      <c r="C57" s="5" t="inlineStr">
        <is>
          <t>submittal_count</t>
        </is>
      </c>
      <c r="D57" s="5" t="inlineStr">
        <is>
          <t>Submittal Count</t>
        </is>
      </c>
      <c r="E57" s="37" t="n">
        <v>22</v>
      </c>
      <c r="F57" s="14" t="inlineStr">
        <is>
          <t>count</t>
        </is>
      </c>
      <c r="G57" s="14" t="inlineStr">
        <is>
          <t>Change Log</t>
        </is>
      </c>
      <c r="H57" s="27" t="inlineStr">
        <is>
          <t>Verified</t>
        </is>
      </c>
      <c r="I57" s="5" t="inlineStr">
        <is>
          <t>Submittals</t>
        </is>
      </c>
    </row>
    <row r="58">
      <c r="B58" s="14" t="n">
        <v>53</v>
      </c>
      <c r="C58" s="5" t="inlineStr">
        <is>
          <t>permit_count</t>
        </is>
      </c>
      <c r="D58" s="5" t="inlineStr">
        <is>
          <t>Permit Count</t>
        </is>
      </c>
      <c r="E58" s="37" t="n">
        <v>10</v>
      </c>
      <c r="F58" s="14" t="inlineStr">
        <is>
          <t>count</t>
        </is>
      </c>
      <c r="G58" s="14" t="inlineStr">
        <is>
          <t>Change Log</t>
        </is>
      </c>
      <c r="H58" s="27" t="inlineStr">
        <is>
          <t>Verified</t>
        </is>
      </c>
      <c r="I58" s="5" t="inlineStr">
        <is>
          <t>Permits</t>
        </is>
      </c>
    </row>
    <row r="59">
      <c r="B59" s="14" t="n">
        <v>54</v>
      </c>
      <c r="C59" s="5" t="inlineStr">
        <is>
          <t>po_count</t>
        </is>
      </c>
      <c r="D59" s="5" t="inlineStr">
        <is>
          <t>PO Count</t>
        </is>
      </c>
      <c r="E59" s="37" t="n">
        <v>231</v>
      </c>
      <c r="F59" s="14" t="inlineStr">
        <is>
          <t>count</t>
        </is>
      </c>
      <c r="G59" s="14" t="inlineStr">
        <is>
          <t>Change Log</t>
        </is>
      </c>
      <c r="H59" s="27" t="inlineStr">
        <is>
          <t>Verified</t>
        </is>
      </c>
      <c r="I59" s="5" t="inlineStr">
        <is>
          <t>POs</t>
        </is>
      </c>
    </row>
    <row r="60">
      <c r="B60" s="14" t="n">
        <v>55</v>
      </c>
      <c r="C60" s="5" t="inlineStr">
        <is>
          <t>photo_count</t>
        </is>
      </c>
      <c r="D60" s="5" t="inlineStr">
        <is>
          <t>Photo Count</t>
        </is>
      </c>
      <c r="E60" s="37" t="n">
        <v>503</v>
      </c>
      <c r="F60" s="14" t="inlineStr">
        <is>
          <t>count</t>
        </is>
      </c>
      <c r="G60" s="14" t="inlineStr">
        <is>
          <t>—</t>
        </is>
      </c>
      <c r="H60" s="27" t="inlineStr">
        <is>
          <t>Verified</t>
        </is>
      </c>
      <c r="I60" s="5" t="inlineStr">
        <is>
          <t>Photos</t>
        </is>
      </c>
    </row>
    <row r="61">
      <c r="B61" s="14" t="n">
        <v>56</v>
      </c>
      <c r="C61" s="5" t="inlineStr">
        <is>
          <t>top_worker_hours_share</t>
        </is>
      </c>
      <c r="D61" s="5" t="inlineStr">
        <is>
          <t>Top Worker Hours Share</t>
        </is>
      </c>
      <c r="E61" s="32" t="n">
        <v>0.09208443576619565</v>
      </c>
      <c r="F61" s="14" t="inlineStr">
        <is>
          <t>%</t>
        </is>
      </c>
      <c r="G61" s="14" t="inlineStr">
        <is>
          <t>Crew Analytics</t>
        </is>
      </c>
      <c r="H61" s="27" t="inlineStr">
        <is>
          <t>Verified</t>
        </is>
      </c>
      <c r="I61" s="5" t="inlineStr">
        <is>
          <t>Derived</t>
        </is>
      </c>
    </row>
    <row r="62">
      <c r="B62" s="14" t="n">
        <v>57</v>
      </c>
      <c r="C62" s="5" t="inlineStr">
        <is>
          <t>top5_worker_hours_share</t>
        </is>
      </c>
      <c r="D62" s="5" t="inlineStr">
        <is>
          <t>Top 5 Worker Hours Share</t>
        </is>
      </c>
      <c r="E62" s="32" t="n">
        <v>0.3722660627837922</v>
      </c>
      <c r="F62" s="14" t="inlineStr">
        <is>
          <t>%</t>
        </is>
      </c>
      <c r="G62" s="14" t="inlineStr">
        <is>
          <t>Crew Analytics</t>
        </is>
      </c>
      <c r="H62" s="27" t="inlineStr">
        <is>
          <t>Verified</t>
        </is>
      </c>
      <c r="I62" s="5" t="inlineStr">
        <is>
          <t>Derived</t>
        </is>
      </c>
    </row>
    <row r="63">
      <c r="B63" s="14" t="n">
        <v>58</v>
      </c>
      <c r="C63" s="5" t="inlineStr">
        <is>
          <t>cost_code_count</t>
        </is>
      </c>
      <c r="D63" s="5" t="inlineStr">
        <is>
          <t>Cost Codes Active</t>
        </is>
      </c>
      <c r="E63" s="37" t="n">
        <v>28</v>
      </c>
      <c r="F63" s="14" t="inlineStr">
        <is>
          <t>count</t>
        </is>
      </c>
      <c r="G63" s="14" t="inlineStr">
        <is>
          <t>Budget vs Actual</t>
        </is>
      </c>
      <c r="H63" s="27" t="inlineStr">
        <is>
          <t>Verified</t>
        </is>
      </c>
      <c r="I63" s="5" t="inlineStr">
        <is>
          <t>2034 Job Detail Report.pdf (Sage Timberline, 04/03/2026, 207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4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48" customWidth="1" min="3" max="3"/>
    <col width="20" customWidth="1" min="4" max="4"/>
    <col width="20" customWidth="1" min="5" max="5"/>
    <col width="14" customWidth="1" min="6" max="6"/>
    <col width="12" customWidth="1" min="7" max="7"/>
    <col width="22" customWidth="1" min="8" max="8"/>
  </cols>
  <sheetData>
    <row r="2" ht="28" customHeight="1">
      <c r="B2" s="1" t="inlineStr">
        <is>
          <t>Reconciliation</t>
        </is>
      </c>
    </row>
    <row r="3">
      <c r="B3" s="2" t="inlineStr">
        <is>
          <t>Cross-sheet formula checks</t>
        </is>
      </c>
    </row>
    <row r="5">
      <c r="B5" s="13" t="inlineStr">
        <is>
          <t>#</t>
        </is>
      </c>
      <c r="C5" s="13" t="inlineStr">
        <is>
          <t>Check</t>
        </is>
      </c>
      <c r="D5" s="13" t="inlineStr">
        <is>
          <t>Value A</t>
        </is>
      </c>
      <c r="E5" s="13" t="inlineStr">
        <is>
          <t>Value B</t>
        </is>
      </c>
      <c r="F5" s="13" t="inlineStr">
        <is>
          <t>Delta</t>
        </is>
      </c>
      <c r="G5" s="13" t="inlineStr">
        <is>
          <t>Status</t>
        </is>
      </c>
      <c r="H5" s="13" t="inlineStr">
        <is>
          <t>Tabs</t>
        </is>
      </c>
    </row>
    <row r="6">
      <c r="B6" s="14" t="n">
        <v>1</v>
      </c>
      <c r="C6" s="5" t="inlineStr">
        <is>
          <t>Revenue (JDR) = Contract Final</t>
        </is>
      </c>
      <c r="D6" s="20" t="n">
        <v>1897650.9</v>
      </c>
      <c r="E6" s="20" t="n">
        <v>1897650.9</v>
      </c>
      <c r="F6" s="15">
        <f>D6-E6</f>
        <v/>
      </c>
      <c r="G6" s="14">
        <f>IF(ABS(F6)&lt;=1,"TIES",IF(ABS(F6)&lt;=ABS(E6)*0.05,"WITHIN","OFF"))</f>
        <v/>
      </c>
      <c r="H6" s="38" t="inlineStr">
        <is>
          <t>1↔8</t>
        </is>
      </c>
    </row>
    <row r="7">
      <c r="B7" s="14" t="n">
        <v>2</v>
      </c>
      <c r="C7" s="5" t="inlineStr">
        <is>
          <t>Expenses = Labor+Material+OH+Burden+Tax</t>
        </is>
      </c>
      <c r="D7" s="20" t="n">
        <v>1281948.22</v>
      </c>
      <c r="E7" s="20" t="n">
        <v>1281948.22</v>
      </c>
      <c r="F7" s="15">
        <f>D7-E7</f>
        <v/>
      </c>
      <c r="G7" s="14">
        <f>IF(ABS(F7)&lt;=1,"TIES",IF(ABS(F7)&lt;=ABS(E7)*0.05,"WITHIN","OFF"))</f>
        <v/>
      </c>
      <c r="H7" s="38" t="inlineStr">
        <is>
          <t>1↔3</t>
        </is>
      </c>
    </row>
    <row r="8">
      <c r="B8" s="14" t="n">
        <v>3</v>
      </c>
      <c r="C8" s="5" t="inlineStr">
        <is>
          <t>Net Profit = Revenue - Expenses</t>
        </is>
      </c>
      <c r="D8" s="20" t="n">
        <v>615702.6800000001</v>
      </c>
      <c r="E8" s="20" t="n">
        <v>615702.6799999999</v>
      </c>
      <c r="F8" s="15">
        <f>D8-E8</f>
        <v/>
      </c>
      <c r="G8" s="14">
        <f>IF(ABS(F8)&lt;=1,"TIES",IF(ABS(F8)&lt;=ABS(E8)*0.05,"WITHIN","OFF"))</f>
        <v/>
      </c>
      <c r="H8" s="38" t="inlineStr">
        <is>
          <t>1↔Derived</t>
        </is>
      </c>
    </row>
    <row r="9">
      <c r="B9" s="14" t="n">
        <v>4</v>
      </c>
      <c r="C9" s="5" t="inlineStr">
        <is>
          <t>JDR Source: AP+PR+GL = Expenses</t>
        </is>
      </c>
      <c r="D9" s="20" t="n">
        <v>1281948.22</v>
      </c>
      <c r="E9" s="20" t="n">
        <v>1281948.22</v>
      </c>
      <c r="F9" s="15">
        <f>D9-E9</f>
        <v/>
      </c>
      <c r="G9" s="14">
        <f>IF(ABS(F9)&lt;=1,"TIES",IF(ABS(F9)&lt;=ABS(E9)*0.05,"WITHIN","OFF"))</f>
        <v/>
      </c>
      <c r="H9" s="38" t="inlineStr">
        <is>
          <t>1↔Derived (footer)</t>
        </is>
      </c>
    </row>
    <row r="10">
      <c r="B10" s="14" t="n">
        <v>5</v>
      </c>
      <c r="C10" s="5" t="inlineStr">
        <is>
          <t>Budget vs Actual (code 999) = -Revenue</t>
        </is>
      </c>
      <c r="D10" s="20" t="n">
        <v>1897650.9</v>
      </c>
      <c r="E10" s="20" t="n">
        <v>1897650.9</v>
      </c>
      <c r="F10" s="15">
        <f>D10-E10</f>
        <v/>
      </c>
      <c r="G10" s="14">
        <f>IF(ABS(F10)&lt;=1,"TIES",IF(ABS(F10)&lt;=ABS(E10)*0.05,"WITHIN","OFF"))</f>
        <v/>
      </c>
      <c r="H10" s="38" t="inlineStr">
        <is>
          <t>2↔1</t>
        </is>
      </c>
    </row>
    <row r="11">
      <c r="B11" s="14" t="n">
        <v>6</v>
      </c>
      <c r="C11" s="5" t="inlineStr">
        <is>
          <t>Total Labor Hours = Worker hours sum</t>
        </is>
      </c>
      <c r="D11" s="20" t="n">
        <v>21637.75</v>
      </c>
      <c r="E11" s="20" t="n">
        <v>21775.75</v>
      </c>
      <c r="F11" s="15">
        <f>D11-E11</f>
        <v/>
      </c>
      <c r="G11" s="14">
        <f>IF(ABS(F11)&lt;=1,"TIES",IF(ABS(F11)&lt;=ABS(E11)*0.05,"WITHIN","OFF"))</f>
        <v/>
      </c>
      <c r="H11" s="38" t="inlineStr">
        <is>
          <t>5↔2</t>
        </is>
      </c>
    </row>
    <row r="12">
      <c r="B12" s="14" t="n">
        <v>7</v>
      </c>
      <c r="C12" s="5" t="inlineStr">
        <is>
          <t>Labor Cost ≈ Worker gross sum</t>
        </is>
      </c>
      <c r="D12" s="20" t="n">
        <v>539464.25</v>
      </c>
      <c r="E12" s="20" t="n">
        <v>538458.5</v>
      </c>
      <c r="F12" s="15">
        <f>D12-E12</f>
        <v/>
      </c>
      <c r="G12" s="14">
        <f>IF(ABS(F12)&lt;=1,"TIES",IF(ABS(F12)&lt;=ABS(E12)*0.05,"WITHIN","OFF"))</f>
        <v/>
      </c>
      <c r="H12" s="38" t="inlineStr">
        <is>
          <t>5↔3</t>
        </is>
      </c>
    </row>
    <row r="13">
      <c r="B13" s="14" t="n">
        <v>8</v>
      </c>
      <c r="C13" s="5" t="inlineStr">
        <is>
          <t>Vendor total ≈ AP footer</t>
        </is>
      </c>
      <c r="D13" s="20" t="n">
        <v>407866.1200000001</v>
      </c>
      <c r="E13" s="20" t="n">
        <v>407866.12</v>
      </c>
      <c r="F13" s="15">
        <f>D13-E13</f>
        <v/>
      </c>
      <c r="G13" s="14">
        <f>IF(ABS(F13)&lt;=1,"TIES",IF(ABS(F13)&lt;=ABS(E13)*0.05,"WITHIN","OFF"))</f>
        <v/>
      </c>
      <c r="H13" s="38" t="inlineStr">
        <is>
          <t>12↔1 (approximate)</t>
        </is>
      </c>
    </row>
    <row r="14">
      <c r="B14" s="14" t="n">
        <v>9</v>
      </c>
      <c r="C14" s="5" t="inlineStr">
        <is>
          <t>Invoice count</t>
        </is>
      </c>
      <c r="D14" s="39" t="n">
        <v>30</v>
      </c>
      <c r="E14" s="39" t="n">
        <v>30</v>
      </c>
      <c r="F14" s="15">
        <f>D14-E14</f>
        <v/>
      </c>
      <c r="G14" s="14">
        <f>IF(ABS(F14)&lt;=1,"TIES",IF(ABS(F14)&lt;=ABS(E14)*0.05,"WITHIN","OFF"))</f>
        <v/>
      </c>
      <c r="H14" s="38" t="inlineStr">
        <is>
          <t>9↔1</t>
        </is>
      </c>
    </row>
    <row r="15">
      <c r="B15" s="14" t="n">
        <v>10</v>
      </c>
      <c r="C15" s="5" t="inlineStr">
        <is>
          <t>Contract Final - Orig = CO implied</t>
        </is>
      </c>
      <c r="D15" s="20" t="n">
        <v>58650.89999999991</v>
      </c>
      <c r="E15" s="20" t="n">
        <v>58650.89999999991</v>
      </c>
      <c r="F15" s="15">
        <f>D15-E15</f>
        <v/>
      </c>
      <c r="G15" s="14">
        <f>IF(ABS(F15)&lt;=1,"TIES",IF(ABS(F15)&lt;=ABS(E15)*0.05,"WITHIN","OFF"))</f>
        <v/>
      </c>
      <c r="H15" s="38" t="inlineStr">
        <is>
          <t>11↔Derived</t>
        </is>
      </c>
    </row>
    <row r="16">
      <c r="B16" s="14" t="n">
        <v>11</v>
      </c>
      <c r="C16" s="5" t="inlineStr">
        <is>
          <t>CO implied vs documented (match)</t>
        </is>
      </c>
      <c r="D16" s="20" t="n">
        <v>58650.89999999991</v>
      </c>
      <c r="E16" s="20" t="n">
        <v>58650.9</v>
      </c>
      <c r="F16" s="15">
        <f>D16-E16</f>
        <v/>
      </c>
      <c r="G16" s="14">
        <f>IF(ABS(F16)&lt;=1,"TIES",IF(ABS(F16)&lt;=ABS(E16)*0.05,"WITHIN","OFF"))</f>
        <v/>
      </c>
      <c r="H16" s="38" t="inlineStr">
        <is>
          <t>Perfect reconciliation</t>
        </is>
      </c>
    </row>
    <row r="17">
      <c r="B17" s="14" t="n">
        <v>12</v>
      </c>
      <c r="C17" s="5" t="inlineStr">
        <is>
          <t>Retainage outstanding</t>
        </is>
      </c>
      <c r="D17" s="20" t="n">
        <v>92132.55</v>
      </c>
      <c r="E17" s="20" t="n">
        <v>92132.55</v>
      </c>
      <c r="F17" s="15">
        <f>D17-E17</f>
        <v/>
      </c>
      <c r="G17" s="14">
        <f>IF(ABS(F17)&lt;=1,"TIES",IF(ABS(F17)&lt;=ABS(E17)*0.05,"WITHIN","OFF"))</f>
        <v/>
      </c>
      <c r="H17" s="38" t="inlineStr">
        <is>
          <t>9↔JDR footer</t>
        </is>
      </c>
    </row>
    <row r="18">
      <c r="B18" s="14" t="n">
        <v>13</v>
      </c>
      <c r="C18" s="5" t="inlineStr">
        <is>
          <t>Worker count</t>
        </is>
      </c>
      <c r="D18" s="39" t="n">
        <v>45</v>
      </c>
      <c r="E18" s="39" t="n">
        <v>45</v>
      </c>
      <c r="F18" s="15">
        <f>D18-E18</f>
        <v/>
      </c>
      <c r="G18" s="14">
        <f>IF(ABS(F18)&lt;=1,"TIES",IF(ABS(F18)&lt;=ABS(E18)*0.05,"WITHIN","OFF"))</f>
        <v/>
      </c>
      <c r="H18" s="38" t="inlineStr">
        <is>
          <t>5↔1</t>
        </is>
      </c>
    </row>
    <row r="19">
      <c r="B19" s="14" t="n">
        <v>14</v>
      </c>
      <c r="C19" s="5" t="inlineStr">
        <is>
          <t>Cost code count</t>
        </is>
      </c>
      <c r="D19" s="39" t="n">
        <v>28</v>
      </c>
      <c r="E19" s="39" t="n">
        <v>28</v>
      </c>
      <c r="F19" s="15">
        <f>D19-E19</f>
        <v/>
      </c>
      <c r="G19" s="14">
        <f>IF(ABS(F19)&lt;=1,"TIES",IF(ABS(F19)&lt;=ABS(E19)*0.05,"WITHIN","OFF"))</f>
        <v/>
      </c>
      <c r="H19" s="38" t="inlineStr">
        <is>
          <t>2↔16</t>
        </is>
      </c>
    </row>
    <row r="22">
      <c r="B22" s="40" t="inlineStr">
        <is>
          <t>SOURCES</t>
        </is>
      </c>
      <c r="C22" s="41" t="n"/>
      <c r="D22" s="41" t="n"/>
      <c r="E22" s="41" t="n"/>
      <c r="F22" s="41" t="n"/>
      <c r="G22" s="41" t="n"/>
      <c r="H22" s="41" t="n"/>
    </row>
    <row r="23">
      <c r="B23" s="8" t="inlineStr">
        <is>
          <t>Job #2034 — Cortex v2 17-tab (built from-scratch)</t>
        </is>
      </c>
      <c r="C23" s="6" t="n"/>
      <c r="D23" s="6" t="n"/>
      <c r="E23" s="6" t="n"/>
      <c r="F23" s="6" t="n"/>
      <c r="G23" s="6" t="n"/>
      <c r="H23" s="7" t="n"/>
    </row>
    <row r="24">
      <c r="B24" s="8" t="inlineStr">
        <is>
          <t>Canonical financial source: 2034 Job Detail Report.pdf (Sage Timberline, 04/03/2026, 207 pages)</t>
        </is>
      </c>
      <c r="C24" s="6" t="n"/>
      <c r="D24" s="6" t="n"/>
      <c r="E24" s="6" t="n"/>
      <c r="F24" s="6" t="n"/>
      <c r="G24" s="6" t="n"/>
      <c r="H24" s="7" t="n"/>
    </row>
    <row r="25">
      <c r="B25" s="8" t="inlineStr">
        <is>
          <t>JDR Job Totals: Revenue $1,897,650.90 / Expenses $1,281,948.22 / Net $615,702.68 / Retainage $92,132.55</t>
        </is>
      </c>
      <c r="C25" s="6" t="n"/>
      <c r="D25" s="6" t="n"/>
      <c r="E25" s="6" t="n"/>
      <c r="F25" s="6" t="n"/>
      <c r="G25" s="6" t="n"/>
      <c r="H25" s="7" t="n"/>
    </row>
    <row r="26">
      <c r="B26" s="8" t="inlineStr">
        <is>
          <t>JDR Source breakdown: GL $76,869.91 · AP $407,866.12 · PR $797,212.19 · AR $1,897,650.90</t>
        </is>
      </c>
      <c r="C26" s="6" t="n"/>
      <c r="D26" s="6" t="n"/>
      <c r="E26" s="6" t="n"/>
      <c r="F26" s="6" t="n"/>
      <c r="G26" s="6" t="n"/>
      <c r="H26" s="7" t="n"/>
    </row>
    <row r="27">
      <c r="B27" s="8" t="inlineStr">
        <is>
          <t>Contract: Park Lane - PSA - Oneway - Fully Executed.pdf (Lump Sum $1,839,000.00 additive to $1,897,650.90, Kirkland Main Street LP (Developer: Compass))</t>
        </is>
      </c>
      <c r="C27" s="6" t="n"/>
      <c r="D27" s="6" t="n"/>
      <c r="E27" s="6" t="n"/>
      <c r="F27" s="6" t="n"/>
      <c r="G27" s="6" t="n"/>
      <c r="H27" s="7" t="n"/>
    </row>
    <row r="28">
      <c r="B28" s="8" t="inlineStr">
        <is>
          <t>Fixture schedule: Park Lane Submittal Table of Contents.xlsx (128-unit luxury multifamily specification)</t>
        </is>
      </c>
      <c r="C28" s="6" t="n"/>
      <c r="D28" s="6" t="n"/>
      <c r="E28" s="6" t="n"/>
      <c r="F28" s="6" t="n"/>
      <c r="G28" s="6" t="n"/>
      <c r="H28" s="7" t="n"/>
    </row>
    <row r="29">
      <c r="B29" s="8" t="inlineStr">
        <is>
          <t>Plumbing narrative: Park Lane plumbing narrative / Div 22 spec (Division 22 specification, City of Kirkland plumbing code + UPC with WA amendments)</t>
        </is>
      </c>
      <c r="C29" s="6" t="n"/>
      <c r="D29" s="6" t="n"/>
      <c r="E29" s="6" t="n"/>
      <c r="F29" s="6" t="n"/>
      <c r="G29" s="6" t="n"/>
      <c r="H29" s="7" t="n"/>
    </row>
    <row r="30">
      <c r="B30" s="8" t="inlineStr">
        <is>
          <t>Change Orders: 14 fully-executed COs (13 budget transfers + CO#14 Final closeout); documented = $58,650.90 matches JDR-implied exactly</t>
        </is>
      </c>
      <c r="C30" s="6" t="n"/>
      <c r="D30" s="6" t="n"/>
      <c r="E30" s="6" t="n"/>
      <c r="F30" s="6" t="n"/>
      <c r="G30" s="6" t="n"/>
      <c r="H30" s="7" t="n"/>
    </row>
    <row r="31">
      <c r="B31" s="8" t="inlineStr">
        <is>
          <t>Project Team: Compass Harbor PM (TBD) (GC PM) · Compass Harbor Sup (TBD) (GC Sup) · Compass Harbor PE (TBD) (GC PE) · Compass (Developer) · Thaddeus Waites (OWP RI Foreman)</t>
        </is>
      </c>
      <c r="C31" s="6" t="n"/>
      <c r="D31" s="6" t="n"/>
      <c r="E31" s="6" t="n"/>
      <c r="F31" s="6" t="n"/>
      <c r="G31" s="6" t="n"/>
      <c r="H31" s="7" t="n"/>
    </row>
    <row r="32">
      <c r="B32" s="8" t="inlineStr">
        <is>
          <t>Insurance: Wrap (OCIP) enrollment per Insurance/OCIP Enrollment.pdf</t>
        </is>
      </c>
      <c r="C32" s="6" t="n"/>
      <c r="D32" s="6" t="n"/>
      <c r="E32" s="6" t="n"/>
      <c r="F32" s="6" t="n"/>
      <c r="G32" s="6" t="n"/>
      <c r="H32" s="7" t="n"/>
    </row>
    <row r="33">
      <c r="B33" s="8" t="inlineStr">
        <is>
          <t>Financial reconciliation: GL + AP + PR = Expenses; AR = Revenue</t>
        </is>
      </c>
      <c r="C33" s="6" t="n"/>
      <c r="D33" s="6" t="n"/>
      <c r="E33" s="6" t="n"/>
      <c r="F33" s="6" t="n"/>
      <c r="G33" s="6" t="n"/>
      <c r="H33" s="7" t="n"/>
    </row>
    <row r="34">
      <c r="B34" s="8" t="inlineStr">
        <is>
          <t>TIES = within $1  ·  WITHIN = within 5%  ·  OFF = investigate</t>
        </is>
      </c>
      <c r="C34" s="6" t="n"/>
      <c r="D34" s="6" t="n"/>
      <c r="E34" s="6" t="n"/>
      <c r="F34" s="6" t="n"/>
      <c r="G34" s="6" t="n"/>
      <c r="H34" s="7" t="n"/>
    </row>
  </sheetData>
  <mergeCells count="14">
    <mergeCell ref="B28:H28"/>
    <mergeCell ref="B3:J3"/>
    <mergeCell ref="B32:H32"/>
    <mergeCell ref="B26:H26"/>
    <mergeCell ref="B27:H27"/>
    <mergeCell ref="B31:H31"/>
    <mergeCell ref="B24:H24"/>
    <mergeCell ref="B30:H30"/>
    <mergeCell ref="B29:H29"/>
    <mergeCell ref="B33:H33"/>
    <mergeCell ref="B25:H25"/>
    <mergeCell ref="B34:H34"/>
    <mergeCell ref="B2:J2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2026-04-17T13:41:40Z</dcterms:created>
  <dcterms:modified xmlns:dcterms="http://purl.org/dc/terms/" xmlns:xsi="http://www.w3.org/2001/XMLSchema-instance" xsi:type="dcterms:W3CDTF">2026-04-17T13:41:40Z</dcterms:modified>
</cp:coreProperties>
</file>