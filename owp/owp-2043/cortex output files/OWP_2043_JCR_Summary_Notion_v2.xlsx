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<sst xmlns="http://schemas.openxmlformats.org/spreadsheetml/2006/main" count="1758" uniqueCount="782">
  <si>
    <t xml:space="preserve">Job #2043 · Aegis Mercer Island (Assisted Living + Memory Care)</t>
  </si>
  <si>
    <t xml:space="preserve">Cortex JCR v2  •  Compass Harbor (customer 2043SH)  •  7445 SE 24th Street, Mercer Island, WA 98040  •  Owner: ASC Mercer Island, LLC (Aegis Senior Communities)</t>
  </si>
  <si>
    <t xml:space="preserve">PROJECT OVERVIEW</t>
  </si>
  <si>
    <t xml:space="preserve">Project Job #</t>
  </si>
  <si>
    <t xml:space="preserve">2043</t>
  </si>
  <si>
    <t xml:space="preserve">2043 Job Detail Report.pdf (Sage Timberline, 04/03/2026)</t>
  </si>
  <si>
    <t xml:space="preserve">Project Name (Sage)</t>
  </si>
  <si>
    <t xml:space="preserve">Compass Aegis-Mercer Isl</t>
  </si>
  <si>
    <t xml:space="preserve">Project Description</t>
  </si>
  <si>
    <t xml:space="preserve">Aegis Mercer Island — 109-unit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</si>
  <si>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</si>
  <si>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</si>
  <si>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Compass Harbor</t>
  </si>
  <si>
    <t xml:space="preserve">OWP Project List with Schedule - UPDATED 04-01-26.xlsx</t>
  </si>
  <si>
    <t xml:space="preserve">Customer Code (Sage)</t>
  </si>
  <si>
    <t xml:space="preserve">2043SH</t>
  </si>
  <si>
    <t xml:space="preserve">Owner / Developer</t>
  </si>
  <si>
    <t xml:space="preserve">ASC Mercer Island, LLC (Aegis Senior Communities)</t>
  </si>
  <si>
    <t xml:space="preserve">GC PM</t>
  </si>
  <si>
    <t xml:space="preserve">Howard (Compass PM — approved insurance cert + contract execution)</t>
  </si>
  <si>
    <t xml:space="preserve">2043-Shelter Holdings subcontract SC-17-04-022-100-000 + Boren &amp; Spruce CO docs</t>
  </si>
  <si>
    <t xml:space="preserve">GC Superintendent</t>
  </si>
  <si>
    <t xml:space="preserve">TBD</t>
  </si>
  <si>
    <t xml:space="preserve">GC PE</t>
  </si>
  <si>
    <t xml:space="preserve">N/A</t>
  </si>
  <si>
    <t xml:space="preserve">OWP Signatory</t>
  </si>
  <si>
    <t xml:space="preserve">Mike Donelson (OWP Vice President)</t>
  </si>
  <si>
    <t xml:space="preserve">Jobsite Location</t>
  </si>
  <si>
    <t xml:space="preserve">7445 SE 24th Street, Mercer Island, WA 98040</t>
  </si>
  <si>
    <t xml:space="preserve">Insurance</t>
  </si>
  <si>
    <t xml:space="preserve">Not Wrap</t>
  </si>
  <si>
    <t xml:space="preserve">Fixture Schedule</t>
  </si>
  <si>
    <t xml:space="preserve">643 fixtures total (656 unit + 98 retail/common)</t>
  </si>
  <si>
    <t xml:space="preserve">Submittal Table of Contents + Plumbing Scope</t>
  </si>
  <si>
    <t xml:space="preserve">Architect</t>
  </si>
  <si>
    <t xml:space="preserve">Ankrom Moisan Architects (AMA) / CEI + Ricca kitchen</t>
  </si>
  <si>
    <t xml:space="preserve">Aegis Mercer Island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</si>
  <si>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</si>
  <si>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</si>
  <si>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</si>
  <si>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</si>
  <si>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</si>
  <si>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2017-09 start → 2019-05 (20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</si>
  <si>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</si>
  <si>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</si>
  <si>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</si>
  <si>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</si>
  <si>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</si>
  <si>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$1,576,200.00 + ($7,245.00) COs (0.46%)</t>
  </si>
  <si>
    <t xml:space="preserve">46.0% margin</t>
  </si>
  <si>
    <t xml:space="preserve">54.0% of revenue</t>
  </si>
  <si>
    <t xml:space="preserve">32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</si>
  <si>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</si>
  <si>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</si>
  <si>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109-unit mixed-use (102 Type B + 6 Type A/ADA) at 7445 SE 24th Street, Mercer Island, WA 98040, 7-story midrise multi-family (Type 1A podium + Type VA above).</t>
  </si>
  <si>
    <t xml:space="preserve">GC: Compass Harbor (2043SH); Owner: ASC Mercer Island, LLC (Aegis Senior Communities).</t>
  </si>
  <si>
    <t xml:space="preserve">Insurance: Not Wrap (retail-adjacent residential).</t>
  </si>
  <si>
    <t xml:space="preserve">Project team: Howard (Compass PM — approved insurance cert + contract execution) (GC PM) · TBD (GC Sup) · Ankrom Moisan Architects (AMA) / CEI + Ricca kitchen (Architect) · Mike Donelson (OWP Vice President) (OWP signatory).</t>
  </si>
  <si>
    <t xml:space="preserve">SOURCES</t>
  </si>
  <si>
    <t xml:space="preserve">Canonical financial source: 2043 Job Detail Report.pdf (Sage Timberline, 04/03/2026)</t>
  </si>
  <si>
    <t xml:space="preserve">Job totals (JDR footer): Revenue $1,583,445.00 / Expenses $855,439.25 / Net $728,005.75 / Retainage $79,172.25</t>
  </si>
  <si>
    <t xml:space="preserve">Source breakdown (derived): PR $494,040.06 · AP $332,151.59 · GL $29,247.60</t>
  </si>
  <si>
    <t xml:space="preserve">Contract: Lump Sum $1,576,200.00 → $1,583,445.00</t>
  </si>
  <si>
    <t xml:space="preserve">Change Orders (executed): $7,245.00 net across 18 COs (CO log in enriched meta)</t>
  </si>
  <si>
    <t xml:space="preserve">Project Team: Howard (Compass PM — approved insurance cert + contract execution) (PM) · TBD (Sup) · Ankrom Moisan Architects (AMA) / CEI + Ricca kitchen · ASC Mercer Island, LLC (Aegis Senior Communities)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</si>
  <si>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</si>
  <si>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</si>
  <si>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</si>
  <si>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</si>
  <si>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</si>
  <si>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</si>
  <si>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</si>
  <si>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</si>
  <si>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</si>
  <si>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</si>
  <si>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</si>
  <si>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</si>
  <si>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</si>
  <si>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28 cost codes from JDR. Contract $1,576,200 → $1,583,445.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</si>
  <si>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</si>
  <si>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</si>
  <si>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</si>
  <si>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</si>
  <si>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</si>
  <si>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</si>
  <si>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</si>
  <si>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</si>
  <si>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</si>
  <si>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</si>
  <si>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</si>
  <si>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</si>
  <si>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</si>
  <si>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</si>
  <si>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</si>
  <si>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</si>
  <si>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</si>
  <si>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</si>
  <si>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</si>
  <si>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</si>
  <si>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</si>
  <si>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</si>
  <si>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</si>
  <si>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</si>
  <si>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</si>
  <si>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</si>
  <si>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</si>
  <si>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</si>
  <si>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</si>
  <si>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</si>
  <si>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</si>
  <si>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</si>
  <si>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</si>
  <si>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</si>
  <si>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</si>
  <si>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</si>
  <si>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</si>
  <si>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</si>
  <si>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</si>
  <si>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</si>
  <si>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</si>
  <si>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</si>
  <si>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</si>
  <si>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</si>
  <si>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</si>
  <si>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</si>
  <si>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</si>
  <si>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</si>
  <si>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</si>
  <si>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</si>
  <si>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</si>
  <si>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</si>
  <si>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</si>
  <si>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</si>
  <si>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</si>
  <si>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</si>
  <si>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</si>
  <si>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</si>
  <si>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</si>
  <si>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</si>
  <si>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</si>
  <si>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</si>
  <si>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</si>
  <si>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</si>
  <si>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</si>
  <si>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</si>
  <si>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</si>
  <si>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</si>
  <si>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</si>
  <si>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</si>
  <si>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</si>
  <si>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</si>
  <si>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</si>
  <si>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</si>
  <si>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100,101,110,111,112,120,130,140,141,142,143</t>
  </si>
  <si>
    <t xml:space="preserve">Material</t>
  </si>
  <si>
    <t xml:space="preserve">210,211,212,220,230,240,241,242,243</t>
  </si>
  <si>
    <t xml:space="preserve">Overhead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</si>
  <si>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</si>
  <si>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</si>
  <si>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</si>
  <si>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</si>
  <si>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</si>
  <si>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</si>
  <si>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</si>
  <si>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</si>
  <si>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</si>
  <si>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2043KS</t>
  </si>
  <si>
    <t xml:space="preserve">Keller Supply Co. $Aegis MI</t>
  </si>
  <si>
    <t xml:space="preserve">Plumbing / Supplies</t>
  </si>
  <si>
    <t xml:space="preserve">1231KS</t>
  </si>
  <si>
    <t xml:space="preserve">Keller Supply Company</t>
  </si>
  <si>
    <t xml:space="preserve">2043RS</t>
  </si>
  <si>
    <t xml:space="preserve">Rosen Supply Company, Inc. $Aegis MI</t>
  </si>
  <si>
    <t xml:space="preserve">5560CH</t>
  </si>
  <si>
    <t xml:space="preserve">California Hydronics Corp</t>
  </si>
  <si>
    <t xml:space="preserve">2043CS</t>
  </si>
  <si>
    <t xml:space="preserve">Consolidated Supply Co. $Aegis MI</t>
  </si>
  <si>
    <t xml:space="preserve">1625FE</t>
  </si>
  <si>
    <t xml:space="preserve">Franklin Engineering</t>
  </si>
  <si>
    <t xml:space="preserve">Engineering (601)</t>
  </si>
  <si>
    <t xml:space="preserve">1380RS</t>
  </si>
  <si>
    <t xml:space="preserve">Rosen Supply Kirkland</t>
  </si>
  <si>
    <t xml:space="preserve">1175FE</t>
  </si>
  <si>
    <t xml:space="preserve">Ferguson Enterprises, Inc. #3007</t>
  </si>
  <si>
    <t xml:space="preserve">1234CO</t>
  </si>
  <si>
    <t xml:space="preserve">Capital One Credit Card</t>
  </si>
  <si>
    <t xml:space="preserve">Credit Card (mixed)</t>
  </si>
  <si>
    <t xml:space="preserve">3129MR</t>
  </si>
  <si>
    <t xml:space="preserve">Mechanical Resource Services, Inc.</t>
  </si>
  <si>
    <t xml:space="preserve">Uncategorized</t>
  </si>
  <si>
    <t xml:space="preserve">2713AR</t>
  </si>
  <si>
    <t xml:space="preserve">Ahern Rentals</t>
  </si>
  <si>
    <t xml:space="preserve">1609QC</t>
  </si>
  <si>
    <t xml:space="preserve">Quality Concrete Products, Inc. $32</t>
  </si>
  <si>
    <t xml:space="preserve">1130CS</t>
  </si>
  <si>
    <t xml:space="preserve">Consolidated Supply Co.</t>
  </si>
  <si>
    <t xml:space="preserve">2850PL</t>
  </si>
  <si>
    <t xml:space="preserve">Platt $Rexel USA, Inc.</t>
  </si>
  <si>
    <t xml:space="preserve">8068MI</t>
  </si>
  <si>
    <t xml:space="preserve">Kele, Inc $ MI Controls</t>
  </si>
  <si>
    <t xml:space="preserve">1234BA</t>
  </si>
  <si>
    <t xml:space="preserve">Bank of America CC</t>
  </si>
  <si>
    <t xml:space="preserve">3612MS</t>
  </si>
  <si>
    <t xml:space="preserve">Mechanical Sales, Inc.</t>
  </si>
  <si>
    <t xml:space="preserve">1021AT</t>
  </si>
  <si>
    <t xml:space="preserve">ACME Corp</t>
  </si>
  <si>
    <t xml:space="preserve">5621HD</t>
  </si>
  <si>
    <t xml:space="preserve">Core &amp; Main LP $HD Supply Waterworks</t>
  </si>
  <si>
    <t xml:space="preserve">1421RA</t>
  </si>
  <si>
    <t xml:space="preserve">R.A. Brown Backflow Testing</t>
  </si>
  <si>
    <t xml:space="preserve">Testing subcontractor</t>
  </si>
  <si>
    <t xml:space="preserve">2042RS</t>
  </si>
  <si>
    <t xml:space="preserve">Rosen Supply Company, Inc. $Metro Flats</t>
  </si>
  <si>
    <t xml:space="preserve">Crew &amp; Labor — Worker Roster</t>
  </si>
  <si>
    <t xml:space="preserve">All 32 unique payroll workers. OWP signatory: Mike Donelson (OWP Vice President).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</si>
  <si>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</si>
  <si>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</si>
  <si>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</si>
  <si>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</si>
  <si>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</si>
  <si>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</si>
  <si>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CO71</t>
  </si>
  <si>
    <t xml:space="preserve">Cortes Mendiola, Victor H</t>
  </si>
  <si>
    <t xml:space="preserve">CO73</t>
  </si>
  <si>
    <t xml:space="preserve">Cortes Sepulveda, Jose R</t>
  </si>
  <si>
    <t xml:space="preserve">AS10</t>
  </si>
  <si>
    <t xml:space="preserve">Ascencio, Jose L</t>
  </si>
  <si>
    <t xml:space="preserve">BA45</t>
  </si>
  <si>
    <t xml:space="preserve">Balderas Ortiz, Ricardo I</t>
  </si>
  <si>
    <t xml:space="preserve">JU02</t>
  </si>
  <si>
    <t xml:space="preserve">Juarez Alvarez, Oscar R</t>
  </si>
  <si>
    <t xml:space="preserve">LI49</t>
  </si>
  <si>
    <t xml:space="preserve">Lima Romero, Melvin A</t>
  </si>
  <si>
    <t xml:space="preserve">JU04</t>
  </si>
  <si>
    <t xml:space="preserve">Juarez Maldonado, Oscar E</t>
  </si>
  <si>
    <t xml:space="preserve">SI48</t>
  </si>
  <si>
    <t xml:space="preserve">Silva Morales, Jair J</t>
  </si>
  <si>
    <t xml:space="preserve">GU78</t>
  </si>
  <si>
    <t xml:space="preserve">Gutierrez Salas, Jose</t>
  </si>
  <si>
    <t xml:space="preserve">HU06</t>
  </si>
  <si>
    <t xml:space="preserve">Hubbard, Robert W</t>
  </si>
  <si>
    <t xml:space="preserve">GA70</t>
  </si>
  <si>
    <t xml:space="preserve">Garcia, Jordan X</t>
  </si>
  <si>
    <t xml:space="preserve">DO56</t>
  </si>
  <si>
    <t xml:space="preserve">Donelson, Richard T</t>
  </si>
  <si>
    <t xml:space="preserve">EL33</t>
  </si>
  <si>
    <t xml:space="preserve">Eliassen, Cory H</t>
  </si>
  <si>
    <t xml:space="preserve">TR60</t>
  </si>
  <si>
    <t xml:space="preserve">Trower-Kelly, Fidel D</t>
  </si>
  <si>
    <t xml:space="preserve">SA54</t>
  </si>
  <si>
    <t xml:space="preserve">Sanders, Allen O</t>
  </si>
  <si>
    <t xml:space="preserve">GE69</t>
  </si>
  <si>
    <t xml:space="preserve">Gerard, Jeffrey S</t>
  </si>
  <si>
    <t xml:space="preserve">RE91</t>
  </si>
  <si>
    <t xml:space="preserve">Reyes, Maria E</t>
  </si>
  <si>
    <t xml:space="preserve">GO51</t>
  </si>
  <si>
    <t xml:space="preserve">Gomez Reyes, Edith N</t>
  </si>
  <si>
    <t xml:space="preserve">FO55</t>
  </si>
  <si>
    <t xml:space="preserve">Fonseca Teruel, Eduardo</t>
  </si>
  <si>
    <t xml:space="preserve">LU09</t>
  </si>
  <si>
    <t xml:space="preserve">Lucas Tzintzun, Rafael</t>
  </si>
  <si>
    <t xml:space="preserve">PA11</t>
  </si>
  <si>
    <t xml:space="preserve">Paco Leyva, Orlando</t>
  </si>
  <si>
    <t xml:space="preserve">ST02</t>
  </si>
  <si>
    <t xml:space="preserve">Stahlschmidt, John P</t>
  </si>
  <si>
    <t xml:space="preserve">LO58</t>
  </si>
  <si>
    <t xml:space="preserve">Lopez Reyes, Boris O</t>
  </si>
  <si>
    <t xml:space="preserve">YO29</t>
  </si>
  <si>
    <t xml:space="preserve">Yohannes Jr., Samson</t>
  </si>
  <si>
    <t xml:space="preserve">MO56</t>
  </si>
  <si>
    <t xml:space="preserve">Montenegro, Carlos E</t>
  </si>
  <si>
    <t xml:space="preserve">MC09</t>
  </si>
  <si>
    <t xml:space="preserve">McCabe, Thomas C</t>
  </si>
  <si>
    <t xml:space="preserve">CH20</t>
  </si>
  <si>
    <t xml:space="preserve">Chevez, Herson G</t>
  </si>
  <si>
    <t xml:space="preserve">CR79</t>
  </si>
  <si>
    <t xml:space="preserve">Cruz Guzman, Joel A</t>
  </si>
  <si>
    <t xml:space="preserve">TA96</t>
  </si>
  <si>
    <t xml:space="preserve">Taylor, Evan R</t>
  </si>
  <si>
    <t xml:space="preserve">BE54</t>
  </si>
  <si>
    <t xml:space="preserve">Benites Portillo, Marvin E</t>
  </si>
  <si>
    <t xml:space="preserve">WA35</t>
  </si>
  <si>
    <t xml:space="preserve">Waites, Thaddeus Z</t>
  </si>
  <si>
    <t xml:space="preserve">GE70</t>
  </si>
  <si>
    <t xml:space="preserve">Gerard, Jordan E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</si>
  <si>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</si>
  <si>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</si>
  <si>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</si>
  <si>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</si>
  <si>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</si>
  <si>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</si>
  <si>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</si>
  <si>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</si>
  <si>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</si>
  <si>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</si>
  <si>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</si>
  <si>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</si>
  <si>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</si>
  <si>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</si>
  <si>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</si>
  <si>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CO71 Cortes Mendiola, Victor H (1732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</si>
  <si>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</si>
  <si>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</si>
  <si>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</si>
  <si>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</si>
  <si>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</si>
  <si>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</si>
  <si>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</si>
  <si>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</si>
  <si>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</si>
  <si>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</si>
  <si>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109 units (643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</si>
  <si>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</si>
  <si>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</si>
  <si>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</si>
  <si>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</si>
  <si>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</si>
  <si>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</si>
  <si>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</si>
  <si>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</si>
  <si>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</si>
  <si>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</si>
  <si>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</si>
  <si>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</si>
  <si>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</si>
  <si>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</si>
  <si>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</si>
  <si>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</si>
  <si>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</si>
  <si>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</si>
  <si>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</si>
  <si>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</si>
  <si>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</si>
  <si>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</si>
  <si>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(109)</t>
  </si>
  <si>
    <t xml:space="preserve">USD</t>
  </si>
  <si>
    <t xml:space="preserve">109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</si>
  <si>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</si>
  <si>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</si>
  <si>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</si>
  <si>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</si>
  <si>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</si>
  <si>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</si>
  <si>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643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</si>
  <si>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</si>
  <si>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</si>
  <si>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</si>
  <si>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</si>
  <si>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</si>
  <si>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</si>
  <si>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</si>
  <si>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</si>
  <si>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</si>
  <si>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2017-08-28</t>
  </si>
  <si>
    <t xml:space="preserve">Lump Sum Subcontract</t>
  </si>
  <si>
    <t xml:space="preserve">Closed</t>
  </si>
  <si>
    <t xml:space="preserve">Aegis Mercer Island plumbing (109 units, 7 stories) — per Div 22</t>
  </si>
  <si>
    <t xml:space="preserve">CO-NET</t>
  </si>
  <si>
    <t xml:space="preserve">—</t>
  </si>
  <si>
    <t xml:space="preserve">Change Orders (executed, 18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</si>
  <si>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</si>
  <si>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</si>
  <si>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</si>
  <si>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</si>
  <si>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187 invoices to Compass Harbor. Retainage $79,172.25.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</si>
  <si>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</si>
  <si>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</si>
  <si>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</si>
  <si>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</si>
  <si>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553</t>
  </si>
  <si>
    <t xml:space="preserve">01/18/19</t>
  </si>
  <si>
    <t xml:space="preserve">473</t>
  </si>
  <si>
    <t xml:space="preserve">01/19/18</t>
  </si>
  <si>
    <t xml:space="preserve">573</t>
  </si>
  <si>
    <t xml:space="preserve">02/20/18</t>
  </si>
  <si>
    <t xml:space="preserve">574</t>
  </si>
  <si>
    <t xml:space="preserve">575</t>
  </si>
  <si>
    <t xml:space="preserve">567</t>
  </si>
  <si>
    <t xml:space="preserve">02/20/19</t>
  </si>
  <si>
    <t xml:space="preserve">437</t>
  </si>
  <si>
    <t xml:space="preserve">03/20/18</t>
  </si>
  <si>
    <t xml:space="preserve">99</t>
  </si>
  <si>
    <t xml:space="preserve">04/19/19</t>
  </si>
  <si>
    <t xml:space="preserve">539</t>
  </si>
  <si>
    <t xml:space="preserve">04/20/18</t>
  </si>
  <si>
    <t xml:space="preserve">14</t>
  </si>
  <si>
    <t xml:space="preserve">15</t>
  </si>
  <si>
    <t xml:space="preserve">506</t>
  </si>
  <si>
    <t xml:space="preserve">05/18/18</t>
  </si>
  <si>
    <t xml:space="preserve">519</t>
  </si>
  <si>
    <t xml:space="preserve">520</t>
  </si>
  <si>
    <t xml:space="preserve">670</t>
  </si>
  <si>
    <t xml:space="preserve">06/20/18</t>
  </si>
  <si>
    <t xml:space="preserve">583</t>
  </si>
  <si>
    <t xml:space="preserve">08/20/18</t>
  </si>
  <si>
    <t xml:space="preserve">463</t>
  </si>
  <si>
    <t xml:space="preserve">09/19/18</t>
  </si>
  <si>
    <t xml:space="preserve">518</t>
  </si>
  <si>
    <t xml:space="preserve">10/19/18</t>
  </si>
  <si>
    <t xml:space="preserve">372</t>
  </si>
  <si>
    <t xml:space="preserve">10/20/17</t>
  </si>
  <si>
    <t xml:space="preserve">522</t>
  </si>
  <si>
    <t xml:space="preserve">11/16/18</t>
  </si>
  <si>
    <t xml:space="preserve">399</t>
  </si>
  <si>
    <t xml:space="preserve">12/14/17</t>
  </si>
  <si>
    <t xml:space="preserve">347</t>
  </si>
  <si>
    <t xml:space="preserve">12/14/18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</si>
  <si>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</si>
  <si>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</si>
  <si>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</si>
  <si>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</si>
  <si>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</si>
  <si>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</si>
  <si>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</si>
  <si>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</si>
  <si>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$728,005.75 on $1,583,445.00 revenue = 46.0% gross margin.</t>
  </si>
  <si>
    <t xml:space="preserve">Verified</t>
  </si>
  <si>
    <t xml:space="preserve">CONTRACT CHANGE</t>
  </si>
  <si>
    <t xml:space="preserve">Original $1,576,200.00 → final $1,583,445.00 = $+7,245.00 net (0.46%) across 18 executed COs.</t>
  </si>
  <si>
    <t xml:space="preserve">2043 Job Detail Report.pdf (Sage Timberline, 04/03/2026) + CO log</t>
  </si>
  <si>
    <t xml:space="preserve">LABOR PROFILE</t>
  </si>
  <si>
    <t xml:space="preserve">Labor cost $325,026.00 (20.5% of rev) across 11,019 hrs and 32 workers. Blended wage $29.50/hr.</t>
  </si>
  <si>
    <t xml:space="preserve">VENDOR CONCENTRATION</t>
  </si>
  <si>
    <t xml:space="preserve">Top 5 AP vendors: ~$255,612.90 (77% of AP). Top vendor: Keller Supply Co. $Aegis MI ($76,975.46).</t>
  </si>
  <si>
    <t xml:space="preserve">RETAINAGE</t>
  </si>
  <si>
    <t xml:space="preserve">Retainage $79,172.25 — outstanding as of report date.</t>
  </si>
  <si>
    <t xml:space="preserve">ROUGH-IN SHARE</t>
  </si>
  <si>
    <t xml:space="preserve">Code 120 Roughin Labor = 5,253 hrs (48% of labor hours).</t>
  </si>
  <si>
    <t xml:space="preserve">TOP COST CODE</t>
  </si>
  <si>
    <t xml:space="preserve">Largest actual cost: 230 Finish Material = $200,687.65</t>
  </si>
  <si>
    <t xml:space="preserve">WORKER CONCENTRATION</t>
  </si>
  <si>
    <t xml:space="preserve">Top worker Cortes Mendiola, Victor H = 1,732 hrs (16% of total).</t>
  </si>
  <si>
    <t xml:space="preserve">INSURANCE</t>
  </si>
  <si>
    <t xml:space="preserve">Not Wrap — retail-adjacent mixed-use.</t>
  </si>
  <si>
    <t xml:space="preserve">SCOPE CONTEXT</t>
  </si>
  <si>
    <t xml:space="preserve">Aegis Mercer Island — 109-unit 7-story midrise (68 standard + 4 Type A ADA) + P1/P2 parking at 7445 SE 24th Street, Mercer Island, WA 98040.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</si>
  <si>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</si>
  <si>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</si>
  <si>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</si>
  <si>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</si>
  <si>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</si>
  <si>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</si>
  <si>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</si>
  <si>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</si>
  <si>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</si>
  <si>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</si>
  <si>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</si>
  <si>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</si>
  <si>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Aegis Mercer Island (Assisted Living + Memory Care)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</si>
  <si>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</si>
  <si>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</si>
  <si>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</si>
  <si>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</si>
  <si>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</si>
  <si>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</si>
  <si>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</si>
  <si>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Multi-story assisted living &amp; memory care (senior living): 93 assisted living units (incl. 10 Type A ADA) + 16 memory care units + commercial/amenity (salon, barber, bathtique, pool, LN dining, bistro, boutiques)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</si>
  <si>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</si>
  <si>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</si>
  <si>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</si>
  <si>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</si>
  <si>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</si>
  <si>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</si>
  <si>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</si>
  <si>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</si>
  <si>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</si>
  <si>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</si>
  <si>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</si>
  <si>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2017-09</t>
  </si>
  <si>
    <t xml:space="preserve">Work End</t>
  </si>
  <si>
    <t xml:space="preserve">end_date</t>
  </si>
  <si>
    <t xml:space="preserve">2019-05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</si>
  <si>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</si>
  <si>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</si>
  <si>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</si>
  <si>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</si>
  <si>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</si>
  <si>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</si>
  <si>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</si>
  <si>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</si>
  <si>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</si>
  <si>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</si>
  <si>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</si>
  <si>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</si>
  <si>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</si>
  <si>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</si>
  <si>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</si>
  <si>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18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</si>
  <si>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</si>
  <si>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</si>
  <si>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</si>
  <si>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</si>
  <si>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</si>
  <si>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</si>
  <si>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</si>
  <si>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</si>
  <si>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</si>
  <si>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</si>
  <si>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</si>
  <si>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</si>
  <si>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</si>
  <si>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</si>
  <si>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</si>
  <si>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</si>
  <si>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</si>
  <si>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</si>
  <si>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</si>
  <si>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</si>
  <si>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</si>
  <si>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</si>
  <si>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</si>
  <si>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</si>
  <si>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</si>
  <si>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</si>
  <si>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</si>
  <si>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</si>
  <si>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</si>
  <si>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</si>
  <si>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</si>
  <si>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</si>
  <si>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</si>
  <si>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</si>
  <si>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</si>
  <si>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</si>
  <si>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</si>
  <si>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</si>
  <si>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</si>
  <si>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</si>
  <si>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</si>
  <si>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</si>
  <si>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</si>
  <si>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</si>
  <si>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</si>
  <si>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</si>
  <si>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</si>
  <si>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</si>
  <si>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</si>
  <si>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</si>
  <si>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</si>
  <si>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</si>
  <si>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</si>
  <si>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</si>
  <si>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</si>
  <si>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</si>
  <si>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</si>
  <si>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</si>
  <si>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</si>
  <si>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</si>
  <si>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</si>
  <si>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</si>
  <si>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</si>
  <si>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</si>
  <si>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</si>
  <si>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</si>
  <si>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</si>
  <si>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</si>
  <si>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</si>
  <si>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</si>
  <si>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</si>
  <si>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</si>
  <si>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</si>
  <si>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</si>
  <si>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</si>
  <si>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</si>
  <si>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</si>
  <si>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</si>
  <si>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</si>
  <si>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</si>
  <si>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</si>
  <si>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</si>
  <si>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</si>
  <si>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</si>
  <si>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</si>
  <si>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</si>
  <si>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</si>
  <si>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</si>
  <si>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</si>
  <si>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</si>
  <si>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</si>
  <si>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</si>
  <si>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</si>
  <si>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</si>
  <si>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</si>
  <si>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</si>
  <si>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18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</si>
  <si>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</si>
  <si>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</si>
  <si>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</si>
  <si>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</si>
  <si>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</si>
  <si>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</si>
  <si>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$1,576,200.00</t>
  </si>
  <si>
    <t xml:space="preserve">CO-01</t>
  </si>
  <si>
    <t xml:space="preserve">Change Order</t>
  </si>
  <si>
    <t xml:space="preserve">Credit for Permits and Grease Interceptor</t>
  </si>
  <si>
    <t xml:space="preserve">GDrive CO 1</t>
  </si>
  <si>
    <t xml:space="preserve">CO-02</t>
  </si>
  <si>
    <t xml:space="preserve">Garage trench drain</t>
  </si>
  <si>
    <t xml:space="preserve">GDrive CO 2</t>
  </si>
  <si>
    <t xml:space="preserve">CO-03</t>
  </si>
  <si>
    <t xml:space="preserve">Backwater Valves, Courtyard Drains, Booster Pump Provisions, Pool Shower Stall, Delete Pool Trench Drain</t>
  </si>
  <si>
    <t xml:space="preserve">GDrive CO 3</t>
  </si>
  <si>
    <t xml:space="preserve">CO-04</t>
  </si>
  <si>
    <t xml:space="preserve">Green Toilet Seats @ Memory Care Units</t>
  </si>
  <si>
    <t xml:space="preserve">GDrive CO 4</t>
  </si>
  <si>
    <t xml:space="preserve">CO-05</t>
  </si>
  <si>
    <t xml:space="preserve">48" Shower Stalls Units 224 &amp; 330 (ASI-09)</t>
  </si>
  <si>
    <t xml:space="preserve">GDrive CO 5</t>
  </si>
  <si>
    <t xml:space="preserve">CO-06</t>
  </si>
  <si>
    <t xml:space="preserve">Added Irrigation Line</t>
  </si>
  <si>
    <t xml:space="preserve">GDrive CO 6</t>
  </si>
  <si>
    <t xml:space="preserve">CO-07</t>
  </si>
  <si>
    <t xml:space="preserve">Nails &amp; Screws in PVC Pipes</t>
  </si>
  <si>
    <t xml:space="preserve">GDrive CO 7</t>
  </si>
  <si>
    <t xml:space="preserve">CO-08</t>
  </si>
  <si>
    <t xml:space="preserve">Icemakers in units 222 &amp; 328</t>
  </si>
  <si>
    <t xml:space="preserve">GDrive CO 8</t>
  </si>
  <si>
    <t xml:space="preserve">CO-09</t>
  </si>
  <si>
    <t xml:space="preserve">Exterior Trench Drains</t>
  </si>
  <si>
    <t xml:space="preserve">GDrive CO 9</t>
  </si>
  <si>
    <t xml:space="preserve">CO-10</t>
  </si>
  <si>
    <t xml:space="preserve">Sink changes, Condensate Final Hookups</t>
  </si>
  <si>
    <t xml:space="preserve">GDrive CO 10</t>
  </si>
  <si>
    <t xml:space="preserve">CO-11</t>
  </si>
  <si>
    <t xml:space="preserve">Replace Vandalized Sinks</t>
  </si>
  <si>
    <t xml:space="preserve">GDrive CO 11</t>
  </si>
  <si>
    <t xml:space="preserve">CO-12</t>
  </si>
  <si>
    <t xml:space="preserve">Install Kitchen Equipment</t>
  </si>
  <si>
    <t xml:space="preserve">GDrive CO 12</t>
  </si>
  <si>
    <t xml:space="preserve">CO-13</t>
  </si>
  <si>
    <t xml:space="preserve">Delete Access Panels (credit)</t>
  </si>
  <si>
    <t xml:space="preserve">GDrive CO 13</t>
  </si>
  <si>
    <t xml:space="preserve">CO-14</t>
  </si>
  <si>
    <t xml:space="preserve">Display Kitchen Sink &amp; Faucet</t>
  </si>
  <si>
    <t xml:space="preserve">GDrive CO 14</t>
  </si>
  <si>
    <t xml:space="preserve">CO-15</t>
  </si>
  <si>
    <t xml:space="preserve">Gusher Plumbing (Internal Piping for Dishwasher)</t>
  </si>
  <si>
    <t xml:space="preserve">GDrive CO 15</t>
  </si>
  <si>
    <t xml:space="preserve">CO-16</t>
  </si>
  <si>
    <t xml:space="preserve">Pull &amp; Reset Toilets due to fire sprinkler leak</t>
  </si>
  <si>
    <t xml:space="preserve">GDrive CO 16</t>
  </si>
  <si>
    <t xml:space="preserve">CO-17</t>
  </si>
  <si>
    <t xml:space="preserve">LN Area Changes, Kitchen Faucet Credit</t>
  </si>
  <si>
    <t xml:space="preserve">GDrive CO 17</t>
  </si>
  <si>
    <t xml:space="preserve">CO-18</t>
  </si>
  <si>
    <t xml:space="preserve">Fix Storm Line in Boiler Room, Add icemaker drain, revise washer piping</t>
  </si>
  <si>
    <t xml:space="preserve">GDrive CO 18</t>
  </si>
  <si>
    <t xml:space="preserve">CO-19</t>
  </si>
  <si>
    <t xml:space="preserve">Final Closeout 05-14-19 (admin closeout, zero impact to contract)</t>
  </si>
  <si>
    <t xml:space="preserve">GDrive CO 19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</si>
  <si>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</si>
  <si>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</si>
  <si>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</si>
  <si>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</si>
  <si>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</si>
  <si>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</si>
  <si>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</si>
  <si>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</si>
  <si>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</si>
  <si>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$79,172.25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</si>
  <si>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</si>
  <si>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</si>
  <si>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</si>
  <si>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</si>
  <si>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</si>
  <si>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</si>
  <si>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</si>
  <si>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</si>
  <si>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</si>
  <si>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$1,576,200 → $1,583,445 (18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</si>
  <si>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</si>
  <si>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</si>
  <si>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</si>
  <si>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</si>
  <si>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21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</si>
  <si>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</si>
  <si>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</si>
  <si>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</si>
  <si>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</si>
  <si>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</si>
  <si>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</si>
  <si>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</si>
  <si>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</si>
  <si>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</si>
  <si>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</si>
  <si>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</si>
  <si>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</si>
  <si>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</si>
  <si>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</si>
  <si>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</si>
  <si>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</si>
  <si>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</si>
  <si>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</si>
  <si>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</si>
  <si>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</si>
  <si>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</si>
  <si>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</si>
  <si>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</si>
  <si>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</si>
  <si>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</si>
  <si>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</si>
  <si>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</si>
  <si>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0.46%</t>
  </si>
  <si>
    <t xml:space="preserve">±10%</t>
  </si>
  <si>
    <t xml:space="preserve">HEALTHY</t>
  </si>
  <si>
    <t xml:space="preserve">+0.46% net (18 COs)</t>
  </si>
  <si>
    <t xml:space="preserve">&lt;30%</t>
  </si>
  <si>
    <t xml:space="preserve">20.5%</t>
  </si>
  <si>
    <t xml:space="preserve">GL Overhead % of Revenue</t>
  </si>
  <si>
    <t xml:space="preserve">&lt;5%</t>
  </si>
  <si>
    <t xml:space="preserve">1.8%</t>
  </si>
  <si>
    <t xml:space="preserve">Vendor Concentration (Top 5)</t>
  </si>
  <si>
    <t xml:space="preserve">&lt;95%</t>
  </si>
  <si>
    <t xml:space="preserve">Top 5 = 77% of AP</t>
  </si>
  <si>
    <t xml:space="preserve">Retainage %</t>
  </si>
  <si>
    <t xml:space="preserve">&lt;10%</t>
  </si>
  <si>
    <t xml:space="preserve">5.0%</t>
  </si>
  <si>
    <t xml:space="preserve">&gt;30%</t>
  </si>
  <si>
    <t xml:space="preserve">46.0%</t>
  </si>
  <si>
    <t xml:space="preserve">Labor Hrs Total</t>
  </si>
  <si>
    <t xml:space="preserve">varies</t>
  </si>
  <si>
    <t xml:space="preserve">INFO</t>
  </si>
  <si>
    <t xml:space="preserve">11,019 hrs, 32 workers</t>
  </si>
  <si>
    <t xml:space="preserve">Worker Concentration (top 1)</t>
  </si>
  <si>
    <t xml:space="preserve">&lt;25%</t>
  </si>
  <si>
    <t xml:space="preserve">15.7% (Cortes Mendiola, Victor H)</t>
  </si>
  <si>
    <t xml:space="preserve">Rough-in Labor Share</t>
  </si>
  <si>
    <t xml:space="preserve">40-65%</t>
  </si>
  <si>
    <t xml:space="preserve">48%</t>
  </si>
  <si>
    <t xml:space="preserve">Retainage Legacy</t>
  </si>
  <si>
    <t xml:space="preserve">OUTSTANDING</t>
  </si>
  <si>
    <t xml:space="preserve">&lt;90 days post-closeout</t>
  </si>
  <si>
    <t xml:space="preserve">WATCH</t>
  </si>
  <si>
    <t xml:space="preserve">$79,172.25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</si>
  <si>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</si>
  <si>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</si>
  <si>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</si>
  <si>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</si>
  <si>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</si>
  <si>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</si>
  <si>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</si>
  <si>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</si>
  <si>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</si>
  <si>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</si>
  <si>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$14,527/unit rev, $6,679/unit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</si>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</sst>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109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1583445</v>
      </c>
      <c r="D25" s="9" t="n">
        <v>728005.75</v>
      </c>
      <c r="F25" s="9" t="n">
        <v>855439.25</v>
      </c>
      <c r="H25" s="10" t="n">
        <v>11019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12900</v>
      </c>
      <c r="E6" s="15" t="n">
        <v>13200</v>
      </c>
      <c r="F6" s="9" t="n">
        <v>3510.5</v>
      </c>
      <c r="G6" s="16" t="n">
        <f aca="false">F6-E6</f>
        <v>-9689.5</v>
      </c>
      <c r="H6" s="17" t="n">
        <f aca="false">IF(E6=0,"",F6/E6)</f>
        <v>0.26594696969697</v>
      </c>
      <c r="I6" s="10" t="n">
        <v>69.5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20900</v>
      </c>
      <c r="E7" s="15" t="n">
        <v>21200</v>
      </c>
      <c r="F7" s="9" t="n">
        <v>15398</v>
      </c>
      <c r="G7" s="16" t="n">
        <f aca="false">F7-E7</f>
        <v>-5802</v>
      </c>
      <c r="H7" s="17" t="n">
        <f aca="false">IF(E7=0,"",F7/E7)</f>
        <v>0.726320754716981</v>
      </c>
      <c r="I7" s="10" t="n">
        <v>277.5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35740</v>
      </c>
      <c r="E8" s="15" t="n">
        <v>39130</v>
      </c>
      <c r="F8" s="9" t="n">
        <v>20109.5</v>
      </c>
      <c r="G8" s="16" t="n">
        <f aca="false">F8-E8</f>
        <v>-19020.5</v>
      </c>
      <c r="H8" s="17" t="n">
        <f aca="false">IF(E8=0,"",F8/E8)</f>
        <v>0.513915154612829</v>
      </c>
      <c r="I8" s="10" t="n">
        <v>596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51800</v>
      </c>
      <c r="E9" s="15" t="n">
        <v>53120</v>
      </c>
      <c r="F9" s="9" t="n">
        <v>25234.5</v>
      </c>
      <c r="G9" s="16" t="n">
        <f aca="false">F9-E9</f>
        <v>-27885.5</v>
      </c>
      <c r="H9" s="17" t="n">
        <f aca="false">IF(E9=0,"",F9/E9)</f>
        <v>0.475047063253012</v>
      </c>
      <c r="I9" s="10" t="n">
        <v>863.5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6960</v>
      </c>
      <c r="E10" s="15" t="n">
        <v>7380</v>
      </c>
      <c r="F10" s="9" t="n">
        <v>10065</v>
      </c>
      <c r="G10" s="16" t="n">
        <f aca="false">F10-E10</f>
        <v>2685</v>
      </c>
      <c r="H10" s="17" t="n">
        <f aca="false">IF(E10=0,"",F10/E10)</f>
        <v>1.36382113821138</v>
      </c>
      <c r="I10" s="10" t="n">
        <v>290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139140</v>
      </c>
      <c r="E11" s="15" t="n">
        <v>143130</v>
      </c>
      <c r="F11" s="9" t="n">
        <v>146478</v>
      </c>
      <c r="G11" s="16" t="n">
        <f aca="false">F11-E11</f>
        <v>3348</v>
      </c>
      <c r="H11" s="17" t="n">
        <f aca="false">IF(E11=0,"",F11/E11)</f>
        <v>1.02339132257388</v>
      </c>
      <c r="I11" s="10" t="n">
        <v>5253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30640</v>
      </c>
      <c r="E12" s="15" t="n">
        <v>28735</v>
      </c>
      <c r="F12" s="9" t="n">
        <v>25473</v>
      </c>
      <c r="G12" s="16" t="n">
        <f aca="false">F12-E12</f>
        <v>-3262</v>
      </c>
      <c r="H12" s="17" t="n">
        <f aca="false">IF(E12=0,"",F12/E12)</f>
        <v>0.886479902557856</v>
      </c>
      <c r="I12" s="10" t="n">
        <v>922.5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11900</v>
      </c>
      <c r="E13" s="15" t="n">
        <v>11900</v>
      </c>
      <c r="F13" s="9" t="n">
        <v>9705</v>
      </c>
      <c r="G13" s="16" t="n">
        <f aca="false">F13-E13</f>
        <v>-2195</v>
      </c>
      <c r="H13" s="17" t="n">
        <f aca="false">IF(E13=0,"",F13/E13)</f>
        <v>0.815546218487395</v>
      </c>
      <c r="I13" s="10" t="n">
        <v>275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38260</v>
      </c>
      <c r="E14" s="15" t="n">
        <v>39220</v>
      </c>
      <c r="F14" s="9" t="n">
        <v>45112</v>
      </c>
      <c r="G14" s="16" t="n">
        <f aca="false">F14-E14</f>
        <v>5892</v>
      </c>
      <c r="H14" s="17" t="n">
        <f aca="false">IF(E14=0,"",F14/E14)</f>
        <v>1.15022947475778</v>
      </c>
      <c r="I14" s="10" t="n">
        <v>1645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10600</v>
      </c>
      <c r="E15" s="15" t="n">
        <v>11140</v>
      </c>
      <c r="F15" s="9" t="n">
        <v>10649.5</v>
      </c>
      <c r="G15" s="16" t="n">
        <f aca="false">F15-E15</f>
        <v>-490.5</v>
      </c>
      <c r="H15" s="17" t="n">
        <f aca="false">IF(E15=0,"",F15/E15)</f>
        <v>0.955969479353681</v>
      </c>
      <c r="I15" s="10" t="n">
        <v>288</v>
      </c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0</v>
      </c>
      <c r="E16" s="15" t="n">
        <v>0</v>
      </c>
      <c r="F16" s="9" t="n">
        <v>13291</v>
      </c>
      <c r="G16" s="16" t="n">
        <f aca="false">F16-E16</f>
        <v>13291</v>
      </c>
      <c r="H16" s="17" t="str">
        <f aca="false">IF(E16=0,"",F16/E16)</f>
        <v/>
      </c>
      <c r="I16" s="10" t="n">
        <v>489</v>
      </c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33850</v>
      </c>
      <c r="E17" s="15" t="n">
        <v>34823</v>
      </c>
      <c r="F17" s="9" t="n">
        <v>11843.79</v>
      </c>
      <c r="G17" s="16" t="n">
        <f aca="false">F17-E17</f>
        <v>-22979.21</v>
      </c>
      <c r="H17" s="17" t="n">
        <f aca="false">IF(E17=0,"",F17/E17)</f>
        <v>0.340114005111564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28205</v>
      </c>
      <c r="E18" s="15" t="n">
        <v>31448</v>
      </c>
      <c r="F18" s="9" t="n">
        <v>22375.47</v>
      </c>
      <c r="G18" s="16" t="n">
        <f aca="false">F18-E18</f>
        <v>-9072.53</v>
      </c>
      <c r="H18" s="17" t="n">
        <f aca="false">IF(E18=0,"",F18/E18)</f>
        <v>0.711506932078352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8700</v>
      </c>
      <c r="E19" s="15" t="n">
        <v>9582</v>
      </c>
      <c r="F19" s="9" t="n">
        <v>6739.32</v>
      </c>
      <c r="G19" s="16" t="n">
        <f aca="false">F19-E19</f>
        <v>-2842.68</v>
      </c>
      <c r="H19" s="17" t="n">
        <f aca="false">IF(E19=0,"",F19/E19)</f>
        <v>0.703331246086412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53365</v>
      </c>
      <c r="E20" s="15" t="n">
        <v>54365</v>
      </c>
      <c r="F20" s="9" t="n">
        <v>30692.52</v>
      </c>
      <c r="G20" s="16" t="n">
        <f aca="false">F20-E20</f>
        <v>-23672.48</v>
      </c>
      <c r="H20" s="17" t="n">
        <f aca="false">IF(E20=0,"",F20/E20)</f>
        <v>0.564563965786811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328175</v>
      </c>
      <c r="E21" s="15" t="n">
        <v>321400</v>
      </c>
      <c r="F21" s="9" t="n">
        <v>200687.65</v>
      </c>
      <c r="G21" s="16" t="n">
        <f aca="false">F21-E21</f>
        <v>-120712.35</v>
      </c>
      <c r="H21" s="17" t="n">
        <f aca="false">IF(E21=0,"",F21/E21)</f>
        <v>0.624417081518357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14400</v>
      </c>
      <c r="E22" s="15" t="n">
        <v>14400</v>
      </c>
      <c r="F22" s="9" t="n">
        <v>3780.25</v>
      </c>
      <c r="G22" s="16" t="n">
        <f aca="false">F22-E22</f>
        <v>-10619.75</v>
      </c>
      <c r="H22" s="17" t="n">
        <f aca="false">IF(E22=0,"",F22/E22)</f>
        <v>0.262517361111111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51400</v>
      </c>
      <c r="E23" s="15" t="n">
        <v>52597</v>
      </c>
      <c r="F23" s="9" t="n">
        <v>29819.24</v>
      </c>
      <c r="G23" s="16" t="n">
        <f aca="false">F23-E23</f>
        <v>-22777.76</v>
      </c>
      <c r="H23" s="17" t="n">
        <f aca="false">IF(E23=0,"",F23/E23)</f>
        <v>0.566938038291157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30800</v>
      </c>
      <c r="E24" s="15" t="n">
        <v>33306</v>
      </c>
      <c r="F24" s="9" t="n">
        <v>12806.38</v>
      </c>
      <c r="G24" s="16" t="n">
        <f aca="false">F24-E24</f>
        <v>-20499.62</v>
      </c>
      <c r="H24" s="17" t="n">
        <f aca="false">IF(E24=0,"",F24/E24)</f>
        <v>0.384506695490302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0</v>
      </c>
      <c r="E25" s="15" t="n">
        <v>0</v>
      </c>
      <c r="F25" s="9" t="n">
        <v>1275</v>
      </c>
      <c r="G25" s="16" t="n">
        <f aca="false">F25-E25</f>
        <v>1275</v>
      </c>
      <c r="H25" s="17" t="str">
        <f aca="false">IF(E25=0,"",F25/E25)</f>
        <v/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1000</v>
      </c>
      <c r="E26" s="15" t="n">
        <v>1000</v>
      </c>
      <c r="F26" s="9" t="n">
        <v>4122.5</v>
      </c>
      <c r="G26" s="16" t="n">
        <f aca="false">F26-E26</f>
        <v>3122.5</v>
      </c>
      <c r="H26" s="17" t="n">
        <f aca="false">IF(E26=0,"",F26/E26)</f>
        <v>4.1225</v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55000</v>
      </c>
      <c r="E27" s="15" t="n">
        <v>55500</v>
      </c>
      <c r="F27" s="9" t="n">
        <v>29259.75</v>
      </c>
      <c r="G27" s="16" t="n">
        <f aca="false">F27-E27</f>
        <v>-26240.25</v>
      </c>
      <c r="H27" s="17" t="n">
        <f aca="false">IF(E27=0,"",F27/E27)</f>
        <v>0.527202702702703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10000</v>
      </c>
      <c r="E28" s="15" t="n">
        <v>10000</v>
      </c>
      <c r="F28" s="9" t="n">
        <v>2579.5</v>
      </c>
      <c r="G28" s="16" t="n">
        <f aca="false">F28-E28</f>
        <v>-7420.5</v>
      </c>
      <c r="H28" s="17" t="n">
        <f aca="false">IF(E28=0,"",F28/E28)</f>
        <v>0.25795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18000</v>
      </c>
      <c r="E29" s="15" t="n">
        <v>3000</v>
      </c>
      <c r="F29" s="9" t="n">
        <v>287.82</v>
      </c>
      <c r="G29" s="16" t="n">
        <f aca="false">F29-E29</f>
        <v>-2712.18</v>
      </c>
      <c r="H29" s="17" t="n">
        <f aca="false">IF(E29=0,"",F29/E29)</f>
        <v>0.09594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7000</v>
      </c>
      <c r="E30" s="15" t="n">
        <v>7000</v>
      </c>
      <c r="F30" s="9" t="n">
        <v>5130</v>
      </c>
      <c r="G30" s="16" t="n">
        <f aca="false">F30-E30</f>
        <v>-1870</v>
      </c>
      <c r="H30" s="17" t="n">
        <f aca="false">IF(E30=0,"",F30/E30)</f>
        <v>0.732857142857143</v>
      </c>
      <c r="I30" s="11"/>
      <c r="J30" s="11" t="s">
        <v>5</v>
      </c>
    </row>
    <row r="31" customFormat="false" ht="15" hidden="false" customHeight="false" outlineLevel="0" collapsed="false">
      <c r="B31" s="11" t="s">
        <v>138</v>
      </c>
      <c r="C31" s="11" t="s">
        <v>139</v>
      </c>
      <c r="D31" s="15" t="n">
        <v>159145.54</v>
      </c>
      <c r="E31" s="15" t="n">
        <v>163244.14</v>
      </c>
      <c r="F31" s="9" t="n">
        <v>144149.08</v>
      </c>
      <c r="G31" s="16" t="n">
        <f aca="false">F31-E31</f>
        <v>-19095.06</v>
      </c>
      <c r="H31" s="17" t="n">
        <f aca="false">IF(E31=0,"",F31/E31)</f>
        <v>0.883027592904713</v>
      </c>
      <c r="I31" s="11"/>
      <c r="J31" s="11" t="s">
        <v>5</v>
      </c>
    </row>
    <row r="32" customFormat="false" ht="15" hidden="false" customHeight="false" outlineLevel="0" collapsed="false">
      <c r="B32" s="11" t="s">
        <v>140</v>
      </c>
      <c r="C32" s="11" t="s">
        <v>141</v>
      </c>
      <c r="D32" s="15" t="n">
        <v>27451.26</v>
      </c>
      <c r="E32" s="15" t="n">
        <v>28163.89</v>
      </c>
      <c r="F32" s="9" t="n">
        <v>24864.98</v>
      </c>
      <c r="G32" s="16" t="n">
        <f aca="false">F32-E32</f>
        <v>-3298.91</v>
      </c>
      <c r="H32" s="17" t="n">
        <f aca="false">IF(E32=0,"",F32/E32)</f>
        <v>0.882867387992213</v>
      </c>
      <c r="I32" s="11"/>
      <c r="J32" s="11" t="s">
        <v>5</v>
      </c>
    </row>
    <row r="33" customFormat="false" ht="15" hidden="false" customHeight="false" outlineLevel="0" collapsed="false">
      <c r="B33" s="11" t="s">
        <v>142</v>
      </c>
      <c r="C33" s="11" t="s">
        <v>143</v>
      </c>
      <c r="D33" s="15" t="n">
        <v>-1576200</v>
      </c>
      <c r="E33" s="15" t="n">
        <v>-1583445</v>
      </c>
      <c r="F33" s="9" t="n">
        <v>-1583445</v>
      </c>
      <c r="G33" s="16" t="n">
        <f aca="false">F33-E33</f>
        <v>0</v>
      </c>
      <c r="H33" s="17" t="n">
        <f aca="false">IF(E33=0,"",F33/E33)</f>
        <v>1</v>
      </c>
      <c r="I33" s="11"/>
      <c r="J33" s="11" t="s">
        <v>5</v>
      </c>
    </row>
    <row r="34" customFormat="false" ht="15" hidden="false" customHeight="false" outlineLevel="0" collapsed="false">
      <c r="B34" s="18" t="s">
        <v>144</v>
      </c>
      <c r="D34" s="19" t="n">
        <f aca="false">SUM(D6:D33)</f>
        <v>-390868.2</v>
      </c>
      <c r="E34" s="19" t="n">
        <f aca="false">SUM(E6:E33)</f>
        <v>-395460.97</v>
      </c>
      <c r="F34" s="20" t="n">
        <f aca="false">SUM(F6:F33)</f>
        <v>-728005.75</v>
      </c>
      <c r="G34" s="16" t="n">
        <f aca="false">F34-E34</f>
        <v>-332544.78</v>
      </c>
      <c r="I34" s="21" t="n">
        <f aca="false">SUM(I6:I33)</f>
        <v>10969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145</v>
      </c>
    </row>
    <row r="3" customFormat="false" ht="21.75" hidden="false" customHeight="true" outlineLevel="0" collapsed="false">
      <c r="B3" s="2" t="s">
        <v>146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147</v>
      </c>
      <c r="C5" s="3" t="s">
        <v>148</v>
      </c>
      <c r="D5" s="3" t="s">
        <v>149</v>
      </c>
      <c r="E5" s="3" t="s">
        <v>150</v>
      </c>
      <c r="F5" s="3" t="s">
        <v>151</v>
      </c>
      <c r="G5" s="3" t="s">
        <v>87</v>
      </c>
    </row>
    <row r="6" customFormat="false" ht="15" hidden="false" customHeight="false" outlineLevel="0" collapsed="false">
      <c r="B6" s="11" t="s">
        <v>152</v>
      </c>
      <c r="C6" s="11" t="s">
        <v>153</v>
      </c>
      <c r="D6" s="9" t="n">
        <v>325026</v>
      </c>
      <c r="E6" s="17" t="n">
        <f aca="false">D6/$D$11</f>
        <v>0.379952170770747</v>
      </c>
      <c r="F6" s="17" t="n">
        <f aca="false">D6/1583445</f>
        <v>0.205265102355939</v>
      </c>
      <c r="G6" s="11" t="s">
        <v>5</v>
      </c>
    </row>
    <row r="7" customFormat="false" ht="15" hidden="false" customHeight="false" outlineLevel="0" collapsed="false">
      <c r="B7" s="11" t="s">
        <v>154</v>
      </c>
      <c r="C7" s="11" t="s">
        <v>155</v>
      </c>
      <c r="D7" s="9" t="n">
        <v>320019.62</v>
      </c>
      <c r="E7" s="17" t="n">
        <f aca="false">D7/$D$11</f>
        <v>0.374099762198192</v>
      </c>
      <c r="F7" s="17" t="n">
        <f aca="false">D7/1583445</f>
        <v>0.202103401128552</v>
      </c>
      <c r="G7" s="11" t="s">
        <v>5</v>
      </c>
    </row>
    <row r="8" customFormat="false" ht="15" hidden="false" customHeight="false" outlineLevel="0" collapsed="false">
      <c r="B8" s="11" t="s">
        <v>156</v>
      </c>
      <c r="C8" s="11" t="s">
        <v>157</v>
      </c>
      <c r="D8" s="9" t="n">
        <v>41379.57</v>
      </c>
      <c r="E8" s="17" t="n">
        <f aca="false">D8/$D$11</f>
        <v>0.0483723069756269</v>
      </c>
      <c r="F8" s="17" t="n">
        <f aca="false">D8/1583445</f>
        <v>0.0261326222255904</v>
      </c>
      <c r="G8" s="11" t="s">
        <v>5</v>
      </c>
    </row>
    <row r="9" customFormat="false" ht="15" hidden="false" customHeight="false" outlineLevel="0" collapsed="false">
      <c r="B9" s="11" t="s">
        <v>139</v>
      </c>
      <c r="C9" s="11" t="s">
        <v>138</v>
      </c>
      <c r="D9" s="9" t="n">
        <v>144149.08</v>
      </c>
      <c r="E9" s="17" t="n">
        <f aca="false">D9/$D$11</f>
        <v>0.16850884501734</v>
      </c>
      <c r="F9" s="17" t="n">
        <f aca="false">D9/1583445</f>
        <v>0.091035103840045</v>
      </c>
      <c r="G9" s="11" t="s">
        <v>5</v>
      </c>
    </row>
    <row r="10" customFormat="false" ht="15" hidden="false" customHeight="false" outlineLevel="0" collapsed="false">
      <c r="B10" s="11" t="s">
        <v>141</v>
      </c>
      <c r="C10" s="11" t="s">
        <v>140</v>
      </c>
      <c r="D10" s="9" t="n">
        <v>24864.98</v>
      </c>
      <c r="E10" s="17" t="n">
        <f aca="false">D10/$D$11</f>
        <v>0.029066915038093</v>
      </c>
      <c r="F10" s="17" t="n">
        <f aca="false">D10/1583445</f>
        <v>0.0157030904136235</v>
      </c>
      <c r="G10" s="11" t="s">
        <v>5</v>
      </c>
    </row>
    <row r="11" customFormat="false" ht="15" hidden="false" customHeight="false" outlineLevel="0" collapsed="false">
      <c r="B11" s="18" t="s">
        <v>158</v>
      </c>
      <c r="D11" s="20" t="n">
        <f aca="false">SUM(D6:D10)</f>
        <v>855439.25</v>
      </c>
      <c r="E11" s="17" t="n">
        <v>1</v>
      </c>
      <c r="F11" s="17" t="n">
        <f aca="false">D11/1583445</f>
        <v>0.54023931996375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159</v>
      </c>
    </row>
    <row r="3" customFormat="false" ht="21.75" hidden="false" customHeight="true" outlineLevel="0" collapsed="false">
      <c r="B3" s="2" t="s">
        <v>160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87</v>
      </c>
    </row>
    <row r="6" customFormat="false" ht="15" hidden="false" customHeight="false" outlineLevel="0" collapsed="false">
      <c r="B6" s="11" t="s">
        <v>166</v>
      </c>
      <c r="C6" s="11" t="s">
        <v>167</v>
      </c>
      <c r="D6" s="9" t="n">
        <v>76975.46</v>
      </c>
      <c r="E6" s="22" t="n">
        <v>8</v>
      </c>
      <c r="F6" s="11" t="s">
        <v>168</v>
      </c>
      <c r="G6" s="11" t="s">
        <v>5</v>
      </c>
    </row>
    <row r="7" customFormat="false" ht="15" hidden="false" customHeight="false" outlineLevel="0" collapsed="false">
      <c r="B7" s="11" t="s">
        <v>169</v>
      </c>
      <c r="C7" s="11" t="s">
        <v>170</v>
      </c>
      <c r="D7" s="9" t="n">
        <v>65443.39</v>
      </c>
      <c r="E7" s="22" t="n">
        <v>50</v>
      </c>
      <c r="F7" s="11" t="s">
        <v>168</v>
      </c>
      <c r="G7" s="11" t="s">
        <v>5</v>
      </c>
    </row>
    <row r="8" customFormat="false" ht="15" hidden="false" customHeight="false" outlineLevel="0" collapsed="false">
      <c r="B8" s="11" t="s">
        <v>171</v>
      </c>
      <c r="C8" s="11" t="s">
        <v>172</v>
      </c>
      <c r="D8" s="9" t="n">
        <v>43563.76</v>
      </c>
      <c r="E8" s="22" t="n">
        <v>36</v>
      </c>
      <c r="F8" s="11" t="s">
        <v>168</v>
      </c>
      <c r="G8" s="11" t="s">
        <v>5</v>
      </c>
    </row>
    <row r="9" customFormat="false" ht="15" hidden="false" customHeight="false" outlineLevel="0" collapsed="false">
      <c r="B9" s="11" t="s">
        <v>173</v>
      </c>
      <c r="C9" s="11" t="s">
        <v>174</v>
      </c>
      <c r="D9" s="9" t="n">
        <v>37728.4</v>
      </c>
      <c r="E9" s="22" t="n">
        <v>5</v>
      </c>
      <c r="F9" s="11" t="s">
        <v>168</v>
      </c>
      <c r="G9" s="11" t="s">
        <v>5</v>
      </c>
    </row>
    <row r="10" customFormat="false" ht="15" hidden="false" customHeight="false" outlineLevel="0" collapsed="false">
      <c r="B10" s="11" t="s">
        <v>175</v>
      </c>
      <c r="C10" s="11" t="s">
        <v>176</v>
      </c>
      <c r="D10" s="9" t="n">
        <v>31901.89</v>
      </c>
      <c r="E10" s="22" t="n">
        <v>18</v>
      </c>
      <c r="F10" s="11" t="s">
        <v>168</v>
      </c>
      <c r="G10" s="11" t="s">
        <v>5</v>
      </c>
    </row>
    <row r="11" customFormat="false" ht="15" hidden="false" customHeight="false" outlineLevel="0" collapsed="false">
      <c r="B11" s="11" t="s">
        <v>177</v>
      </c>
      <c r="C11" s="11" t="s">
        <v>178</v>
      </c>
      <c r="D11" s="9" t="n">
        <v>29259.75</v>
      </c>
      <c r="E11" s="22" t="n">
        <v>6</v>
      </c>
      <c r="F11" s="11" t="s">
        <v>179</v>
      </c>
      <c r="G11" s="11" t="s">
        <v>5</v>
      </c>
    </row>
    <row r="12" customFormat="false" ht="15" hidden="false" customHeight="false" outlineLevel="0" collapsed="false">
      <c r="B12" s="11" t="s">
        <v>180</v>
      </c>
      <c r="C12" s="11" t="s">
        <v>181</v>
      </c>
      <c r="D12" s="9" t="n">
        <v>20677.51</v>
      </c>
      <c r="E12" s="22" t="n">
        <v>48</v>
      </c>
      <c r="F12" s="11" t="s">
        <v>168</v>
      </c>
      <c r="G12" s="11" t="s">
        <v>5</v>
      </c>
    </row>
    <row r="13" customFormat="false" ht="15" hidden="false" customHeight="false" outlineLevel="0" collapsed="false">
      <c r="B13" s="11" t="s">
        <v>182</v>
      </c>
      <c r="C13" s="11" t="s">
        <v>183</v>
      </c>
      <c r="D13" s="9" t="n">
        <v>10174.62</v>
      </c>
      <c r="E13" s="22" t="n">
        <v>16</v>
      </c>
      <c r="F13" s="11" t="s">
        <v>168</v>
      </c>
      <c r="G13" s="11" t="s">
        <v>5</v>
      </c>
    </row>
    <row r="14" customFormat="false" ht="15" hidden="false" customHeight="false" outlineLevel="0" collapsed="false">
      <c r="B14" s="11" t="s">
        <v>184</v>
      </c>
      <c r="C14" s="11" t="s">
        <v>185</v>
      </c>
      <c r="D14" s="9" t="n">
        <v>5786.71</v>
      </c>
      <c r="E14" s="22" t="n">
        <v>31</v>
      </c>
      <c r="F14" s="11" t="s">
        <v>186</v>
      </c>
      <c r="G14" s="11" t="s">
        <v>5</v>
      </c>
    </row>
    <row r="15" customFormat="false" ht="15" hidden="false" customHeight="false" outlineLevel="0" collapsed="false">
      <c r="B15" s="11" t="s">
        <v>187</v>
      </c>
      <c r="C15" s="11" t="s">
        <v>188</v>
      </c>
      <c r="D15" s="9" t="n">
        <v>4072.5</v>
      </c>
      <c r="E15" s="22" t="n">
        <v>1</v>
      </c>
      <c r="F15" s="11" t="s">
        <v>189</v>
      </c>
      <c r="G15" s="11" t="s">
        <v>5</v>
      </c>
    </row>
    <row r="16" customFormat="false" ht="15" hidden="false" customHeight="false" outlineLevel="0" collapsed="false">
      <c r="B16" s="11" t="s">
        <v>190</v>
      </c>
      <c r="C16" s="11" t="s">
        <v>191</v>
      </c>
      <c r="D16" s="9" t="n">
        <v>2579.5</v>
      </c>
      <c r="E16" s="22" t="n">
        <v>7</v>
      </c>
      <c r="F16" s="11" t="s">
        <v>189</v>
      </c>
      <c r="G16" s="11" t="s">
        <v>5</v>
      </c>
    </row>
    <row r="17" customFormat="false" ht="15" hidden="false" customHeight="false" outlineLevel="0" collapsed="false">
      <c r="B17" s="11" t="s">
        <v>192</v>
      </c>
      <c r="C17" s="11" t="s">
        <v>193</v>
      </c>
      <c r="D17" s="9" t="n">
        <v>1743</v>
      </c>
      <c r="E17" s="22" t="n">
        <v>2</v>
      </c>
      <c r="F17" s="11" t="s">
        <v>189</v>
      </c>
      <c r="G17" s="11" t="s">
        <v>5</v>
      </c>
    </row>
    <row r="18" customFormat="false" ht="15" hidden="false" customHeight="false" outlineLevel="0" collapsed="false">
      <c r="B18" s="11" t="s">
        <v>194</v>
      </c>
      <c r="C18" s="11" t="s">
        <v>195</v>
      </c>
      <c r="D18" s="9" t="n">
        <v>640.23</v>
      </c>
      <c r="E18" s="22" t="n">
        <v>4</v>
      </c>
      <c r="F18" s="11" t="s">
        <v>168</v>
      </c>
      <c r="G18" s="11" t="s">
        <v>5</v>
      </c>
    </row>
    <row r="19" customFormat="false" ht="15" hidden="false" customHeight="false" outlineLevel="0" collapsed="false">
      <c r="B19" s="11" t="s">
        <v>196</v>
      </c>
      <c r="C19" s="11" t="s">
        <v>197</v>
      </c>
      <c r="D19" s="9" t="n">
        <v>485.88</v>
      </c>
      <c r="E19" s="22" t="n">
        <v>1</v>
      </c>
      <c r="F19" s="11" t="s">
        <v>189</v>
      </c>
      <c r="G19" s="11" t="s">
        <v>5</v>
      </c>
    </row>
    <row r="20" customFormat="false" ht="15" hidden="false" customHeight="false" outlineLevel="0" collapsed="false">
      <c r="B20" s="11" t="s">
        <v>198</v>
      </c>
      <c r="C20" s="11" t="s">
        <v>199</v>
      </c>
      <c r="D20" s="9" t="n">
        <v>377.8</v>
      </c>
      <c r="E20" s="22" t="n">
        <v>1</v>
      </c>
      <c r="F20" s="11" t="s">
        <v>189</v>
      </c>
      <c r="G20" s="11" t="s">
        <v>5</v>
      </c>
    </row>
    <row r="21" customFormat="false" ht="15" hidden="false" customHeight="false" outlineLevel="0" collapsed="false">
      <c r="B21" s="11" t="s">
        <v>200</v>
      </c>
      <c r="C21" s="11" t="s">
        <v>201</v>
      </c>
      <c r="D21" s="9" t="n">
        <v>285</v>
      </c>
      <c r="E21" s="22" t="n">
        <v>1</v>
      </c>
      <c r="F21" s="11" t="s">
        <v>186</v>
      </c>
      <c r="G21" s="11" t="s">
        <v>5</v>
      </c>
    </row>
    <row r="22" customFormat="false" ht="15" hidden="false" customHeight="false" outlineLevel="0" collapsed="false">
      <c r="B22" s="11" t="s">
        <v>202</v>
      </c>
      <c r="C22" s="11" t="s">
        <v>203</v>
      </c>
      <c r="D22" s="9" t="n">
        <v>242.15</v>
      </c>
      <c r="E22" s="22" t="n">
        <v>1</v>
      </c>
      <c r="F22" s="11" t="s">
        <v>168</v>
      </c>
      <c r="G22" s="11" t="s">
        <v>5</v>
      </c>
    </row>
    <row r="23" customFormat="false" ht="15" hidden="false" customHeight="false" outlineLevel="0" collapsed="false">
      <c r="B23" s="11" t="s">
        <v>204</v>
      </c>
      <c r="C23" s="11" t="s">
        <v>205</v>
      </c>
      <c r="D23" s="9" t="n">
        <v>87.78</v>
      </c>
      <c r="E23" s="22" t="n">
        <v>1</v>
      </c>
      <c r="F23" s="11" t="s">
        <v>189</v>
      </c>
      <c r="G23" s="11" t="s">
        <v>5</v>
      </c>
    </row>
    <row r="24" customFormat="false" ht="15" hidden="false" customHeight="false" outlineLevel="0" collapsed="false">
      <c r="B24" s="11" t="s">
        <v>206</v>
      </c>
      <c r="C24" s="11" t="s">
        <v>207</v>
      </c>
      <c r="D24" s="9" t="n">
        <v>76.26</v>
      </c>
      <c r="E24" s="22" t="n">
        <v>1</v>
      </c>
      <c r="F24" s="11" t="s">
        <v>168</v>
      </c>
      <c r="G24" s="11" t="s">
        <v>5</v>
      </c>
    </row>
    <row r="25" customFormat="false" ht="15" hidden="false" customHeight="false" outlineLevel="0" collapsed="false">
      <c r="B25" s="11" t="s">
        <v>208</v>
      </c>
      <c r="C25" s="11" t="s">
        <v>209</v>
      </c>
      <c r="D25" s="9" t="n">
        <v>50</v>
      </c>
      <c r="E25" s="22" t="n">
        <v>1</v>
      </c>
      <c r="F25" s="11" t="s">
        <v>210</v>
      </c>
      <c r="G25" s="11" t="s">
        <v>5</v>
      </c>
    </row>
    <row r="26" customFormat="false" ht="15" hidden="false" customHeight="false" outlineLevel="0" collapsed="false">
      <c r="B26" s="11" t="s">
        <v>211</v>
      </c>
      <c r="C26" s="11" t="s">
        <v>212</v>
      </c>
      <c r="D26" s="9" t="n">
        <v>0</v>
      </c>
      <c r="E26" s="22" t="n">
        <v>2</v>
      </c>
      <c r="F26" s="11" t="s">
        <v>168</v>
      </c>
      <c r="G26" s="11" t="s">
        <v>5</v>
      </c>
    </row>
    <row r="27" customFormat="false" ht="15" hidden="false" customHeight="false" outlineLevel="0" collapsed="false">
      <c r="B27" s="18" t="s">
        <v>144</v>
      </c>
      <c r="D27" s="20" t="n">
        <f aca="false">SUM(D6:D26)</f>
        <v>332151.59</v>
      </c>
      <c r="E27" s="23" t="n">
        <f aca="false">SUM(E6:E26)</f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213</v>
      </c>
    </row>
    <row r="3" customFormat="false" ht="21.75" hidden="false" customHeight="true" outlineLevel="0" collapsed="false">
      <c r="B3" s="2" t="s">
        <v>214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215</v>
      </c>
      <c r="C5" s="3" t="s">
        <v>216</v>
      </c>
      <c r="D5" s="3" t="s">
        <v>217</v>
      </c>
      <c r="E5" s="3" t="s">
        <v>218</v>
      </c>
      <c r="F5" s="3" t="s">
        <v>219</v>
      </c>
      <c r="G5" s="3" t="s">
        <v>220</v>
      </c>
      <c r="H5" s="3" t="s">
        <v>87</v>
      </c>
    </row>
    <row r="6" customFormat="false" ht="15" hidden="false" customHeight="false" outlineLevel="0" collapsed="false">
      <c r="B6" s="11" t="s">
        <v>221</v>
      </c>
      <c r="C6" s="11" t="s">
        <v>222</v>
      </c>
      <c r="D6" s="10" t="n">
        <v>1732</v>
      </c>
      <c r="E6" s="9" t="n">
        <v>71479</v>
      </c>
      <c r="F6" s="20" t="n">
        <f aca="false">IF(D6=0,0,E6/D6)</f>
        <v>41.2696304849885</v>
      </c>
      <c r="G6" s="22" t="n">
        <v>72</v>
      </c>
      <c r="H6" s="11" t="s">
        <v>5</v>
      </c>
    </row>
    <row r="7" customFormat="false" ht="15" hidden="false" customHeight="false" outlineLevel="0" collapsed="false">
      <c r="B7" s="11" t="s">
        <v>223</v>
      </c>
      <c r="C7" s="11" t="s">
        <v>224</v>
      </c>
      <c r="D7" s="10" t="n">
        <v>1642</v>
      </c>
      <c r="E7" s="9" t="n">
        <v>39145.75</v>
      </c>
      <c r="F7" s="20" t="n">
        <f aca="false">IF(D7=0,0,E7/D7)</f>
        <v>23.8402862362972</v>
      </c>
      <c r="G7" s="22" t="n">
        <v>58</v>
      </c>
      <c r="H7" s="11" t="s">
        <v>5</v>
      </c>
    </row>
    <row r="8" customFormat="false" ht="15" hidden="false" customHeight="false" outlineLevel="0" collapsed="false">
      <c r="B8" s="11" t="s">
        <v>225</v>
      </c>
      <c r="C8" s="11" t="s">
        <v>226</v>
      </c>
      <c r="D8" s="10" t="n">
        <v>1220</v>
      </c>
      <c r="E8" s="9" t="n">
        <v>31689</v>
      </c>
      <c r="F8" s="20" t="n">
        <f aca="false">IF(D8=0,0,E8/D8)</f>
        <v>25.9745901639344</v>
      </c>
      <c r="G8" s="22" t="n">
        <v>32</v>
      </c>
      <c r="H8" s="11" t="s">
        <v>5</v>
      </c>
    </row>
    <row r="9" customFormat="false" ht="15" hidden="false" customHeight="false" outlineLevel="0" collapsed="false">
      <c r="B9" s="11" t="s">
        <v>227</v>
      </c>
      <c r="C9" s="11" t="s">
        <v>228</v>
      </c>
      <c r="D9" s="10" t="n">
        <v>1062</v>
      </c>
      <c r="E9" s="9" t="n">
        <v>30092</v>
      </c>
      <c r="F9" s="20" t="n">
        <f aca="false">IF(D9=0,0,E9/D9)</f>
        <v>28.3352165725047</v>
      </c>
      <c r="G9" s="22" t="n">
        <v>33</v>
      </c>
      <c r="H9" s="11" t="s">
        <v>5</v>
      </c>
    </row>
    <row r="10" customFormat="false" ht="15" hidden="false" customHeight="false" outlineLevel="0" collapsed="false">
      <c r="B10" s="11" t="s">
        <v>229</v>
      </c>
      <c r="C10" s="11" t="s">
        <v>230</v>
      </c>
      <c r="D10" s="10" t="n">
        <v>782</v>
      </c>
      <c r="E10" s="9" t="n">
        <v>22968</v>
      </c>
      <c r="F10" s="20" t="n">
        <f aca="false">IF(D10=0,0,E10/D10)</f>
        <v>29.3708439897698</v>
      </c>
      <c r="G10" s="22" t="n">
        <v>21</v>
      </c>
      <c r="H10" s="11" t="s">
        <v>5</v>
      </c>
    </row>
    <row r="11" customFormat="false" ht="15" hidden="false" customHeight="false" outlineLevel="0" collapsed="false">
      <c r="B11" s="11" t="s">
        <v>231</v>
      </c>
      <c r="C11" s="11" t="s">
        <v>232</v>
      </c>
      <c r="D11" s="10" t="n">
        <v>694</v>
      </c>
      <c r="E11" s="9" t="n">
        <v>22477</v>
      </c>
      <c r="F11" s="20" t="n">
        <f aca="false">IF(D11=0,0,E11/D11)</f>
        <v>32.3876080691643</v>
      </c>
      <c r="G11" s="22" t="n">
        <v>19</v>
      </c>
      <c r="H11" s="11" t="s">
        <v>5</v>
      </c>
    </row>
    <row r="12" customFormat="false" ht="15" hidden="false" customHeight="false" outlineLevel="0" collapsed="false">
      <c r="B12" s="11" t="s">
        <v>233</v>
      </c>
      <c r="C12" s="11" t="s">
        <v>234</v>
      </c>
      <c r="D12" s="10" t="n">
        <v>693</v>
      </c>
      <c r="E12" s="9" t="n">
        <v>12888</v>
      </c>
      <c r="F12" s="20" t="n">
        <f aca="false">IF(D12=0,0,E12/D12)</f>
        <v>18.5974025974026</v>
      </c>
      <c r="G12" s="22" t="n">
        <v>20</v>
      </c>
      <c r="H12" s="11" t="s">
        <v>5</v>
      </c>
    </row>
    <row r="13" customFormat="false" ht="15" hidden="false" customHeight="false" outlineLevel="0" collapsed="false">
      <c r="B13" s="11" t="s">
        <v>235</v>
      </c>
      <c r="C13" s="11" t="s">
        <v>236</v>
      </c>
      <c r="D13" s="10" t="n">
        <v>606</v>
      </c>
      <c r="E13" s="9" t="n">
        <v>14209.5</v>
      </c>
      <c r="F13" s="20" t="n">
        <f aca="false">IF(D13=0,0,E13/D13)</f>
        <v>23.4480198019802</v>
      </c>
      <c r="G13" s="22" t="n">
        <v>20</v>
      </c>
      <c r="H13" s="11" t="s">
        <v>5</v>
      </c>
    </row>
    <row r="14" customFormat="false" ht="15" hidden="false" customHeight="false" outlineLevel="0" collapsed="false">
      <c r="B14" s="11" t="s">
        <v>237</v>
      </c>
      <c r="C14" s="11" t="s">
        <v>238</v>
      </c>
      <c r="D14" s="10" t="n">
        <v>538</v>
      </c>
      <c r="E14" s="9" t="n">
        <v>9684</v>
      </c>
      <c r="F14" s="20" t="n">
        <f aca="false">IF(D14=0,0,E14/D14)</f>
        <v>18</v>
      </c>
      <c r="G14" s="22" t="n">
        <v>17</v>
      </c>
      <c r="H14" s="11" t="s">
        <v>5</v>
      </c>
    </row>
    <row r="15" customFormat="false" ht="15" hidden="false" customHeight="false" outlineLevel="0" collapsed="false">
      <c r="B15" s="11" t="s">
        <v>239</v>
      </c>
      <c r="C15" s="11" t="s">
        <v>240</v>
      </c>
      <c r="D15" s="10" t="n">
        <v>338.5</v>
      </c>
      <c r="E15" s="9" t="n">
        <v>15309.25</v>
      </c>
      <c r="F15" s="20" t="n">
        <f aca="false">IF(D15=0,0,E15/D15)</f>
        <v>45.2267355982275</v>
      </c>
      <c r="G15" s="22" t="n">
        <v>46</v>
      </c>
      <c r="H15" s="11" t="s">
        <v>5</v>
      </c>
    </row>
    <row r="16" customFormat="false" ht="15" hidden="false" customHeight="false" outlineLevel="0" collapsed="false">
      <c r="B16" s="11" t="s">
        <v>241</v>
      </c>
      <c r="C16" s="11" t="s">
        <v>242</v>
      </c>
      <c r="D16" s="10" t="n">
        <v>234</v>
      </c>
      <c r="E16" s="9" t="n">
        <v>7254</v>
      </c>
      <c r="F16" s="20" t="n">
        <f aca="false">IF(D16=0,0,E16/D16)</f>
        <v>31</v>
      </c>
      <c r="G16" s="22" t="n">
        <v>6</v>
      </c>
      <c r="H16" s="11" t="s">
        <v>5</v>
      </c>
    </row>
    <row r="17" customFormat="false" ht="15" hidden="false" customHeight="false" outlineLevel="0" collapsed="false">
      <c r="B17" s="11" t="s">
        <v>243</v>
      </c>
      <c r="C17" s="11" t="s">
        <v>244</v>
      </c>
      <c r="D17" s="10" t="n">
        <v>230</v>
      </c>
      <c r="E17" s="9" t="n">
        <v>12950</v>
      </c>
      <c r="F17" s="20" t="n">
        <f aca="false">IF(D17=0,0,E17/D17)</f>
        <v>56.304347826087</v>
      </c>
      <c r="G17" s="22" t="n">
        <v>67</v>
      </c>
      <c r="H17" s="11" t="s">
        <v>5</v>
      </c>
    </row>
    <row r="18" customFormat="false" ht="15" hidden="false" customHeight="false" outlineLevel="0" collapsed="false">
      <c r="B18" s="11" t="s">
        <v>245</v>
      </c>
      <c r="C18" s="11" t="s">
        <v>246</v>
      </c>
      <c r="D18" s="10" t="n">
        <v>197</v>
      </c>
      <c r="E18" s="9" t="n">
        <v>5295.5</v>
      </c>
      <c r="F18" s="20" t="n">
        <f aca="false">IF(D18=0,0,E18/D18)</f>
        <v>26.8807106598985</v>
      </c>
      <c r="G18" s="22" t="n">
        <v>13</v>
      </c>
      <c r="H18" s="11" t="s">
        <v>5</v>
      </c>
    </row>
    <row r="19" customFormat="false" ht="15" hidden="false" customHeight="false" outlineLevel="0" collapsed="false">
      <c r="B19" s="11" t="s">
        <v>247</v>
      </c>
      <c r="C19" s="11" t="s">
        <v>248</v>
      </c>
      <c r="D19" s="10" t="n">
        <v>178.5</v>
      </c>
      <c r="E19" s="9" t="n">
        <v>3108</v>
      </c>
      <c r="F19" s="20" t="n">
        <f aca="false">IF(D19=0,0,E19/D19)</f>
        <v>17.4117647058824</v>
      </c>
      <c r="G19" s="22" t="n">
        <v>9</v>
      </c>
      <c r="H19" s="11" t="s">
        <v>5</v>
      </c>
    </row>
    <row r="20" customFormat="false" ht="15" hidden="false" customHeight="false" outlineLevel="0" collapsed="false">
      <c r="B20" s="11" t="s">
        <v>249</v>
      </c>
      <c r="C20" s="11" t="s">
        <v>250</v>
      </c>
      <c r="D20" s="10" t="n">
        <v>175.5</v>
      </c>
      <c r="E20" s="9" t="n">
        <v>8766</v>
      </c>
      <c r="F20" s="20" t="n">
        <f aca="false">IF(D20=0,0,E20/D20)</f>
        <v>49.948717948718</v>
      </c>
      <c r="G20" s="22" t="n">
        <v>29</v>
      </c>
      <c r="H20" s="11" t="s">
        <v>5</v>
      </c>
    </row>
    <row r="21" customFormat="false" ht="15" hidden="false" customHeight="false" outlineLevel="0" collapsed="false">
      <c r="B21" s="11" t="s">
        <v>251</v>
      </c>
      <c r="C21" s="11" t="s">
        <v>252</v>
      </c>
      <c r="D21" s="10" t="n">
        <v>123</v>
      </c>
      <c r="E21" s="9" t="n">
        <v>5958.5</v>
      </c>
      <c r="F21" s="20" t="n">
        <f aca="false">IF(D21=0,0,E21/D21)</f>
        <v>48.4430894308943</v>
      </c>
      <c r="G21" s="22" t="n">
        <v>46</v>
      </c>
      <c r="H21" s="11" t="s">
        <v>5</v>
      </c>
    </row>
    <row r="22" customFormat="false" ht="15" hidden="false" customHeight="false" outlineLevel="0" collapsed="false">
      <c r="B22" s="11" t="s">
        <v>253</v>
      </c>
      <c r="C22" s="11" t="s">
        <v>254</v>
      </c>
      <c r="D22" s="10" t="n">
        <v>108.5</v>
      </c>
      <c r="E22" s="9" t="n">
        <v>2161.5</v>
      </c>
      <c r="F22" s="20" t="n">
        <f aca="false">IF(D22=0,0,E22/D22)</f>
        <v>19.9216589861751</v>
      </c>
      <c r="G22" s="22" t="n">
        <v>7</v>
      </c>
      <c r="H22" s="11" t="s">
        <v>5</v>
      </c>
    </row>
    <row r="23" customFormat="false" ht="15" hidden="false" customHeight="false" outlineLevel="0" collapsed="false">
      <c r="B23" s="11" t="s">
        <v>255</v>
      </c>
      <c r="C23" s="11" t="s">
        <v>256</v>
      </c>
      <c r="D23" s="10" t="n">
        <v>91</v>
      </c>
      <c r="E23" s="9" t="n">
        <v>2302.5</v>
      </c>
      <c r="F23" s="20" t="n">
        <f aca="false">IF(D23=0,0,E23/D23)</f>
        <v>25.3021978021978</v>
      </c>
      <c r="G23" s="22" t="n">
        <v>6</v>
      </c>
      <c r="H23" s="11" t="s">
        <v>5</v>
      </c>
    </row>
    <row r="24" customFormat="false" ht="15" hidden="false" customHeight="false" outlineLevel="0" collapsed="false">
      <c r="B24" s="11" t="s">
        <v>257</v>
      </c>
      <c r="C24" s="11" t="s">
        <v>258</v>
      </c>
      <c r="D24" s="10" t="n">
        <v>78</v>
      </c>
      <c r="E24" s="9" t="n">
        <v>1530</v>
      </c>
      <c r="F24" s="20" t="n">
        <f aca="false">IF(D24=0,0,E24/D24)</f>
        <v>19.6153846153846</v>
      </c>
      <c r="G24" s="22" t="n">
        <v>8</v>
      </c>
      <c r="H24" s="11" t="s">
        <v>5</v>
      </c>
    </row>
    <row r="25" customFormat="false" ht="15" hidden="false" customHeight="false" outlineLevel="0" collapsed="false">
      <c r="B25" s="11" t="s">
        <v>259</v>
      </c>
      <c r="C25" s="11" t="s">
        <v>260</v>
      </c>
      <c r="D25" s="10" t="n">
        <v>72</v>
      </c>
      <c r="E25" s="9" t="n">
        <v>1224</v>
      </c>
      <c r="F25" s="20" t="n">
        <f aca="false">IF(D25=0,0,E25/D25)</f>
        <v>17</v>
      </c>
      <c r="G25" s="22" t="n">
        <v>3</v>
      </c>
      <c r="H25" s="11" t="s">
        <v>5</v>
      </c>
    </row>
    <row r="26" customFormat="false" ht="15" hidden="false" customHeight="false" outlineLevel="0" collapsed="false">
      <c r="B26" s="11" t="s">
        <v>261</v>
      </c>
      <c r="C26" s="11" t="s">
        <v>262</v>
      </c>
      <c r="D26" s="10" t="n">
        <v>56</v>
      </c>
      <c r="E26" s="9" t="n">
        <v>816</v>
      </c>
      <c r="F26" s="20" t="n">
        <f aca="false">IF(D26=0,0,E26/D26)</f>
        <v>14.5714285714286</v>
      </c>
      <c r="G26" s="22" t="n">
        <v>3</v>
      </c>
      <c r="H26" s="11" t="s">
        <v>5</v>
      </c>
    </row>
    <row r="27" customFormat="false" ht="15" hidden="false" customHeight="false" outlineLevel="0" collapsed="false">
      <c r="B27" s="11" t="s">
        <v>263</v>
      </c>
      <c r="C27" s="11" t="s">
        <v>264</v>
      </c>
      <c r="D27" s="10" t="n">
        <v>48</v>
      </c>
      <c r="E27" s="9" t="n">
        <v>868</v>
      </c>
      <c r="F27" s="20" t="n">
        <f aca="false">IF(D27=0,0,E27/D27)</f>
        <v>18.0833333333333</v>
      </c>
      <c r="G27" s="22" t="n">
        <v>5</v>
      </c>
      <c r="H27" s="11" t="s">
        <v>5</v>
      </c>
    </row>
    <row r="28" customFormat="false" ht="15" hidden="false" customHeight="false" outlineLevel="0" collapsed="false">
      <c r="B28" s="11" t="s">
        <v>265</v>
      </c>
      <c r="C28" s="11" t="s">
        <v>266</v>
      </c>
      <c r="D28" s="10" t="n">
        <v>26</v>
      </c>
      <c r="E28" s="9" t="n">
        <v>468</v>
      </c>
      <c r="F28" s="20" t="n">
        <f aca="false">IF(D28=0,0,E28/D28)</f>
        <v>18</v>
      </c>
      <c r="G28" s="22" t="n">
        <v>3</v>
      </c>
      <c r="H28" s="11" t="s">
        <v>5</v>
      </c>
    </row>
    <row r="29" customFormat="false" ht="15" hidden="false" customHeight="false" outlineLevel="0" collapsed="false">
      <c r="B29" s="11" t="s">
        <v>267</v>
      </c>
      <c r="C29" s="11" t="s">
        <v>268</v>
      </c>
      <c r="D29" s="10" t="n">
        <v>16</v>
      </c>
      <c r="E29" s="9" t="n">
        <v>288</v>
      </c>
      <c r="F29" s="20" t="n">
        <f aca="false">IF(D29=0,0,E29/D29)</f>
        <v>18</v>
      </c>
      <c r="G29" s="22" t="n">
        <v>2</v>
      </c>
      <c r="H29" s="11" t="s">
        <v>5</v>
      </c>
    </row>
    <row r="30" customFormat="false" ht="15" hidden="false" customHeight="false" outlineLevel="0" collapsed="false">
      <c r="B30" s="11" t="s">
        <v>269</v>
      </c>
      <c r="C30" s="11" t="s">
        <v>270</v>
      </c>
      <c r="D30" s="10" t="n">
        <v>16</v>
      </c>
      <c r="E30" s="9" t="n">
        <v>432</v>
      </c>
      <c r="F30" s="20" t="n">
        <f aca="false">IF(D30=0,0,E30/D30)</f>
        <v>27</v>
      </c>
      <c r="G30" s="22" t="n">
        <v>1</v>
      </c>
      <c r="H30" s="11" t="s">
        <v>5</v>
      </c>
    </row>
    <row r="31" customFormat="false" ht="15" hidden="false" customHeight="false" outlineLevel="0" collapsed="false">
      <c r="B31" s="11" t="s">
        <v>271</v>
      </c>
      <c r="C31" s="11" t="s">
        <v>272</v>
      </c>
      <c r="D31" s="10" t="n">
        <v>14</v>
      </c>
      <c r="E31" s="9" t="n">
        <v>478.5</v>
      </c>
      <c r="F31" s="20" t="n">
        <f aca="false">IF(D31=0,0,E31/D31)</f>
        <v>34.1785714285714</v>
      </c>
      <c r="G31" s="22" t="n">
        <v>2</v>
      </c>
      <c r="H31" s="11" t="s">
        <v>5</v>
      </c>
    </row>
    <row r="32" customFormat="false" ht="15" hidden="false" customHeight="false" outlineLevel="0" collapsed="false">
      <c r="B32" s="11" t="s">
        <v>273</v>
      </c>
      <c r="C32" s="11" t="s">
        <v>274</v>
      </c>
      <c r="D32" s="10" t="n">
        <v>13</v>
      </c>
      <c r="E32" s="9" t="n">
        <v>320</v>
      </c>
      <c r="F32" s="20" t="n">
        <f aca="false">IF(D32=0,0,E32/D32)</f>
        <v>24.6153846153846</v>
      </c>
      <c r="G32" s="22" t="n">
        <v>2</v>
      </c>
      <c r="H32" s="11" t="s">
        <v>5</v>
      </c>
    </row>
    <row r="33" customFormat="false" ht="15" hidden="false" customHeight="false" outlineLevel="0" collapsed="false">
      <c r="B33" s="11" t="s">
        <v>275</v>
      </c>
      <c r="C33" s="11" t="s">
        <v>276</v>
      </c>
      <c r="D33" s="10" t="n">
        <v>12</v>
      </c>
      <c r="E33" s="9" t="n">
        <v>264</v>
      </c>
      <c r="F33" s="20" t="n">
        <f aca="false">IF(D33=0,0,E33/D33)</f>
        <v>22</v>
      </c>
      <c r="G33" s="22" t="n">
        <v>1</v>
      </c>
      <c r="H33" s="11" t="s">
        <v>5</v>
      </c>
    </row>
    <row r="34" customFormat="false" ht="15" hidden="false" customHeight="false" outlineLevel="0" collapsed="false">
      <c r="B34" s="11" t="s">
        <v>277</v>
      </c>
      <c r="C34" s="11" t="s">
        <v>278</v>
      </c>
      <c r="D34" s="10" t="n">
        <v>8</v>
      </c>
      <c r="E34" s="9" t="n">
        <v>312</v>
      </c>
      <c r="F34" s="20" t="n">
        <f aca="false">IF(D34=0,0,E34/D34)</f>
        <v>39</v>
      </c>
      <c r="G34" s="22" t="n">
        <v>1</v>
      </c>
      <c r="H34" s="11" t="s">
        <v>5</v>
      </c>
    </row>
    <row r="35" customFormat="false" ht="15" hidden="false" customHeight="false" outlineLevel="0" collapsed="false">
      <c r="B35" s="11" t="s">
        <v>279</v>
      </c>
      <c r="C35" s="11" t="s">
        <v>280</v>
      </c>
      <c r="D35" s="10" t="n">
        <v>7</v>
      </c>
      <c r="E35" s="9" t="n">
        <v>192</v>
      </c>
      <c r="F35" s="20" t="n">
        <f aca="false">IF(D35=0,0,E35/D35)</f>
        <v>27.4285714285714</v>
      </c>
      <c r="G35" s="22" t="n">
        <v>1</v>
      </c>
      <c r="H35" s="11" t="s">
        <v>5</v>
      </c>
    </row>
    <row r="36" customFormat="false" ht="15" hidden="false" customHeight="false" outlineLevel="0" collapsed="false">
      <c r="B36" s="11" t="s">
        <v>281</v>
      </c>
      <c r="C36" s="11" t="s">
        <v>282</v>
      </c>
      <c r="D36" s="10" t="n">
        <v>4</v>
      </c>
      <c r="E36" s="9" t="n">
        <v>0</v>
      </c>
      <c r="F36" s="20" t="n">
        <f aca="false">IF(D36=0,0,E36/D36)</f>
        <v>0</v>
      </c>
      <c r="G36" s="22" t="n">
        <v>2</v>
      </c>
      <c r="H36" s="11" t="s">
        <v>5</v>
      </c>
    </row>
    <row r="37" customFormat="false" ht="15" hidden="false" customHeight="false" outlineLevel="0" collapsed="false">
      <c r="B37" s="11" t="s">
        <v>283</v>
      </c>
      <c r="C37" s="11" t="s">
        <v>284</v>
      </c>
      <c r="D37" s="10" t="n">
        <v>4</v>
      </c>
      <c r="E37" s="9" t="n">
        <v>96</v>
      </c>
      <c r="F37" s="20" t="n">
        <f aca="false">IF(D37=0,0,E37/D37)</f>
        <v>24</v>
      </c>
      <c r="G37" s="22" t="n">
        <v>1</v>
      </c>
      <c r="H37" s="11" t="s">
        <v>5</v>
      </c>
    </row>
    <row r="38" customFormat="false" ht="15" hidden="false" customHeight="false" outlineLevel="0" collapsed="false">
      <c r="B38" s="18" t="s">
        <v>144</v>
      </c>
      <c r="D38" s="21" t="n">
        <f aca="false">SUM(D6:D37)</f>
        <v>11019</v>
      </c>
      <c r="E38" s="20" t="n">
        <f aca="false">SUM(E6:E37)</f>
        <v>325026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285</v>
      </c>
    </row>
    <row r="3" customFormat="false" ht="21.75" hidden="false" customHeight="true" outlineLevel="0" collapsed="false">
      <c r="B3" s="2" t="s">
        <v>286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287</v>
      </c>
    </row>
    <row r="6" customFormat="false" ht="15" hidden="false" customHeight="false" outlineLevel="0" collapsed="false">
      <c r="B6" s="3" t="s">
        <v>288</v>
      </c>
      <c r="C6" s="3" t="s">
        <v>289</v>
      </c>
      <c r="D6" s="3" t="s">
        <v>290</v>
      </c>
      <c r="E6" s="3" t="s">
        <v>87</v>
      </c>
    </row>
    <row r="7" customFormat="false" ht="15" hidden="false" customHeight="false" outlineLevel="0" collapsed="false">
      <c r="B7" s="11" t="s">
        <v>291</v>
      </c>
      <c r="C7" s="10" t="n">
        <v>32</v>
      </c>
      <c r="D7" s="11" t="s">
        <v>292</v>
      </c>
      <c r="E7" s="11" t="s">
        <v>5</v>
      </c>
    </row>
    <row r="8" customFormat="false" ht="15" hidden="false" customHeight="false" outlineLevel="0" collapsed="false">
      <c r="B8" s="11" t="s">
        <v>293</v>
      </c>
      <c r="C8" s="10" t="n">
        <v>11019</v>
      </c>
      <c r="D8" s="11" t="s">
        <v>294</v>
      </c>
      <c r="E8" s="11" t="s">
        <v>5</v>
      </c>
    </row>
    <row r="9" customFormat="false" ht="15" hidden="false" customHeight="false" outlineLevel="0" collapsed="false">
      <c r="B9" s="11" t="s">
        <v>295</v>
      </c>
      <c r="C9" s="10" t="n">
        <v>325026</v>
      </c>
      <c r="D9" s="11" t="s">
        <v>294</v>
      </c>
      <c r="E9" s="11" t="s">
        <v>5</v>
      </c>
    </row>
    <row r="10" customFormat="false" ht="15" hidden="false" customHeight="false" outlineLevel="0" collapsed="false">
      <c r="B10" s="11" t="s">
        <v>296</v>
      </c>
      <c r="C10" s="9" t="n">
        <v>29.4968690443779</v>
      </c>
      <c r="D10" s="11" t="s">
        <v>297</v>
      </c>
      <c r="E10" s="11" t="s">
        <v>298</v>
      </c>
    </row>
    <row r="11" customFormat="false" ht="15" hidden="false" customHeight="false" outlineLevel="0" collapsed="false">
      <c r="B11" s="11" t="s">
        <v>299</v>
      </c>
      <c r="C11" s="24" t="n">
        <v>0.157183047463472</v>
      </c>
      <c r="D11" s="11" t="s">
        <v>300</v>
      </c>
      <c r="E11" s="11" t="s">
        <v>298</v>
      </c>
    </row>
    <row r="12" customFormat="false" ht="15" hidden="false" customHeight="false" outlineLevel="0" collapsed="false">
      <c r="B12" s="11" t="s">
        <v>301</v>
      </c>
      <c r="C12" s="24" t="n">
        <v>0.584263544786278</v>
      </c>
      <c r="D12" s="11" t="s">
        <v>302</v>
      </c>
      <c r="E12" s="11" t="s">
        <v>298</v>
      </c>
    </row>
    <row r="13" customFormat="false" ht="15" hidden="false" customHeight="false" outlineLevel="0" collapsed="false">
      <c r="B13" s="11" t="s">
        <v>303</v>
      </c>
      <c r="C13" s="9" t="n">
        <v>56.304347826087</v>
      </c>
      <c r="D13" s="11" t="s">
        <v>304</v>
      </c>
      <c r="E13" s="11" t="s">
        <v>298</v>
      </c>
    </row>
    <row r="14" customFormat="false" ht="15" hidden="false" customHeight="false" outlineLevel="0" collapsed="false">
      <c r="B14" s="11" t="s">
        <v>305</v>
      </c>
      <c r="C14" s="9" t="n">
        <v>0</v>
      </c>
      <c r="D14" s="11" t="s">
        <v>304</v>
      </c>
      <c r="E14" s="11" t="s">
        <v>298</v>
      </c>
    </row>
    <row r="15" customFormat="false" ht="15" hidden="false" customHeight="false" outlineLevel="0" collapsed="false">
      <c r="B15" s="11" t="s">
        <v>306</v>
      </c>
      <c r="C15" s="10" t="n">
        <v>344.34375</v>
      </c>
      <c r="D15" s="11" t="s">
        <v>307</v>
      </c>
      <c r="E15" s="11" t="s">
        <v>298</v>
      </c>
    </row>
    <row r="16" customFormat="false" ht="15" hidden="false" customHeight="false" outlineLevel="0" collapsed="false">
      <c r="B16" s="11" t="s">
        <v>308</v>
      </c>
      <c r="C16" s="10" t="n">
        <v>17.375</v>
      </c>
      <c r="D16" s="11" t="s">
        <v>309</v>
      </c>
      <c r="E16" s="11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310</v>
      </c>
    </row>
    <row r="3" customFormat="false" ht="21.75" hidden="false" customHeight="true" outlineLevel="0" collapsed="false">
      <c r="B3" s="2" t="s">
        <v>311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288</v>
      </c>
      <c r="C5" s="3" t="s">
        <v>289</v>
      </c>
      <c r="D5" s="3" t="s">
        <v>312</v>
      </c>
      <c r="E5" s="3" t="s">
        <v>313</v>
      </c>
    </row>
    <row r="6" customFormat="false" ht="15" hidden="false" customHeight="false" outlineLevel="0" collapsed="false">
      <c r="B6" s="11" t="s">
        <v>314</v>
      </c>
      <c r="C6" s="9" t="n">
        <v>143.701334059352</v>
      </c>
      <c r="D6" s="11" t="s">
        <v>315</v>
      </c>
    </row>
    <row r="7" customFormat="false" ht="15" hidden="false" customHeight="false" outlineLevel="0" collapsed="false">
      <c r="B7" s="11" t="s">
        <v>316</v>
      </c>
      <c r="C7" s="9" t="n">
        <v>66.068223069244</v>
      </c>
      <c r="D7" s="11" t="s">
        <v>315</v>
      </c>
    </row>
    <row r="8" customFormat="false" ht="15" hidden="false" customHeight="false" outlineLevel="0" collapsed="false">
      <c r="B8" s="11" t="s">
        <v>317</v>
      </c>
      <c r="C8" s="9" t="n">
        <v>29.4968690443779</v>
      </c>
      <c r="D8" s="11" t="s">
        <v>315</v>
      </c>
      <c r="E8" s="11" t="s">
        <v>318</v>
      </c>
    </row>
    <row r="9" customFormat="false" ht="15" hidden="false" customHeight="false" outlineLevel="0" collapsed="false">
      <c r="B9" s="11" t="s">
        <v>319</v>
      </c>
      <c r="C9" s="9" t="n">
        <v>60.1737</v>
      </c>
      <c r="D9" s="11" t="s">
        <v>315</v>
      </c>
      <c r="E9" s="11" t="s">
        <v>320</v>
      </c>
    </row>
    <row r="10" customFormat="false" ht="15" hidden="false" customHeight="false" outlineLevel="0" collapsed="false">
      <c r="B10" s="11" t="s">
        <v>321</v>
      </c>
      <c r="C10" s="25" t="n">
        <v>1.3421</v>
      </c>
      <c r="D10" s="11" t="s">
        <v>322</v>
      </c>
      <c r="E10" s="11" t="s">
        <v>323</v>
      </c>
    </row>
    <row r="11" customFormat="false" ht="15" hidden="false" customHeight="false" outlineLevel="0" collapsed="false">
      <c r="B11" s="11" t="s">
        <v>324</v>
      </c>
      <c r="C11" s="10" t="n">
        <v>5253</v>
      </c>
      <c r="D11" s="11" t="s">
        <v>325</v>
      </c>
    </row>
    <row r="12" customFormat="false" ht="15" hidden="false" customHeight="false" outlineLevel="0" collapsed="false">
      <c r="B12" s="11" t="s">
        <v>326</v>
      </c>
      <c r="C12" s="10" t="n">
        <v>922.5</v>
      </c>
      <c r="D12" s="11" t="s">
        <v>325</v>
      </c>
    </row>
    <row r="13" customFormat="false" ht="15" hidden="false" customHeight="false" outlineLevel="0" collapsed="false">
      <c r="B13" s="11" t="s">
        <v>327</v>
      </c>
      <c r="C13" s="26" t="n">
        <v>0.47889506791868</v>
      </c>
      <c r="D13" s="11" t="s">
        <v>328</v>
      </c>
    </row>
    <row r="14" customFormat="false" ht="15" hidden="false" customHeight="false" outlineLevel="0" collapsed="false">
      <c r="B14" s="11" t="s">
        <v>329</v>
      </c>
      <c r="C14" s="26" t="n">
        <v>0.45976068003625</v>
      </c>
      <c r="D14" s="11" t="s">
        <v>328</v>
      </c>
    </row>
    <row r="15" customFormat="false" ht="15" hidden="false" customHeight="false" outlineLevel="0" collapsed="false">
      <c r="B15" s="11" t="s">
        <v>330</v>
      </c>
      <c r="C15" s="26" t="n">
        <v>0.205265102355939</v>
      </c>
      <c r="D15" s="11" t="s">
        <v>328</v>
      </c>
    </row>
    <row r="16" customFormat="false" ht="15" hidden="false" customHeight="false" outlineLevel="0" collapsed="false">
      <c r="B16" s="11" t="s">
        <v>331</v>
      </c>
      <c r="C16" s="26" t="n">
        <v>0.202103401128552</v>
      </c>
      <c r="D16" s="11" t="s">
        <v>328</v>
      </c>
    </row>
    <row r="17" customFormat="false" ht="15" hidden="false" customHeight="false" outlineLevel="0" collapsed="false">
      <c r="B17" s="11" t="s">
        <v>332</v>
      </c>
      <c r="C17" s="26" t="n">
        <v>0.54023931996375</v>
      </c>
      <c r="D17" s="11" t="s">
        <v>328</v>
      </c>
      <c r="E17" s="11" t="s">
        <v>333</v>
      </c>
    </row>
    <row r="18" customFormat="false" ht="15" hidden="false" customHeight="false" outlineLevel="0" collapsed="false">
      <c r="B18" s="11" t="s">
        <v>334</v>
      </c>
      <c r="C18" s="9" t="n">
        <v>14527.0183486239</v>
      </c>
      <c r="D18" s="11" t="s">
        <v>335</v>
      </c>
      <c r="E18" s="11" t="s">
        <v>336</v>
      </c>
    </row>
    <row r="19" customFormat="false" ht="15" hidden="false" customHeight="false" outlineLevel="0" collapsed="false">
      <c r="B19" s="11" t="s">
        <v>337</v>
      </c>
      <c r="C19" s="10" t="n">
        <v>101.091743119266</v>
      </c>
      <c r="D19" s="11" t="s">
        <v>325</v>
      </c>
    </row>
    <row r="20" customFormat="false" ht="15" hidden="false" customHeight="false" outlineLevel="0" collapsed="false">
      <c r="B20" s="11" t="s">
        <v>338</v>
      </c>
      <c r="C20" s="9" t="n">
        <v>2981.88990825688</v>
      </c>
      <c r="D20" s="11" t="s">
        <v>335</v>
      </c>
    </row>
    <row r="21" customFormat="false" ht="15" hidden="false" customHeight="false" outlineLevel="0" collapsed="false">
      <c r="B21" s="11" t="s">
        <v>339</v>
      </c>
      <c r="C21" s="9" t="n">
        <v>2935.95981651376</v>
      </c>
      <c r="D21" s="11" t="s">
        <v>335</v>
      </c>
    </row>
    <row r="22" customFormat="false" ht="15" hidden="false" customHeight="false" outlineLevel="0" collapsed="false">
      <c r="B22" s="11" t="s">
        <v>340</v>
      </c>
      <c r="C22" s="9" t="n">
        <v>7848.06651376147</v>
      </c>
      <c r="D22" s="11" t="s">
        <v>335</v>
      </c>
    </row>
    <row r="23" customFormat="false" ht="15" hidden="false" customHeight="false" outlineLevel="0" collapsed="false">
      <c r="B23" s="11" t="s">
        <v>341</v>
      </c>
      <c r="C23" s="10" t="n">
        <v>48.1926605504587</v>
      </c>
      <c r="D23" s="11" t="s">
        <v>325</v>
      </c>
    </row>
    <row r="24" customFormat="false" ht="15" hidden="false" customHeight="false" outlineLevel="0" collapsed="false">
      <c r="B24" s="11" t="s">
        <v>342</v>
      </c>
      <c r="C24" s="9" t="n">
        <v>2462.58942457232</v>
      </c>
      <c r="D24" s="11" t="s">
        <v>335</v>
      </c>
      <c r="E24" s="11" t="s">
        <v>343</v>
      </c>
    </row>
    <row r="25" customFormat="false" ht="15" hidden="false" customHeight="false" outlineLevel="0" collapsed="false">
      <c r="B25" s="11" t="s">
        <v>344</v>
      </c>
      <c r="C25" s="10" t="n">
        <v>17.1368584758943</v>
      </c>
      <c r="D25" s="11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345</v>
      </c>
    </row>
    <row r="3" customFormat="false" ht="21.75" hidden="false" customHeight="true" outlineLevel="0" collapsed="false">
      <c r="B3" s="2" t="s">
        <v>346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347</v>
      </c>
      <c r="C5" s="3" t="s">
        <v>348</v>
      </c>
      <c r="D5" s="3" t="s">
        <v>349</v>
      </c>
      <c r="E5" s="3" t="s">
        <v>350</v>
      </c>
      <c r="F5" s="3" t="s">
        <v>67</v>
      </c>
      <c r="G5" s="3" t="s">
        <v>80</v>
      </c>
      <c r="H5" s="3" t="s">
        <v>351</v>
      </c>
      <c r="I5" s="3" t="s">
        <v>87</v>
      </c>
    </row>
    <row r="6" customFormat="false" ht="15" hidden="false" customHeight="false" outlineLevel="0" collapsed="false">
      <c r="B6" s="11" t="s">
        <v>352</v>
      </c>
      <c r="C6" s="11" t="s">
        <v>353</v>
      </c>
      <c r="D6" s="11" t="s">
        <v>12</v>
      </c>
      <c r="E6" s="11" t="s">
        <v>354</v>
      </c>
      <c r="F6" s="11" t="s">
        <v>355</v>
      </c>
      <c r="G6" s="11" t="s">
        <v>356</v>
      </c>
      <c r="H6" s="9" t="n">
        <v>1576200</v>
      </c>
      <c r="I6" s="11" t="s">
        <v>20</v>
      </c>
    </row>
    <row r="7" customFormat="false" ht="15" hidden="false" customHeight="false" outlineLevel="0" collapsed="false">
      <c r="B7" s="11" t="s">
        <v>357</v>
      </c>
      <c r="C7" s="11" t="s">
        <v>358</v>
      </c>
      <c r="D7" s="11" t="s">
        <v>12</v>
      </c>
      <c r="E7" s="11" t="s">
        <v>359</v>
      </c>
      <c r="F7" s="11" t="s">
        <v>360</v>
      </c>
      <c r="G7" s="11" t="s">
        <v>361</v>
      </c>
      <c r="H7" s="9" t="n">
        <v>7245</v>
      </c>
      <c r="I7" s="11" t="s">
        <v>5</v>
      </c>
    </row>
    <row r="8" customFormat="false" ht="15" hidden="false" customHeight="false" outlineLevel="0" collapsed="false">
      <c r="B8" s="18" t="s">
        <v>362</v>
      </c>
      <c r="H8" s="20" t="n">
        <f aca="false">SUM(H6:H7)</f>
        <v>1583445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363</v>
      </c>
    </row>
    <row r="3" customFormat="false" ht="21.75" hidden="false" customHeight="true" outlineLevel="0" collapsed="false">
      <c r="B3" s="2" t="s">
        <v>364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365</v>
      </c>
      <c r="C5" s="3" t="s">
        <v>348</v>
      </c>
      <c r="D5" s="3" t="s">
        <v>366</v>
      </c>
      <c r="E5" s="3" t="s">
        <v>367</v>
      </c>
      <c r="F5" s="3" t="s">
        <v>368</v>
      </c>
      <c r="G5" s="3" t="s">
        <v>87</v>
      </c>
    </row>
    <row r="6" customFormat="false" ht="15" hidden="false" customHeight="false" outlineLevel="0" collapsed="false">
      <c r="B6" s="11" t="s">
        <v>369</v>
      </c>
      <c r="C6" s="11" t="s">
        <v>370</v>
      </c>
      <c r="D6" s="27" t="n">
        <v>-70062</v>
      </c>
      <c r="E6" s="27" t="n">
        <v>-3503.1</v>
      </c>
      <c r="F6" s="22" t="n">
        <v>15</v>
      </c>
      <c r="G6" s="11" t="s">
        <v>5</v>
      </c>
    </row>
    <row r="7" customFormat="false" ht="15" hidden="false" customHeight="false" outlineLevel="0" collapsed="false">
      <c r="B7" s="11" t="s">
        <v>371</v>
      </c>
      <c r="C7" s="11" t="s">
        <v>372</v>
      </c>
      <c r="D7" s="27" t="n">
        <v>-67920</v>
      </c>
      <c r="E7" s="27" t="n">
        <v>-3396</v>
      </c>
      <c r="F7" s="22" t="n">
        <v>2</v>
      </c>
      <c r="G7" s="11" t="s">
        <v>5</v>
      </c>
    </row>
    <row r="8" customFormat="false" ht="15" hidden="false" customHeight="false" outlineLevel="0" collapsed="false">
      <c r="B8" s="11" t="s">
        <v>373</v>
      </c>
      <c r="C8" s="11" t="s">
        <v>374</v>
      </c>
      <c r="D8" s="27" t="n">
        <v>-23820</v>
      </c>
      <c r="E8" s="27" t="n">
        <v>-1191</v>
      </c>
      <c r="F8" s="22" t="n">
        <v>2</v>
      </c>
      <c r="G8" s="11" t="s">
        <v>5</v>
      </c>
    </row>
    <row r="9" customFormat="false" ht="15" hidden="false" customHeight="false" outlineLevel="0" collapsed="false">
      <c r="B9" s="11" t="s">
        <v>375</v>
      </c>
      <c r="C9" s="11" t="s">
        <v>374</v>
      </c>
      <c r="D9" s="27" t="n">
        <v>23820</v>
      </c>
      <c r="E9" s="27" t="n">
        <v>1191</v>
      </c>
      <c r="F9" s="22" t="n">
        <v>2</v>
      </c>
      <c r="G9" s="11" t="s">
        <v>5</v>
      </c>
    </row>
    <row r="10" customFormat="false" ht="15" hidden="false" customHeight="false" outlineLevel="0" collapsed="false">
      <c r="B10" s="11" t="s">
        <v>376</v>
      </c>
      <c r="C10" s="11" t="s">
        <v>374</v>
      </c>
      <c r="D10" s="27" t="n">
        <v>-51214</v>
      </c>
      <c r="E10" s="27" t="n">
        <v>-2560.7</v>
      </c>
      <c r="F10" s="22" t="n">
        <v>5</v>
      </c>
      <c r="G10" s="11" t="s">
        <v>5</v>
      </c>
    </row>
    <row r="11" customFormat="false" ht="15" hidden="false" customHeight="false" outlineLevel="0" collapsed="false">
      <c r="B11" s="11" t="s">
        <v>377</v>
      </c>
      <c r="C11" s="11" t="s">
        <v>378</v>
      </c>
      <c r="D11" s="27" t="n">
        <v>-4410</v>
      </c>
      <c r="E11" s="27" t="n">
        <v>-220.5</v>
      </c>
      <c r="F11" s="22" t="n">
        <v>4</v>
      </c>
      <c r="G11" s="11" t="s">
        <v>5</v>
      </c>
    </row>
    <row r="12" customFormat="false" ht="15" hidden="false" customHeight="false" outlineLevel="0" collapsed="false">
      <c r="B12" s="11" t="s">
        <v>379</v>
      </c>
      <c r="C12" s="11" t="s">
        <v>380</v>
      </c>
      <c r="D12" s="27" t="n">
        <v>-282300</v>
      </c>
      <c r="E12" s="27" t="n">
        <v>-14115</v>
      </c>
      <c r="F12" s="22" t="n">
        <v>5</v>
      </c>
      <c r="G12" s="11" t="s">
        <v>5</v>
      </c>
    </row>
    <row r="13" customFormat="false" ht="15" hidden="false" customHeight="false" outlineLevel="0" collapsed="false">
      <c r="B13" s="11" t="s">
        <v>381</v>
      </c>
      <c r="C13" s="11" t="s">
        <v>380</v>
      </c>
      <c r="D13" s="27" t="n">
        <v>282300</v>
      </c>
      <c r="E13" s="27" t="n">
        <v>14115</v>
      </c>
      <c r="F13" s="22" t="n">
        <v>5</v>
      </c>
      <c r="G13" s="11" t="s">
        <v>5</v>
      </c>
    </row>
    <row r="14" customFormat="false" ht="15" hidden="false" customHeight="false" outlineLevel="0" collapsed="false">
      <c r="B14" s="11" t="s">
        <v>88</v>
      </c>
      <c r="C14" s="11" t="s">
        <v>380</v>
      </c>
      <c r="D14" s="27" t="n">
        <v>-217600</v>
      </c>
      <c r="E14" s="27" t="n">
        <v>-10880</v>
      </c>
      <c r="F14" s="22" t="n">
        <v>5</v>
      </c>
      <c r="G14" s="11" t="s">
        <v>5</v>
      </c>
    </row>
    <row r="15" customFormat="false" ht="15" hidden="false" customHeight="false" outlineLevel="0" collapsed="false">
      <c r="B15" s="11" t="s">
        <v>92</v>
      </c>
      <c r="C15" s="11" t="s">
        <v>380</v>
      </c>
      <c r="D15" s="27" t="n">
        <v>217600</v>
      </c>
      <c r="E15" s="27" t="n">
        <v>10880</v>
      </c>
      <c r="F15" s="22" t="n">
        <v>5</v>
      </c>
      <c r="G15" s="11" t="s">
        <v>5</v>
      </c>
    </row>
    <row r="16" customFormat="false" ht="15" hidden="false" customHeight="false" outlineLevel="0" collapsed="false">
      <c r="B16" s="11" t="s">
        <v>94</v>
      </c>
      <c r="C16" s="11" t="s">
        <v>380</v>
      </c>
      <c r="D16" s="27" t="n">
        <v>-178100</v>
      </c>
      <c r="E16" s="27" t="n">
        <v>-8905</v>
      </c>
      <c r="F16" s="22" t="n">
        <v>6</v>
      </c>
      <c r="G16" s="11" t="s">
        <v>5</v>
      </c>
    </row>
    <row r="17" customFormat="false" ht="15" hidden="false" customHeight="false" outlineLevel="0" collapsed="false">
      <c r="B17" s="11" t="s">
        <v>136</v>
      </c>
      <c r="C17" s="11" t="s">
        <v>382</v>
      </c>
      <c r="D17" s="27" t="n">
        <v>-2414</v>
      </c>
      <c r="E17" s="27" t="n">
        <v>-120.7</v>
      </c>
      <c r="F17" s="22" t="n">
        <v>1</v>
      </c>
      <c r="G17" s="11" t="s">
        <v>5</v>
      </c>
    </row>
    <row r="18" customFormat="false" ht="15" hidden="false" customHeight="false" outlineLevel="0" collapsed="false">
      <c r="B18" s="11" t="s">
        <v>383</v>
      </c>
      <c r="C18" s="11" t="s">
        <v>384</v>
      </c>
      <c r="D18" s="27" t="n">
        <v>-509725</v>
      </c>
      <c r="E18" s="27" t="n">
        <v>-25486.25</v>
      </c>
      <c r="F18" s="22" t="n">
        <v>8</v>
      </c>
      <c r="G18" s="11" t="s">
        <v>5</v>
      </c>
    </row>
    <row r="19" customFormat="false" ht="15" hidden="false" customHeight="false" outlineLevel="0" collapsed="false">
      <c r="B19" s="11" t="s">
        <v>385</v>
      </c>
      <c r="C19" s="11" t="s">
        <v>384</v>
      </c>
      <c r="D19" s="27" t="n">
        <v>509725</v>
      </c>
      <c r="E19" s="27" t="n">
        <v>25486.25</v>
      </c>
      <c r="F19" s="22" t="n">
        <v>8</v>
      </c>
      <c r="G19" s="11" t="s">
        <v>5</v>
      </c>
    </row>
    <row r="20" customFormat="false" ht="15" hidden="false" customHeight="false" outlineLevel="0" collapsed="false">
      <c r="B20" s="11" t="s">
        <v>386</v>
      </c>
      <c r="C20" s="11" t="s">
        <v>384</v>
      </c>
      <c r="D20" s="27" t="n">
        <v>-494635</v>
      </c>
      <c r="E20" s="27" t="n">
        <v>-24731.75</v>
      </c>
      <c r="F20" s="22" t="n">
        <v>9</v>
      </c>
      <c r="G20" s="11" t="s">
        <v>5</v>
      </c>
    </row>
    <row r="21" customFormat="false" ht="15" hidden="false" customHeight="false" outlineLevel="0" collapsed="false">
      <c r="B21" s="11" t="s">
        <v>387</v>
      </c>
      <c r="C21" s="11" t="s">
        <v>388</v>
      </c>
      <c r="D21" s="27" t="n">
        <v>-175000</v>
      </c>
      <c r="E21" s="27" t="n">
        <v>-8750</v>
      </c>
      <c r="F21" s="22" t="n">
        <v>3</v>
      </c>
      <c r="G21" s="11" t="s">
        <v>5</v>
      </c>
    </row>
    <row r="22" customFormat="false" ht="15" hidden="false" customHeight="false" outlineLevel="0" collapsed="false">
      <c r="B22" s="11" t="s">
        <v>389</v>
      </c>
      <c r="C22" s="11" t="s">
        <v>388</v>
      </c>
      <c r="D22" s="27" t="n">
        <v>175000</v>
      </c>
      <c r="E22" s="27" t="n">
        <v>8750</v>
      </c>
      <c r="F22" s="22" t="n">
        <v>3</v>
      </c>
      <c r="G22" s="11" t="s">
        <v>5</v>
      </c>
    </row>
    <row r="23" customFormat="false" ht="15" hidden="false" customHeight="false" outlineLevel="0" collapsed="false">
      <c r="B23" s="11" t="s">
        <v>390</v>
      </c>
      <c r="C23" s="11" t="s">
        <v>388</v>
      </c>
      <c r="D23" s="27" t="n">
        <v>-284905</v>
      </c>
      <c r="E23" s="27" t="n">
        <v>-14245.25</v>
      </c>
      <c r="F23" s="22" t="n">
        <v>12</v>
      </c>
      <c r="G23" s="11" t="s">
        <v>5</v>
      </c>
    </row>
    <row r="24" customFormat="false" ht="15" hidden="false" customHeight="false" outlineLevel="0" collapsed="false">
      <c r="B24" s="11" t="s">
        <v>391</v>
      </c>
      <c r="C24" s="11" t="s">
        <v>392</v>
      </c>
      <c r="D24" s="27" t="n">
        <v>-70775</v>
      </c>
      <c r="E24" s="27" t="n">
        <v>-3538.75</v>
      </c>
      <c r="F24" s="22" t="n">
        <v>3</v>
      </c>
      <c r="G24" s="11" t="s">
        <v>5</v>
      </c>
    </row>
    <row r="25" customFormat="false" ht="15" hidden="false" customHeight="false" outlineLevel="0" collapsed="false">
      <c r="B25" s="11" t="s">
        <v>393</v>
      </c>
      <c r="C25" s="11" t="s">
        <v>394</v>
      </c>
      <c r="D25" s="27" t="n">
        <v>-30100</v>
      </c>
      <c r="E25" s="27" t="n">
        <v>-1505</v>
      </c>
      <c r="F25" s="22" t="n">
        <v>8</v>
      </c>
      <c r="G25" s="11" t="s">
        <v>5</v>
      </c>
    </row>
    <row r="26" customFormat="false" ht="15" hidden="false" customHeight="false" outlineLevel="0" collapsed="false">
      <c r="B26" s="11" t="s">
        <v>395</v>
      </c>
      <c r="C26" s="11" t="s">
        <v>396</v>
      </c>
      <c r="D26" s="27" t="n">
        <v>-57300</v>
      </c>
      <c r="E26" s="27" t="n">
        <v>-2865</v>
      </c>
      <c r="F26" s="22" t="n">
        <v>1</v>
      </c>
      <c r="G26" s="11" t="s">
        <v>5</v>
      </c>
    </row>
    <row r="27" customFormat="false" ht="15" hidden="false" customHeight="false" outlineLevel="0" collapsed="false">
      <c r="B27" s="11" t="s">
        <v>397</v>
      </c>
      <c r="C27" s="11" t="s">
        <v>398</v>
      </c>
      <c r="D27" s="27" t="n">
        <v>-21600</v>
      </c>
      <c r="E27" s="27" t="n">
        <v>-1080</v>
      </c>
      <c r="F27" s="22" t="n">
        <v>1</v>
      </c>
      <c r="G27" s="11" t="s">
        <v>5</v>
      </c>
    </row>
    <row r="28" customFormat="false" ht="15" hidden="false" customHeight="false" outlineLevel="0" collapsed="false">
      <c r="B28" s="11" t="s">
        <v>399</v>
      </c>
      <c r="C28" s="11" t="s">
        <v>400</v>
      </c>
      <c r="D28" s="27" t="n">
        <v>-68970</v>
      </c>
      <c r="E28" s="27" t="n">
        <v>-3448.5</v>
      </c>
      <c r="F28" s="22" t="n">
        <v>5</v>
      </c>
      <c r="G28" s="11" t="s">
        <v>5</v>
      </c>
    </row>
    <row r="29" customFormat="false" ht="15" hidden="false" customHeight="false" outlineLevel="0" collapsed="false">
      <c r="B29" s="11" t="s">
        <v>401</v>
      </c>
      <c r="C29" s="11" t="s">
        <v>402</v>
      </c>
      <c r="D29" s="27" t="n">
        <v>-26550</v>
      </c>
      <c r="E29" s="27" t="n">
        <v>-1327.5</v>
      </c>
      <c r="F29" s="22" t="n">
        <v>2</v>
      </c>
      <c r="G29" s="11" t="s">
        <v>5</v>
      </c>
    </row>
    <row r="30" customFormat="false" ht="15" hidden="false" customHeight="false" outlineLevel="0" collapsed="false">
      <c r="B30" s="11" t="s">
        <v>403</v>
      </c>
      <c r="C30" s="11" t="s">
        <v>404</v>
      </c>
      <c r="D30" s="27" t="n">
        <v>-87200</v>
      </c>
      <c r="E30" s="27" t="n">
        <v>-4360</v>
      </c>
      <c r="F30" s="22" t="n">
        <v>1</v>
      </c>
      <c r="G30" s="11" t="s">
        <v>5</v>
      </c>
    </row>
    <row r="31" customFormat="false" ht="15" hidden="false" customHeight="false" outlineLevel="0" collapsed="false">
      <c r="B31" s="11" t="s">
        <v>405</v>
      </c>
      <c r="C31" s="11" t="s">
        <v>406</v>
      </c>
      <c r="D31" s="27" t="n">
        <v>-67290</v>
      </c>
      <c r="E31" s="27" t="n">
        <v>-3364.5</v>
      </c>
      <c r="F31" s="22" t="n">
        <v>6</v>
      </c>
      <c r="G31" s="11" t="s">
        <v>5</v>
      </c>
    </row>
    <row r="32" customFormat="false" ht="15" hidden="false" customHeight="false" outlineLevel="0" collapsed="false">
      <c r="B32" s="18" t="s">
        <v>407</v>
      </c>
      <c r="D32" s="16" t="n">
        <f aca="false">SUM(D6:D31)</f>
        <v>-1583445</v>
      </c>
      <c r="E32" s="16" t="n">
        <f aca="false">SUM(E6:E31)</f>
        <v>-79172.25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408</v>
      </c>
    </row>
    <row r="3" customFormat="false" ht="21.75" hidden="false" customHeight="true" outlineLevel="0" collapsed="false">
      <c r="B3" s="2" t="s">
        <v>409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410</v>
      </c>
      <c r="C5" s="3" t="s">
        <v>411</v>
      </c>
      <c r="D5" s="3" t="s">
        <v>412</v>
      </c>
      <c r="E5" s="3" t="s">
        <v>413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414</v>
      </c>
      <c r="D6" s="11" t="s">
        <v>415</v>
      </c>
      <c r="E6" s="13" t="s">
        <v>416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417</v>
      </c>
      <c r="D7" s="11" t="s">
        <v>418</v>
      </c>
      <c r="E7" s="13" t="s">
        <v>416</v>
      </c>
      <c r="F7" s="11" t="s">
        <v>419</v>
      </c>
    </row>
    <row r="8" customFormat="false" ht="15" hidden="false" customHeight="false" outlineLevel="0" collapsed="false">
      <c r="B8" s="11" t="n">
        <v>3</v>
      </c>
      <c r="C8" s="11" t="s">
        <v>420</v>
      </c>
      <c r="D8" s="11" t="s">
        <v>421</v>
      </c>
      <c r="E8" s="13" t="s">
        <v>416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422</v>
      </c>
      <c r="D9" s="11" t="s">
        <v>423</v>
      </c>
      <c r="E9" s="13" t="s">
        <v>416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424</v>
      </c>
      <c r="D10" s="11" t="s">
        <v>425</v>
      </c>
      <c r="E10" s="13" t="s">
        <v>416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426</v>
      </c>
      <c r="D11" s="11" t="s">
        <v>427</v>
      </c>
      <c r="E11" s="13" t="s">
        <v>416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428</v>
      </c>
      <c r="D12" s="11" t="s">
        <v>429</v>
      </c>
      <c r="E12" s="13" t="s">
        <v>416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430</v>
      </c>
      <c r="D13" s="11" t="s">
        <v>431</v>
      </c>
      <c r="E13" s="13" t="s">
        <v>416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432</v>
      </c>
      <c r="D14" s="11" t="s">
        <v>433</v>
      </c>
      <c r="E14" s="13" t="s">
        <v>416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434</v>
      </c>
      <c r="D15" s="11" t="s">
        <v>435</v>
      </c>
      <c r="E15" s="13" t="s">
        <v>416</v>
      </c>
      <c r="F15" s="11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437</v>
      </c>
    </row>
    <row r="3" customFormat="false" ht="21.75" hidden="false" customHeight="true" outlineLevel="0" collapsed="false">
      <c r="B3" s="2" t="s">
        <v>438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439</v>
      </c>
      <c r="C5" s="3" t="s">
        <v>440</v>
      </c>
      <c r="D5" s="3" t="s">
        <v>289</v>
      </c>
      <c r="E5" s="3" t="s">
        <v>147</v>
      </c>
      <c r="F5" s="3" t="s">
        <v>290</v>
      </c>
      <c r="G5" s="3" t="s">
        <v>413</v>
      </c>
      <c r="H5" s="3" t="s">
        <v>441</v>
      </c>
    </row>
    <row r="6" customFormat="false" ht="15" hidden="false" customHeight="false" outlineLevel="0" collapsed="false">
      <c r="B6" s="11" t="s">
        <v>442</v>
      </c>
      <c r="C6" s="11" t="s">
        <v>443</v>
      </c>
      <c r="D6" s="11" t="s">
        <v>4</v>
      </c>
      <c r="E6" s="11" t="s">
        <v>444</v>
      </c>
      <c r="F6" s="11" t="s">
        <v>445</v>
      </c>
      <c r="G6" s="13" t="s">
        <v>416</v>
      </c>
      <c r="H6" s="11" t="s">
        <v>5</v>
      </c>
    </row>
    <row r="7" customFormat="false" ht="15" hidden="false" customHeight="false" outlineLevel="0" collapsed="false">
      <c r="B7" s="11" t="s">
        <v>446</v>
      </c>
      <c r="C7" s="11" t="s">
        <v>447</v>
      </c>
      <c r="D7" s="11" t="s">
        <v>448</v>
      </c>
      <c r="E7" s="11" t="s">
        <v>444</v>
      </c>
      <c r="F7" s="11"/>
      <c r="G7" s="13" t="s">
        <v>416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449</v>
      </c>
      <c r="D8" s="11" t="s">
        <v>12</v>
      </c>
      <c r="E8" s="11" t="s">
        <v>444</v>
      </c>
      <c r="F8" s="11"/>
      <c r="G8" s="13" t="s">
        <v>416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450</v>
      </c>
      <c r="D9" s="11" t="s">
        <v>17</v>
      </c>
      <c r="E9" s="11" t="s">
        <v>444</v>
      </c>
      <c r="F9" s="11"/>
      <c r="G9" s="13" t="s">
        <v>416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451</v>
      </c>
      <c r="D10" s="11" t="s">
        <v>35</v>
      </c>
      <c r="E10" s="11" t="s">
        <v>444</v>
      </c>
      <c r="F10" s="11"/>
      <c r="G10" s="13" t="s">
        <v>416</v>
      </c>
      <c r="H10" s="11" t="s">
        <v>36</v>
      </c>
    </row>
    <row r="11" customFormat="false" ht="15" hidden="false" customHeight="false" outlineLevel="0" collapsed="false">
      <c r="B11" s="11" t="s">
        <v>452</v>
      </c>
      <c r="C11" s="11" t="s">
        <v>453</v>
      </c>
      <c r="D11" s="11" t="s">
        <v>28</v>
      </c>
      <c r="E11" s="11" t="s">
        <v>444</v>
      </c>
      <c r="F11" s="11"/>
      <c r="G11" s="13" t="s">
        <v>416</v>
      </c>
      <c r="H11" s="11" t="s">
        <v>13</v>
      </c>
    </row>
    <row r="12" customFormat="false" ht="15" hidden="false" customHeight="false" outlineLevel="0" collapsed="false">
      <c r="B12" s="11" t="s">
        <v>454</v>
      </c>
      <c r="C12" s="11" t="s">
        <v>455</v>
      </c>
      <c r="D12" s="11" t="s">
        <v>456</v>
      </c>
      <c r="E12" s="11" t="s">
        <v>444</v>
      </c>
      <c r="F12" s="11"/>
      <c r="G12" s="13" t="s">
        <v>416</v>
      </c>
      <c r="H12" s="11" t="s">
        <v>457</v>
      </c>
    </row>
    <row r="13" customFormat="false" ht="15" hidden="false" customHeight="false" outlineLevel="0" collapsed="false">
      <c r="B13" s="11" t="s">
        <v>458</v>
      </c>
      <c r="C13" s="11" t="s">
        <v>459</v>
      </c>
      <c r="D13" s="11" t="s">
        <v>30</v>
      </c>
      <c r="E13" s="11" t="s">
        <v>444</v>
      </c>
      <c r="F13" s="11"/>
      <c r="G13" s="13" t="s">
        <v>416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460</v>
      </c>
      <c r="D14" s="11" t="s">
        <v>19</v>
      </c>
      <c r="E14" s="11" t="s">
        <v>444</v>
      </c>
      <c r="F14" s="11"/>
      <c r="G14" s="13" t="s">
        <v>416</v>
      </c>
      <c r="H14" s="11" t="s">
        <v>20</v>
      </c>
    </row>
    <row r="15" customFormat="false" ht="15" hidden="false" customHeight="false" outlineLevel="0" collapsed="false">
      <c r="B15" s="11" t="s">
        <v>461</v>
      </c>
      <c r="C15" s="11" t="s">
        <v>462</v>
      </c>
      <c r="D15" s="11" t="s">
        <v>22</v>
      </c>
      <c r="E15" s="11" t="s">
        <v>444</v>
      </c>
      <c r="F15" s="11"/>
      <c r="G15" s="13" t="s">
        <v>416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463</v>
      </c>
      <c r="D16" s="11" t="s">
        <v>26</v>
      </c>
      <c r="E16" s="11" t="s">
        <v>444</v>
      </c>
      <c r="F16" s="11"/>
      <c r="G16" s="13" t="s">
        <v>416</v>
      </c>
      <c r="H16" s="11" t="s">
        <v>20</v>
      </c>
    </row>
    <row r="17" customFormat="false" ht="15" hidden="false" customHeight="false" outlineLevel="0" collapsed="false">
      <c r="B17" s="11" t="s">
        <v>464</v>
      </c>
      <c r="C17" s="11" t="s">
        <v>465</v>
      </c>
      <c r="D17" s="11" t="s">
        <v>353</v>
      </c>
      <c r="E17" s="11" t="s">
        <v>444</v>
      </c>
      <c r="F17" s="11"/>
      <c r="G17" s="13" t="s">
        <v>416</v>
      </c>
      <c r="H17" s="11" t="s">
        <v>20</v>
      </c>
    </row>
    <row r="18" customFormat="false" ht="15" hidden="false" customHeight="false" outlineLevel="0" collapsed="false">
      <c r="B18" s="11" t="s">
        <v>466</v>
      </c>
      <c r="C18" s="11" t="s">
        <v>467</v>
      </c>
      <c r="D18" s="11" t="s">
        <v>468</v>
      </c>
      <c r="E18" s="11" t="s">
        <v>444</v>
      </c>
      <c r="F18" s="11"/>
      <c r="G18" s="13" t="s">
        <v>416</v>
      </c>
      <c r="H18" s="11" t="s">
        <v>5</v>
      </c>
    </row>
    <row r="19" customFormat="false" ht="15" hidden="false" customHeight="false" outlineLevel="0" collapsed="false">
      <c r="B19" s="11" t="s">
        <v>469</v>
      </c>
      <c r="C19" s="11" t="s">
        <v>470</v>
      </c>
      <c r="D19" s="11" t="s">
        <v>471</v>
      </c>
      <c r="E19" s="11" t="s">
        <v>444</v>
      </c>
      <c r="F19" s="11"/>
      <c r="G19" s="13" t="s">
        <v>416</v>
      </c>
      <c r="H19" s="11" t="s">
        <v>5</v>
      </c>
    </row>
    <row r="20" customFormat="false" ht="15" hidden="false" customHeight="false" outlineLevel="0" collapsed="false">
      <c r="B20" s="11" t="s">
        <v>472</v>
      </c>
      <c r="C20" s="11" t="s">
        <v>473</v>
      </c>
      <c r="D20" s="22" t="n">
        <v>20</v>
      </c>
      <c r="E20" s="11" t="s">
        <v>444</v>
      </c>
      <c r="F20" s="11"/>
      <c r="G20" s="13" t="s">
        <v>416</v>
      </c>
      <c r="H20" s="11" t="s">
        <v>298</v>
      </c>
    </row>
    <row r="21" customFormat="false" ht="15" hidden="false" customHeight="false" outlineLevel="0" collapsed="false">
      <c r="B21" s="11" t="s">
        <v>39</v>
      </c>
      <c r="C21" s="11" t="s">
        <v>474</v>
      </c>
      <c r="D21" s="22" t="n">
        <v>109</v>
      </c>
      <c r="E21" s="11" t="s">
        <v>444</v>
      </c>
      <c r="F21" s="11" t="s">
        <v>475</v>
      </c>
      <c r="G21" s="13" t="s">
        <v>416</v>
      </c>
      <c r="H21" s="11" t="s">
        <v>476</v>
      </c>
    </row>
    <row r="22" customFormat="false" ht="15" hidden="false" customHeight="false" outlineLevel="0" collapsed="false">
      <c r="B22" s="11" t="s">
        <v>477</v>
      </c>
      <c r="C22" s="11" t="s">
        <v>478</v>
      </c>
      <c r="D22" s="22" t="n">
        <v>643</v>
      </c>
      <c r="E22" s="11" t="s">
        <v>444</v>
      </c>
      <c r="F22" s="11" t="s">
        <v>479</v>
      </c>
      <c r="G22" s="13" t="s">
        <v>416</v>
      </c>
      <c r="H22" s="11" t="s">
        <v>476</v>
      </c>
    </row>
    <row r="23" customFormat="false" ht="15" hidden="false" customHeight="false" outlineLevel="0" collapsed="false">
      <c r="B23" s="11" t="s">
        <v>480</v>
      </c>
      <c r="C23" s="11" t="s">
        <v>481</v>
      </c>
      <c r="D23" s="9" t="n">
        <v>1576200</v>
      </c>
      <c r="E23" s="11" t="s">
        <v>482</v>
      </c>
      <c r="F23" s="11"/>
      <c r="G23" s="13" t="s">
        <v>416</v>
      </c>
      <c r="H23" s="11" t="s">
        <v>13</v>
      </c>
    </row>
    <row r="24" customFormat="false" ht="15" hidden="false" customHeight="false" outlineLevel="0" collapsed="false">
      <c r="B24" s="11" t="s">
        <v>483</v>
      </c>
      <c r="C24" s="11" t="s">
        <v>484</v>
      </c>
      <c r="D24" s="9" t="n">
        <v>1583445</v>
      </c>
      <c r="E24" s="11" t="s">
        <v>482</v>
      </c>
      <c r="F24" s="11"/>
      <c r="G24" s="13" t="s">
        <v>416</v>
      </c>
      <c r="H24" s="11" t="s">
        <v>13</v>
      </c>
    </row>
    <row r="25" customFormat="false" ht="15" hidden="false" customHeight="false" outlineLevel="0" collapsed="false">
      <c r="B25" s="11" t="s">
        <v>485</v>
      </c>
      <c r="C25" s="11" t="s">
        <v>486</v>
      </c>
      <c r="D25" s="9" t="n">
        <v>7245</v>
      </c>
      <c r="E25" s="11" t="s">
        <v>482</v>
      </c>
      <c r="F25" s="11" t="s">
        <v>487</v>
      </c>
      <c r="G25" s="13" t="s">
        <v>416</v>
      </c>
      <c r="H25" s="11" t="s">
        <v>419</v>
      </c>
    </row>
    <row r="26" customFormat="false" ht="15" hidden="false" customHeight="false" outlineLevel="0" collapsed="false">
      <c r="B26" s="11" t="s">
        <v>488</v>
      </c>
      <c r="C26" s="11" t="s">
        <v>489</v>
      </c>
      <c r="D26" s="26" t="n">
        <v>0.00459649790635706</v>
      </c>
      <c r="E26" s="11" t="s">
        <v>482</v>
      </c>
      <c r="F26" s="11"/>
      <c r="G26" s="13" t="s">
        <v>416</v>
      </c>
      <c r="H26" s="11" t="s">
        <v>298</v>
      </c>
    </row>
    <row r="27" customFormat="false" ht="15" hidden="false" customHeight="false" outlineLevel="0" collapsed="false">
      <c r="B27" s="11" t="s">
        <v>490</v>
      </c>
      <c r="C27" s="11" t="s">
        <v>491</v>
      </c>
      <c r="D27" s="9" t="n">
        <v>1583445</v>
      </c>
      <c r="E27" s="11" t="s">
        <v>482</v>
      </c>
      <c r="F27" s="11" t="s">
        <v>492</v>
      </c>
      <c r="G27" s="13" t="s">
        <v>416</v>
      </c>
      <c r="H27" s="11" t="s">
        <v>5</v>
      </c>
    </row>
    <row r="28" customFormat="false" ht="15" hidden="false" customHeight="false" outlineLevel="0" collapsed="false">
      <c r="B28" s="11" t="s">
        <v>493</v>
      </c>
      <c r="C28" s="11" t="s">
        <v>494</v>
      </c>
      <c r="D28" s="9" t="n">
        <v>855439.25</v>
      </c>
      <c r="E28" s="11" t="s">
        <v>482</v>
      </c>
      <c r="F28" s="11" t="s">
        <v>495</v>
      </c>
      <c r="G28" s="13" t="s">
        <v>416</v>
      </c>
      <c r="H28" s="11" t="s">
        <v>5</v>
      </c>
    </row>
    <row r="29" customFormat="false" ht="15" hidden="false" customHeight="false" outlineLevel="0" collapsed="false">
      <c r="B29" s="11" t="s">
        <v>496</v>
      </c>
      <c r="C29" s="11" t="s">
        <v>497</v>
      </c>
      <c r="D29" s="9" t="n">
        <v>728005.75</v>
      </c>
      <c r="E29" s="11" t="s">
        <v>482</v>
      </c>
      <c r="F29" s="11" t="s">
        <v>498</v>
      </c>
      <c r="G29" s="13" t="s">
        <v>416</v>
      </c>
      <c r="H29" s="11" t="s">
        <v>5</v>
      </c>
    </row>
    <row r="30" customFormat="false" ht="15" hidden="false" customHeight="false" outlineLevel="0" collapsed="false">
      <c r="B30" s="11" t="s">
        <v>329</v>
      </c>
      <c r="C30" s="11" t="s">
        <v>499</v>
      </c>
      <c r="D30" s="26" t="n">
        <v>0.45976068003625</v>
      </c>
      <c r="E30" s="11" t="s">
        <v>482</v>
      </c>
      <c r="F30" s="11"/>
      <c r="G30" s="13" t="s">
        <v>416</v>
      </c>
      <c r="H30" s="11" t="s">
        <v>298</v>
      </c>
    </row>
    <row r="31" customFormat="false" ht="15" hidden="false" customHeight="false" outlineLevel="0" collapsed="false">
      <c r="B31" s="11" t="s">
        <v>500</v>
      </c>
      <c r="C31" s="11" t="s">
        <v>501</v>
      </c>
      <c r="D31" s="9" t="n">
        <v>79172.25</v>
      </c>
      <c r="E31" s="11" t="s">
        <v>482</v>
      </c>
      <c r="F31" s="11" t="s">
        <v>502</v>
      </c>
      <c r="G31" s="13" t="s">
        <v>416</v>
      </c>
      <c r="H31" s="11" t="s">
        <v>5</v>
      </c>
    </row>
    <row r="32" customFormat="false" ht="15" hidden="false" customHeight="false" outlineLevel="0" collapsed="false">
      <c r="B32" s="11" t="s">
        <v>503</v>
      </c>
      <c r="C32" s="11" t="s">
        <v>504</v>
      </c>
      <c r="D32" s="26" t="n">
        <v>0.05</v>
      </c>
      <c r="E32" s="11" t="s">
        <v>482</v>
      </c>
      <c r="F32" s="11"/>
      <c r="G32" s="13" t="s">
        <v>416</v>
      </c>
      <c r="H32" s="11" t="s">
        <v>298</v>
      </c>
    </row>
    <row r="33" customFormat="false" ht="15" hidden="false" customHeight="false" outlineLevel="0" collapsed="false">
      <c r="B33" s="11" t="s">
        <v>505</v>
      </c>
      <c r="C33" s="11" t="s">
        <v>506</v>
      </c>
      <c r="D33" s="9" t="n">
        <v>325026</v>
      </c>
      <c r="E33" s="11" t="s">
        <v>152</v>
      </c>
      <c r="F33" s="11" t="s">
        <v>507</v>
      </c>
      <c r="G33" s="13" t="s">
        <v>416</v>
      </c>
      <c r="H33" s="11" t="s">
        <v>5</v>
      </c>
    </row>
    <row r="34" customFormat="false" ht="15" hidden="false" customHeight="false" outlineLevel="0" collapsed="false">
      <c r="B34" s="11" t="s">
        <v>508</v>
      </c>
      <c r="C34" s="11" t="s">
        <v>509</v>
      </c>
      <c r="D34" s="9" t="n">
        <v>320019.62</v>
      </c>
      <c r="E34" s="11" t="s">
        <v>154</v>
      </c>
      <c r="F34" s="11" t="s">
        <v>510</v>
      </c>
      <c r="G34" s="13" t="s">
        <v>416</v>
      </c>
      <c r="H34" s="11" t="s">
        <v>5</v>
      </c>
    </row>
    <row r="35" customFormat="false" ht="15" hidden="false" customHeight="false" outlineLevel="0" collapsed="false">
      <c r="B35" s="11" t="s">
        <v>511</v>
      </c>
      <c r="C35" s="11" t="s">
        <v>512</v>
      </c>
      <c r="D35" s="9" t="n">
        <v>41379.57</v>
      </c>
      <c r="E35" s="11" t="s">
        <v>482</v>
      </c>
      <c r="F35" s="11" t="s">
        <v>513</v>
      </c>
      <c r="G35" s="13" t="s">
        <v>416</v>
      </c>
      <c r="H35" s="11" t="s">
        <v>5</v>
      </c>
    </row>
    <row r="36" customFormat="false" ht="15" hidden="false" customHeight="false" outlineLevel="0" collapsed="false">
      <c r="B36" s="11" t="s">
        <v>514</v>
      </c>
      <c r="C36" s="11" t="s">
        <v>515</v>
      </c>
      <c r="D36" s="9" t="n">
        <v>144149.08</v>
      </c>
      <c r="E36" s="11" t="s">
        <v>152</v>
      </c>
      <c r="F36" s="11" t="s">
        <v>516</v>
      </c>
      <c r="G36" s="13" t="s">
        <v>416</v>
      </c>
      <c r="H36" s="11" t="s">
        <v>5</v>
      </c>
    </row>
    <row r="37" customFormat="false" ht="15" hidden="false" customHeight="false" outlineLevel="0" collapsed="false">
      <c r="B37" s="11" t="s">
        <v>517</v>
      </c>
      <c r="C37" s="11" t="s">
        <v>518</v>
      </c>
      <c r="D37" s="9" t="n">
        <v>24864.98</v>
      </c>
      <c r="E37" s="11" t="s">
        <v>152</v>
      </c>
      <c r="F37" s="11" t="s">
        <v>519</v>
      </c>
      <c r="G37" s="13" t="s">
        <v>416</v>
      </c>
      <c r="H37" s="11" t="s">
        <v>5</v>
      </c>
    </row>
    <row r="38" customFormat="false" ht="15" hidden="false" customHeight="false" outlineLevel="0" collapsed="false">
      <c r="B38" s="11" t="s">
        <v>293</v>
      </c>
      <c r="C38" s="11" t="s">
        <v>520</v>
      </c>
      <c r="D38" s="10" t="n">
        <v>11019</v>
      </c>
      <c r="E38" s="11" t="s">
        <v>152</v>
      </c>
      <c r="F38" s="11" t="s">
        <v>521</v>
      </c>
      <c r="G38" s="13" t="s">
        <v>416</v>
      </c>
      <c r="H38" s="11" t="s">
        <v>5</v>
      </c>
    </row>
    <row r="39" customFormat="false" ht="15" hidden="false" customHeight="false" outlineLevel="0" collapsed="false">
      <c r="B39" s="11" t="s">
        <v>291</v>
      </c>
      <c r="C39" s="11" t="s">
        <v>522</v>
      </c>
      <c r="D39" s="22" t="n">
        <v>32</v>
      </c>
      <c r="E39" s="11" t="s">
        <v>152</v>
      </c>
      <c r="F39" s="11" t="s">
        <v>523</v>
      </c>
      <c r="G39" s="13" t="s">
        <v>416</v>
      </c>
      <c r="H39" s="11" t="s">
        <v>5</v>
      </c>
    </row>
    <row r="40" customFormat="false" ht="15" hidden="false" customHeight="false" outlineLevel="0" collapsed="false">
      <c r="B40" s="11" t="s">
        <v>524</v>
      </c>
      <c r="C40" s="11" t="s">
        <v>525</v>
      </c>
      <c r="D40" s="9" t="n">
        <v>29.4968690443779</v>
      </c>
      <c r="E40" s="11" t="s">
        <v>152</v>
      </c>
      <c r="F40" s="11"/>
      <c r="G40" s="13" t="s">
        <v>416</v>
      </c>
      <c r="H40" s="11" t="s">
        <v>298</v>
      </c>
    </row>
    <row r="41" customFormat="false" ht="15" hidden="false" customHeight="false" outlineLevel="0" collapsed="false">
      <c r="B41" s="11" t="s">
        <v>526</v>
      </c>
      <c r="C41" s="11" t="s">
        <v>527</v>
      </c>
      <c r="D41" s="9" t="n">
        <v>60.1737</v>
      </c>
      <c r="E41" s="11" t="s">
        <v>152</v>
      </c>
      <c r="F41" s="11"/>
      <c r="G41" s="13" t="s">
        <v>416</v>
      </c>
      <c r="H41" s="11" t="s">
        <v>298</v>
      </c>
    </row>
    <row r="42" customFormat="false" ht="15" hidden="false" customHeight="false" outlineLevel="0" collapsed="false">
      <c r="B42" s="11" t="s">
        <v>321</v>
      </c>
      <c r="C42" s="11" t="s">
        <v>528</v>
      </c>
      <c r="D42" s="25" t="n">
        <v>1.3421</v>
      </c>
      <c r="E42" s="11" t="s">
        <v>152</v>
      </c>
      <c r="F42" s="11"/>
      <c r="G42" s="13" t="s">
        <v>416</v>
      </c>
      <c r="H42" s="11" t="s">
        <v>298</v>
      </c>
    </row>
    <row r="43" customFormat="false" ht="15" hidden="false" customHeight="false" outlineLevel="0" collapsed="false">
      <c r="B43" s="11" t="s">
        <v>529</v>
      </c>
      <c r="C43" s="11" t="s">
        <v>530</v>
      </c>
      <c r="D43" s="10" t="n">
        <v>5253</v>
      </c>
      <c r="E43" s="11" t="s">
        <v>152</v>
      </c>
      <c r="F43" s="11" t="s">
        <v>531</v>
      </c>
      <c r="G43" s="13" t="s">
        <v>416</v>
      </c>
      <c r="H43" s="11" t="s">
        <v>5</v>
      </c>
    </row>
    <row r="44" customFormat="false" ht="15" hidden="false" customHeight="false" outlineLevel="0" collapsed="false">
      <c r="B44" s="11" t="s">
        <v>532</v>
      </c>
      <c r="C44" s="11" t="s">
        <v>533</v>
      </c>
      <c r="D44" s="10" t="n">
        <v>922.5</v>
      </c>
      <c r="E44" s="11" t="s">
        <v>152</v>
      </c>
      <c r="F44" s="11" t="s">
        <v>534</v>
      </c>
      <c r="G44" s="13" t="s">
        <v>416</v>
      </c>
      <c r="H44" s="11" t="s">
        <v>5</v>
      </c>
    </row>
    <row r="45" customFormat="false" ht="15" hidden="false" customHeight="false" outlineLevel="0" collapsed="false">
      <c r="B45" s="11" t="s">
        <v>535</v>
      </c>
      <c r="C45" s="11" t="s">
        <v>536</v>
      </c>
      <c r="D45" s="9" t="n">
        <v>143.701334059352</v>
      </c>
      <c r="E45" s="11" t="s">
        <v>537</v>
      </c>
      <c r="F45" s="11"/>
      <c r="G45" s="13" t="s">
        <v>416</v>
      </c>
      <c r="H45" s="11" t="s">
        <v>298</v>
      </c>
    </row>
    <row r="46" customFormat="false" ht="15" hidden="false" customHeight="false" outlineLevel="0" collapsed="false">
      <c r="B46" s="11" t="s">
        <v>538</v>
      </c>
      <c r="C46" s="11" t="s">
        <v>539</v>
      </c>
      <c r="D46" s="9" t="n">
        <v>66.068223069244</v>
      </c>
      <c r="E46" s="11" t="s">
        <v>537</v>
      </c>
      <c r="F46" s="11"/>
      <c r="G46" s="13" t="s">
        <v>416</v>
      </c>
      <c r="H46" s="11" t="s">
        <v>298</v>
      </c>
    </row>
    <row r="47" customFormat="false" ht="15" hidden="false" customHeight="false" outlineLevel="0" collapsed="false">
      <c r="B47" s="11" t="s">
        <v>540</v>
      </c>
      <c r="C47" s="11" t="s">
        <v>541</v>
      </c>
      <c r="D47" s="9" t="n">
        <v>14527.0183486239</v>
      </c>
      <c r="E47" s="11" t="s">
        <v>537</v>
      </c>
      <c r="F47" s="11" t="s">
        <v>336</v>
      </c>
      <c r="G47" s="13" t="s">
        <v>416</v>
      </c>
      <c r="H47" s="11" t="s">
        <v>298</v>
      </c>
    </row>
    <row r="48" customFormat="false" ht="15" hidden="false" customHeight="false" outlineLevel="0" collapsed="false">
      <c r="B48" s="11" t="s">
        <v>340</v>
      </c>
      <c r="C48" s="11" t="s">
        <v>542</v>
      </c>
      <c r="D48" s="9" t="n">
        <v>7848.06651376147</v>
      </c>
      <c r="E48" s="11" t="s">
        <v>537</v>
      </c>
      <c r="F48" s="11"/>
      <c r="G48" s="13" t="s">
        <v>416</v>
      </c>
      <c r="H48" s="11" t="s">
        <v>298</v>
      </c>
    </row>
    <row r="49" customFormat="false" ht="15" hidden="false" customHeight="false" outlineLevel="0" collapsed="false">
      <c r="B49" s="11" t="s">
        <v>543</v>
      </c>
      <c r="C49" s="11" t="s">
        <v>544</v>
      </c>
      <c r="D49" s="10" t="n">
        <v>101.091743119266</v>
      </c>
      <c r="E49" s="11" t="s">
        <v>537</v>
      </c>
      <c r="F49" s="11"/>
      <c r="G49" s="13" t="s">
        <v>416</v>
      </c>
      <c r="H49" s="11" t="s">
        <v>298</v>
      </c>
    </row>
    <row r="50" customFormat="false" ht="15" hidden="false" customHeight="false" outlineLevel="0" collapsed="false">
      <c r="B50" s="11" t="s">
        <v>342</v>
      </c>
      <c r="C50" s="11" t="s">
        <v>545</v>
      </c>
      <c r="D50" s="9" t="n">
        <v>2462.58942457232</v>
      </c>
      <c r="E50" s="11" t="s">
        <v>537</v>
      </c>
      <c r="F50" s="11" t="s">
        <v>343</v>
      </c>
      <c r="G50" s="13" t="s">
        <v>416</v>
      </c>
      <c r="H50" s="11" t="s">
        <v>298</v>
      </c>
    </row>
    <row r="51" customFormat="false" ht="15" hidden="false" customHeight="false" outlineLevel="0" collapsed="false">
      <c r="B51" s="11" t="s">
        <v>330</v>
      </c>
      <c r="C51" s="11" t="s">
        <v>546</v>
      </c>
      <c r="D51" s="26" t="n">
        <v>0.205265102355939</v>
      </c>
      <c r="E51" s="11" t="s">
        <v>547</v>
      </c>
      <c r="F51" s="11"/>
      <c r="G51" s="13" t="s">
        <v>416</v>
      </c>
      <c r="H51" s="11" t="s">
        <v>298</v>
      </c>
    </row>
    <row r="52" customFormat="false" ht="15" hidden="false" customHeight="false" outlineLevel="0" collapsed="false">
      <c r="B52" s="11" t="s">
        <v>331</v>
      </c>
      <c r="C52" s="11" t="s">
        <v>548</v>
      </c>
      <c r="D52" s="26" t="n">
        <v>0.202103401128552</v>
      </c>
      <c r="E52" s="11" t="s">
        <v>547</v>
      </c>
      <c r="F52" s="11"/>
      <c r="G52" s="13" t="s">
        <v>416</v>
      </c>
      <c r="H52" s="11" t="s">
        <v>298</v>
      </c>
    </row>
    <row r="53" customFormat="false" ht="15" hidden="false" customHeight="false" outlineLevel="0" collapsed="false">
      <c r="B53" s="11" t="s">
        <v>549</v>
      </c>
      <c r="C53" s="11" t="s">
        <v>550</v>
      </c>
      <c r="D53" s="22" t="n">
        <v>21</v>
      </c>
      <c r="E53" s="11" t="s">
        <v>154</v>
      </c>
      <c r="F53" s="11"/>
      <c r="G53" s="13" t="s">
        <v>416</v>
      </c>
      <c r="H53" s="11" t="s">
        <v>5</v>
      </c>
    </row>
    <row r="54" customFormat="false" ht="15" hidden="false" customHeight="false" outlineLevel="0" collapsed="false">
      <c r="B54" s="11" t="s">
        <v>551</v>
      </c>
      <c r="C54" s="11" t="s">
        <v>552</v>
      </c>
      <c r="D54" s="22" t="n">
        <v>26</v>
      </c>
      <c r="E54" s="11" t="s">
        <v>553</v>
      </c>
      <c r="F54" s="11"/>
      <c r="G54" s="13" t="s">
        <v>416</v>
      </c>
      <c r="H54" s="11" t="s">
        <v>5</v>
      </c>
    </row>
    <row r="55" customFormat="false" ht="15" hidden="false" customHeight="false" outlineLevel="0" collapsed="false">
      <c r="B55" s="11" t="s">
        <v>554</v>
      </c>
      <c r="C55" s="11" t="s">
        <v>555</v>
      </c>
      <c r="D55" s="26" t="n">
        <v>0.157183047463472</v>
      </c>
      <c r="E55" s="11" t="s">
        <v>556</v>
      </c>
      <c r="F55" s="11"/>
      <c r="G55" s="13" t="s">
        <v>416</v>
      </c>
      <c r="H55" s="11" t="s">
        <v>298</v>
      </c>
    </row>
    <row r="56" customFormat="false" ht="15" hidden="false" customHeight="false" outlineLevel="0" collapsed="false">
      <c r="B56" s="11" t="s">
        <v>557</v>
      </c>
      <c r="C56" s="11" t="s">
        <v>558</v>
      </c>
      <c r="D56" s="26" t="n">
        <v>0.584263544786278</v>
      </c>
      <c r="E56" s="11" t="s">
        <v>556</v>
      </c>
      <c r="F56" s="11"/>
      <c r="G56" s="13" t="s">
        <v>416</v>
      </c>
      <c r="H56" s="11" t="s">
        <v>298</v>
      </c>
    </row>
    <row r="57" customFormat="false" ht="15" hidden="false" customHeight="false" outlineLevel="0" collapsed="false">
      <c r="B57" s="11" t="s">
        <v>559</v>
      </c>
      <c r="C57" s="11" t="s">
        <v>560</v>
      </c>
      <c r="D57" s="22" t="n">
        <v>28</v>
      </c>
      <c r="E57" s="11" t="s">
        <v>561</v>
      </c>
      <c r="F57" s="11"/>
      <c r="G57" s="13" t="s">
        <v>416</v>
      </c>
      <c r="H57" s="11" t="s">
        <v>5</v>
      </c>
    </row>
    <row r="58" customFormat="false" ht="15" hidden="false" customHeight="false" outlineLevel="0" collapsed="false">
      <c r="B58" s="11" t="s">
        <v>562</v>
      </c>
      <c r="C58" s="11" t="s">
        <v>563</v>
      </c>
      <c r="D58" s="22" t="n">
        <v>18</v>
      </c>
      <c r="E58" s="11" t="s">
        <v>564</v>
      </c>
      <c r="F58" s="11"/>
      <c r="G58" s="13" t="s">
        <v>416</v>
      </c>
      <c r="H58" s="11" t="s">
        <v>565</v>
      </c>
    </row>
    <row r="59" customFormat="false" ht="15" hidden="false" customHeight="false" outlineLevel="0" collapsed="false">
      <c r="B59" s="11" t="s">
        <v>566</v>
      </c>
      <c r="C59" s="11" t="s">
        <v>567</v>
      </c>
      <c r="D59" s="22" t="n">
        <v>30</v>
      </c>
      <c r="E59" s="11" t="s">
        <v>564</v>
      </c>
      <c r="F59" s="11"/>
      <c r="G59" s="13" t="s">
        <v>416</v>
      </c>
      <c r="H59" s="11" t="s">
        <v>568</v>
      </c>
    </row>
    <row r="60" customFormat="false" ht="15" hidden="false" customHeight="false" outlineLevel="0" collapsed="false">
      <c r="B60" s="11" t="s">
        <v>569</v>
      </c>
      <c r="C60" s="11" t="s">
        <v>570</v>
      </c>
      <c r="D60" s="22" t="n">
        <v>20</v>
      </c>
      <c r="E60" s="11" t="s">
        <v>564</v>
      </c>
      <c r="F60" s="11"/>
      <c r="G60" s="13" t="s">
        <v>416</v>
      </c>
      <c r="H60" s="11" t="s">
        <v>571</v>
      </c>
    </row>
    <row r="61" customFormat="false" ht="15" hidden="false" customHeight="false" outlineLevel="0" collapsed="false">
      <c r="B61" s="11" t="s">
        <v>572</v>
      </c>
      <c r="C61" s="11" t="s">
        <v>573</v>
      </c>
      <c r="D61" s="22" t="n">
        <v>0</v>
      </c>
      <c r="E61" s="11" t="s">
        <v>564</v>
      </c>
      <c r="F61" s="11"/>
      <c r="G61" s="13" t="s">
        <v>416</v>
      </c>
      <c r="H61" s="11" t="s">
        <v>574</v>
      </c>
    </row>
    <row r="62" customFormat="false" ht="15" hidden="false" customHeight="false" outlineLevel="0" collapsed="false">
      <c r="B62" s="11" t="s">
        <v>575</v>
      </c>
      <c r="C62" s="11" t="s">
        <v>576</v>
      </c>
      <c r="D62" s="22" t="n">
        <v>0</v>
      </c>
      <c r="E62" s="11" t="s">
        <v>564</v>
      </c>
      <c r="F62" s="11" t="s">
        <v>577</v>
      </c>
      <c r="G62" s="13" t="s">
        <v>416</v>
      </c>
      <c r="H62" s="11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579</v>
      </c>
    </row>
    <row r="3" customFormat="false" ht="21.75" hidden="false" customHeight="true" outlineLevel="0" collapsed="false">
      <c r="B3" s="2" t="s">
        <v>580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581</v>
      </c>
      <c r="C5" s="3" t="s">
        <v>161</v>
      </c>
      <c r="D5" s="3" t="s">
        <v>162</v>
      </c>
      <c r="E5" s="3" t="s">
        <v>163</v>
      </c>
      <c r="F5" s="3" t="s">
        <v>164</v>
      </c>
      <c r="G5" s="3" t="s">
        <v>582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166</v>
      </c>
      <c r="D6" s="11" t="s">
        <v>167</v>
      </c>
      <c r="E6" s="9" t="n">
        <v>76975.46</v>
      </c>
      <c r="F6" s="22" t="n">
        <v>8</v>
      </c>
      <c r="G6" s="17" t="n">
        <f aca="false">E6/332151.59</f>
        <v>0.231747979890748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169</v>
      </c>
      <c r="D7" s="11" t="s">
        <v>170</v>
      </c>
      <c r="E7" s="9" t="n">
        <v>65443.39</v>
      </c>
      <c r="F7" s="22" t="n">
        <v>50</v>
      </c>
      <c r="G7" s="17" t="n">
        <f aca="false">E7/332151.59</f>
        <v>0.197028681994266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171</v>
      </c>
      <c r="D8" s="11" t="s">
        <v>172</v>
      </c>
      <c r="E8" s="9" t="n">
        <v>43563.76</v>
      </c>
      <c r="F8" s="22" t="n">
        <v>36</v>
      </c>
      <c r="G8" s="17" t="n">
        <f aca="false">E8/332151.59</f>
        <v>0.131156259104465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173</v>
      </c>
      <c r="D9" s="11" t="s">
        <v>174</v>
      </c>
      <c r="E9" s="9" t="n">
        <v>37728.4</v>
      </c>
      <c r="F9" s="22" t="n">
        <v>5</v>
      </c>
      <c r="G9" s="17" t="n">
        <f aca="false">E9/332151.59</f>
        <v>0.113587895213749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175</v>
      </c>
      <c r="D10" s="11" t="s">
        <v>176</v>
      </c>
      <c r="E10" s="9" t="n">
        <v>31901.89</v>
      </c>
      <c r="F10" s="22" t="n">
        <v>18</v>
      </c>
      <c r="G10" s="17" t="n">
        <f aca="false">E10/332151.59</f>
        <v>0.0960461757837739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177</v>
      </c>
      <c r="D11" s="11" t="s">
        <v>178</v>
      </c>
      <c r="E11" s="9" t="n">
        <v>29259.75</v>
      </c>
      <c r="F11" s="22" t="n">
        <v>6</v>
      </c>
      <c r="G11" s="17" t="n">
        <f aca="false">E11/332151.59</f>
        <v>0.0880915548229048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180</v>
      </c>
      <c r="D12" s="11" t="s">
        <v>181</v>
      </c>
      <c r="E12" s="9" t="n">
        <v>20677.51</v>
      </c>
      <c r="F12" s="22" t="n">
        <v>48</v>
      </c>
      <c r="G12" s="17" t="n">
        <f aca="false">E12/332151.59</f>
        <v>0.0622532320257747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182</v>
      </c>
      <c r="D13" s="11" t="s">
        <v>183</v>
      </c>
      <c r="E13" s="9" t="n">
        <v>10174.62</v>
      </c>
      <c r="F13" s="22" t="n">
        <v>16</v>
      </c>
      <c r="G13" s="17" t="n">
        <f aca="false">E13/332151.59</f>
        <v>0.0306324591130213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184</v>
      </c>
      <c r="D14" s="11" t="s">
        <v>185</v>
      </c>
      <c r="E14" s="9" t="n">
        <v>5786.71</v>
      </c>
      <c r="F14" s="22" t="n">
        <v>31</v>
      </c>
      <c r="G14" s="17" t="n">
        <f aca="false">E14/332151.59</f>
        <v>0.017421894623476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187</v>
      </c>
      <c r="D15" s="11" t="s">
        <v>188</v>
      </c>
      <c r="E15" s="9" t="n">
        <v>4072.5</v>
      </c>
      <c r="F15" s="22" t="n">
        <v>1</v>
      </c>
      <c r="G15" s="17" t="n">
        <f aca="false">E15/332151.59</f>
        <v>0.0122609679514104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190</v>
      </c>
      <c r="D16" s="11" t="s">
        <v>191</v>
      </c>
      <c r="E16" s="9" t="n">
        <v>2579.5</v>
      </c>
      <c r="F16" s="22" t="n">
        <v>7</v>
      </c>
      <c r="G16" s="17" t="n">
        <f aca="false">E16/332151.59</f>
        <v>0.00776603237094244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192</v>
      </c>
      <c r="D17" s="11" t="s">
        <v>193</v>
      </c>
      <c r="E17" s="9" t="n">
        <v>1743</v>
      </c>
      <c r="F17" s="22" t="n">
        <v>2</v>
      </c>
      <c r="G17" s="17" t="n">
        <f aca="false">E17/332151.59</f>
        <v>0.00524760396299774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194</v>
      </c>
      <c r="D18" s="11" t="s">
        <v>195</v>
      </c>
      <c r="E18" s="9" t="n">
        <v>640.23</v>
      </c>
      <c r="F18" s="22" t="n">
        <v>4</v>
      </c>
      <c r="G18" s="17" t="n">
        <f aca="false">E18/332151.59</f>
        <v>0.00192752351418821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196</v>
      </c>
      <c r="D19" s="11" t="s">
        <v>197</v>
      </c>
      <c r="E19" s="9" t="n">
        <v>485.88</v>
      </c>
      <c r="F19" s="22" t="n">
        <v>1</v>
      </c>
      <c r="G19" s="17" t="n">
        <f aca="false">E19/332151.59</f>
        <v>0.00146282605481431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198</v>
      </c>
      <c r="D20" s="11" t="s">
        <v>199</v>
      </c>
      <c r="E20" s="9" t="n">
        <v>377.8</v>
      </c>
      <c r="F20" s="22" t="n">
        <v>1</v>
      </c>
      <c r="G20" s="17" t="n">
        <f aca="false">E20/332151.59</f>
        <v>0.00113743245967903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200</v>
      </c>
      <c r="D21" s="11" t="s">
        <v>201</v>
      </c>
      <c r="E21" s="9" t="n">
        <v>285</v>
      </c>
      <c r="F21" s="22" t="n">
        <v>1</v>
      </c>
      <c r="G21" s="17" t="n">
        <f aca="false">E21/332151.59</f>
        <v>0.000858041956083968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202</v>
      </c>
      <c r="D22" s="11" t="s">
        <v>203</v>
      </c>
      <c r="E22" s="9" t="n">
        <v>242.15</v>
      </c>
      <c r="F22" s="22" t="n">
        <v>1</v>
      </c>
      <c r="G22" s="17" t="n">
        <f aca="false">E22/332151.59</f>
        <v>0.000729034595318361</v>
      </c>
      <c r="H22" s="11" t="s">
        <v>5</v>
      </c>
    </row>
    <row r="23" customFormat="false" ht="15" hidden="false" customHeight="false" outlineLevel="0" collapsed="false">
      <c r="B23" s="22" t="n">
        <v>18</v>
      </c>
      <c r="C23" s="11" t="s">
        <v>204</v>
      </c>
      <c r="D23" s="11" t="s">
        <v>205</v>
      </c>
      <c r="E23" s="9" t="n">
        <v>87.78</v>
      </c>
      <c r="F23" s="22" t="n">
        <v>1</v>
      </c>
      <c r="G23" s="17" t="n">
        <f aca="false">E23/332151.59</f>
        <v>0.000264276922473862</v>
      </c>
      <c r="H23" s="11" t="s">
        <v>5</v>
      </c>
    </row>
    <row r="24" customFormat="false" ht="15" hidden="false" customHeight="false" outlineLevel="0" collapsed="false">
      <c r="B24" s="22" t="n">
        <v>19</v>
      </c>
      <c r="C24" s="11" t="s">
        <v>206</v>
      </c>
      <c r="D24" s="11" t="s">
        <v>207</v>
      </c>
      <c r="E24" s="9" t="n">
        <v>76.26</v>
      </c>
      <c r="F24" s="22" t="n">
        <v>1</v>
      </c>
      <c r="G24" s="17" t="n">
        <f aca="false">E24/332151.59</f>
        <v>0.000229593963406889</v>
      </c>
      <c r="H24" s="11" t="s">
        <v>5</v>
      </c>
    </row>
    <row r="25" customFormat="false" ht="15" hidden="false" customHeight="false" outlineLevel="0" collapsed="false">
      <c r="B25" s="22" t="n">
        <v>20</v>
      </c>
      <c r="C25" s="11" t="s">
        <v>208</v>
      </c>
      <c r="D25" s="11" t="s">
        <v>209</v>
      </c>
      <c r="E25" s="9" t="n">
        <v>50</v>
      </c>
      <c r="F25" s="22" t="n">
        <v>1</v>
      </c>
      <c r="G25" s="17" t="n">
        <f aca="false">E25/332151.59</f>
        <v>0.000150533676505959</v>
      </c>
      <c r="H25" s="11" t="s">
        <v>5</v>
      </c>
    </row>
    <row r="26" customFormat="false" ht="15" hidden="false" customHeight="false" outlineLevel="0" collapsed="false">
      <c r="B26" s="22" t="n">
        <v>21</v>
      </c>
      <c r="C26" s="11" t="s">
        <v>211</v>
      </c>
      <c r="D26" s="11" t="s">
        <v>212</v>
      </c>
      <c r="E26" s="9" t="n">
        <v>0</v>
      </c>
      <c r="F26" s="22" t="n">
        <v>2</v>
      </c>
      <c r="G26" s="17" t="n">
        <f aca="false">E26/332151.59</f>
        <v>0</v>
      </c>
      <c r="H26" s="11" t="s">
        <v>5</v>
      </c>
    </row>
    <row r="27" customFormat="false" ht="15" hidden="false" customHeight="false" outlineLevel="0" collapsed="false">
      <c r="B27" s="18" t="s">
        <v>144</v>
      </c>
      <c r="E27" s="20" t="n">
        <f aca="false">SUM(E6:E26)</f>
        <v>332151.59</v>
      </c>
      <c r="F27" s="23" t="n">
        <f aca="false">SUM(F6:F26)</f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583</v>
      </c>
    </row>
    <row r="3" customFormat="false" ht="21.75" hidden="false" customHeight="true" outlineLevel="0" collapsed="false">
      <c r="B3" s="2" t="s">
        <v>584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585</v>
      </c>
      <c r="C5" s="3" t="s">
        <v>350</v>
      </c>
      <c r="D5" s="3" t="s">
        <v>348</v>
      </c>
      <c r="E5" s="3" t="s">
        <v>586</v>
      </c>
      <c r="F5" s="3" t="s">
        <v>587</v>
      </c>
      <c r="G5" s="3" t="s">
        <v>588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589</v>
      </c>
      <c r="C6" s="11" t="s">
        <v>590</v>
      </c>
      <c r="D6" s="11" t="s">
        <v>353</v>
      </c>
      <c r="E6" s="11" t="s">
        <v>591</v>
      </c>
      <c r="F6" s="11" t="s">
        <v>12</v>
      </c>
      <c r="G6" s="27" t="n">
        <v>1576200</v>
      </c>
      <c r="H6" s="11" t="s">
        <v>360</v>
      </c>
      <c r="I6" s="11" t="s">
        <v>20</v>
      </c>
    </row>
    <row r="7" customFormat="false" ht="15" hidden="false" customHeight="false" outlineLevel="0" collapsed="false">
      <c r="B7" s="11" t="s">
        <v>592</v>
      </c>
      <c r="C7" s="11" t="s">
        <v>593</v>
      </c>
      <c r="D7" s="11" t="s">
        <v>358</v>
      </c>
      <c r="E7" s="11" t="s">
        <v>594</v>
      </c>
      <c r="F7" s="11" t="s">
        <v>12</v>
      </c>
      <c r="G7" s="27" t="n">
        <v>-22410</v>
      </c>
      <c r="H7" s="11" t="s">
        <v>360</v>
      </c>
      <c r="I7" s="11" t="s">
        <v>595</v>
      </c>
    </row>
    <row r="8" customFormat="false" ht="15" hidden="false" customHeight="false" outlineLevel="0" collapsed="false">
      <c r="B8" s="11" t="s">
        <v>596</v>
      </c>
      <c r="C8" s="11" t="s">
        <v>593</v>
      </c>
      <c r="D8" s="11" t="s">
        <v>358</v>
      </c>
      <c r="E8" s="11" t="s">
        <v>597</v>
      </c>
      <c r="F8" s="11" t="s">
        <v>12</v>
      </c>
      <c r="G8" s="27" t="n">
        <v>2290</v>
      </c>
      <c r="H8" s="11" t="s">
        <v>360</v>
      </c>
      <c r="I8" s="11" t="s">
        <v>598</v>
      </c>
    </row>
    <row r="9" customFormat="false" ht="15" hidden="false" customHeight="false" outlineLevel="0" collapsed="false">
      <c r="B9" s="11" t="s">
        <v>599</v>
      </c>
      <c r="C9" s="11" t="s">
        <v>593</v>
      </c>
      <c r="D9" s="11" t="s">
        <v>358</v>
      </c>
      <c r="E9" s="11" t="s">
        <v>600</v>
      </c>
      <c r="F9" s="11" t="s">
        <v>12</v>
      </c>
      <c r="G9" s="27" t="n">
        <v>22853</v>
      </c>
      <c r="H9" s="11" t="s">
        <v>360</v>
      </c>
      <c r="I9" s="11" t="s">
        <v>601</v>
      </c>
    </row>
    <row r="10" customFormat="false" ht="15" hidden="false" customHeight="false" outlineLevel="0" collapsed="false">
      <c r="B10" s="11" t="s">
        <v>602</v>
      </c>
      <c r="C10" s="11" t="s">
        <v>593</v>
      </c>
      <c r="D10" s="11" t="s">
        <v>358</v>
      </c>
      <c r="E10" s="11" t="s">
        <v>603</v>
      </c>
      <c r="F10" s="11" t="s">
        <v>12</v>
      </c>
      <c r="G10" s="27" t="n">
        <v>441</v>
      </c>
      <c r="H10" s="11" t="s">
        <v>360</v>
      </c>
      <c r="I10" s="11" t="s">
        <v>604</v>
      </c>
    </row>
    <row r="11" customFormat="false" ht="15" hidden="false" customHeight="false" outlineLevel="0" collapsed="false">
      <c r="B11" s="11" t="s">
        <v>605</v>
      </c>
      <c r="C11" s="11" t="s">
        <v>593</v>
      </c>
      <c r="D11" s="11" t="s">
        <v>358</v>
      </c>
      <c r="E11" s="11" t="s">
        <v>606</v>
      </c>
      <c r="F11" s="11" t="s">
        <v>12</v>
      </c>
      <c r="G11" s="27" t="n">
        <v>2348</v>
      </c>
      <c r="H11" s="11" t="s">
        <v>360</v>
      </c>
      <c r="I11" s="11" t="s">
        <v>607</v>
      </c>
    </row>
    <row r="12" customFormat="false" ht="15" hidden="false" customHeight="false" outlineLevel="0" collapsed="false">
      <c r="B12" s="11" t="s">
        <v>608</v>
      </c>
      <c r="C12" s="11" t="s">
        <v>593</v>
      </c>
      <c r="D12" s="11" t="s">
        <v>358</v>
      </c>
      <c r="E12" s="11" t="s">
        <v>609</v>
      </c>
      <c r="F12" s="11" t="s">
        <v>12</v>
      </c>
      <c r="G12" s="27" t="n">
        <v>3600</v>
      </c>
      <c r="H12" s="11" t="s">
        <v>360</v>
      </c>
      <c r="I12" s="11" t="s">
        <v>610</v>
      </c>
    </row>
    <row r="13" customFormat="false" ht="15" hidden="false" customHeight="false" outlineLevel="0" collapsed="false">
      <c r="B13" s="11" t="s">
        <v>611</v>
      </c>
      <c r="C13" s="11" t="s">
        <v>593</v>
      </c>
      <c r="D13" s="11" t="s">
        <v>358</v>
      </c>
      <c r="E13" s="11" t="s">
        <v>612</v>
      </c>
      <c r="F13" s="11" t="s">
        <v>12</v>
      </c>
      <c r="G13" s="27" t="n">
        <v>1346</v>
      </c>
      <c r="H13" s="11" t="s">
        <v>360</v>
      </c>
      <c r="I13" s="11" t="s">
        <v>613</v>
      </c>
    </row>
    <row r="14" customFormat="false" ht="15" hidden="false" customHeight="false" outlineLevel="0" collapsed="false">
      <c r="B14" s="11" t="s">
        <v>614</v>
      </c>
      <c r="C14" s="11" t="s">
        <v>593</v>
      </c>
      <c r="D14" s="11" t="s">
        <v>358</v>
      </c>
      <c r="E14" s="11" t="s">
        <v>615</v>
      </c>
      <c r="F14" s="11" t="s">
        <v>12</v>
      </c>
      <c r="G14" s="27" t="n">
        <v>420</v>
      </c>
      <c r="H14" s="11" t="s">
        <v>360</v>
      </c>
      <c r="I14" s="11" t="s">
        <v>616</v>
      </c>
    </row>
    <row r="15" customFormat="false" ht="15" hidden="false" customHeight="false" outlineLevel="0" collapsed="false">
      <c r="B15" s="11" t="s">
        <v>617</v>
      </c>
      <c r="C15" s="11" t="s">
        <v>593</v>
      </c>
      <c r="D15" s="11" t="s">
        <v>358</v>
      </c>
      <c r="E15" s="11" t="s">
        <v>618</v>
      </c>
      <c r="F15" s="11" t="s">
        <v>12</v>
      </c>
      <c r="G15" s="27" t="n">
        <v>8474</v>
      </c>
      <c r="H15" s="11" t="s">
        <v>360</v>
      </c>
      <c r="I15" s="11" t="s">
        <v>619</v>
      </c>
    </row>
    <row r="16" customFormat="false" ht="15" hidden="false" customHeight="false" outlineLevel="0" collapsed="false">
      <c r="B16" s="11" t="s">
        <v>620</v>
      </c>
      <c r="C16" s="11" t="s">
        <v>593</v>
      </c>
      <c r="D16" s="11" t="s">
        <v>358</v>
      </c>
      <c r="E16" s="11" t="s">
        <v>621</v>
      </c>
      <c r="F16" s="11" t="s">
        <v>12</v>
      </c>
      <c r="G16" s="27" t="n">
        <v>2940</v>
      </c>
      <c r="H16" s="11" t="s">
        <v>360</v>
      </c>
      <c r="I16" s="11" t="s">
        <v>622</v>
      </c>
    </row>
    <row r="17" customFormat="false" ht="15" hidden="false" customHeight="false" outlineLevel="0" collapsed="false">
      <c r="B17" s="11" t="s">
        <v>623</v>
      </c>
      <c r="C17" s="11" t="s">
        <v>593</v>
      </c>
      <c r="D17" s="11" t="s">
        <v>358</v>
      </c>
      <c r="E17" s="11" t="s">
        <v>624</v>
      </c>
      <c r="F17" s="11" t="s">
        <v>12</v>
      </c>
      <c r="G17" s="27" t="n">
        <v>571</v>
      </c>
      <c r="H17" s="11" t="s">
        <v>360</v>
      </c>
      <c r="I17" s="11" t="s">
        <v>625</v>
      </c>
    </row>
    <row r="18" customFormat="false" ht="15" hidden="false" customHeight="false" outlineLevel="0" collapsed="false">
      <c r="B18" s="11" t="s">
        <v>626</v>
      </c>
      <c r="C18" s="11" t="s">
        <v>593</v>
      </c>
      <c r="D18" s="11" t="s">
        <v>358</v>
      </c>
      <c r="E18" s="11" t="s">
        <v>627</v>
      </c>
      <c r="F18" s="11" t="s">
        <v>12</v>
      </c>
      <c r="G18" s="27" t="n">
        <v>748</v>
      </c>
      <c r="H18" s="11" t="s">
        <v>360</v>
      </c>
      <c r="I18" s="11" t="s">
        <v>628</v>
      </c>
    </row>
    <row r="19" customFormat="false" ht="15" hidden="false" customHeight="false" outlineLevel="0" collapsed="false">
      <c r="B19" s="11" t="s">
        <v>629</v>
      </c>
      <c r="C19" s="11" t="s">
        <v>593</v>
      </c>
      <c r="D19" s="11" t="s">
        <v>358</v>
      </c>
      <c r="E19" s="11" t="s">
        <v>630</v>
      </c>
      <c r="F19" s="11" t="s">
        <v>12</v>
      </c>
      <c r="G19" s="27" t="n">
        <v>-23200</v>
      </c>
      <c r="H19" s="11" t="s">
        <v>360</v>
      </c>
      <c r="I19" s="11" t="s">
        <v>631</v>
      </c>
    </row>
    <row r="20" customFormat="false" ht="15" hidden="false" customHeight="false" outlineLevel="0" collapsed="false">
      <c r="B20" s="11" t="s">
        <v>632</v>
      </c>
      <c r="C20" s="11" t="s">
        <v>593</v>
      </c>
      <c r="D20" s="11" t="s">
        <v>358</v>
      </c>
      <c r="E20" s="11" t="s">
        <v>633</v>
      </c>
      <c r="F20" s="11" t="s">
        <v>12</v>
      </c>
      <c r="G20" s="27" t="n">
        <v>609</v>
      </c>
      <c r="H20" s="11" t="s">
        <v>360</v>
      </c>
      <c r="I20" s="11" t="s">
        <v>634</v>
      </c>
    </row>
    <row r="21" customFormat="false" ht="15" hidden="false" customHeight="false" outlineLevel="0" collapsed="false">
      <c r="B21" s="11" t="s">
        <v>635</v>
      </c>
      <c r="C21" s="11" t="s">
        <v>593</v>
      </c>
      <c r="D21" s="11" t="s">
        <v>358</v>
      </c>
      <c r="E21" s="11" t="s">
        <v>636</v>
      </c>
      <c r="F21" s="11" t="s">
        <v>12</v>
      </c>
      <c r="G21" s="27" t="n">
        <v>831</v>
      </c>
      <c r="H21" s="11" t="s">
        <v>360</v>
      </c>
      <c r="I21" s="11" t="s">
        <v>637</v>
      </c>
    </row>
    <row r="22" customFormat="false" ht="15" hidden="false" customHeight="false" outlineLevel="0" collapsed="false">
      <c r="B22" s="11" t="s">
        <v>638</v>
      </c>
      <c r="C22" s="11" t="s">
        <v>593</v>
      </c>
      <c r="D22" s="11" t="s">
        <v>358</v>
      </c>
      <c r="E22" s="11" t="s">
        <v>639</v>
      </c>
      <c r="F22" s="11" t="s">
        <v>12</v>
      </c>
      <c r="G22" s="27" t="n">
        <v>490</v>
      </c>
      <c r="H22" s="11" t="s">
        <v>360</v>
      </c>
      <c r="I22" s="11" t="s">
        <v>640</v>
      </c>
    </row>
    <row r="23" customFormat="false" ht="15" hidden="false" customHeight="false" outlineLevel="0" collapsed="false">
      <c r="B23" s="11" t="s">
        <v>641</v>
      </c>
      <c r="C23" s="11" t="s">
        <v>593</v>
      </c>
      <c r="D23" s="11" t="s">
        <v>358</v>
      </c>
      <c r="E23" s="11" t="s">
        <v>642</v>
      </c>
      <c r="F23" s="11" t="s">
        <v>12</v>
      </c>
      <c r="G23" s="27" t="n">
        <v>2480</v>
      </c>
      <c r="H23" s="11" t="s">
        <v>360</v>
      </c>
      <c r="I23" s="11" t="s">
        <v>643</v>
      </c>
    </row>
    <row r="24" customFormat="false" ht="15" hidden="false" customHeight="false" outlineLevel="0" collapsed="false">
      <c r="B24" s="11" t="s">
        <v>644</v>
      </c>
      <c r="C24" s="11" t="s">
        <v>593</v>
      </c>
      <c r="D24" s="11" t="s">
        <v>358</v>
      </c>
      <c r="E24" s="11" t="s">
        <v>645</v>
      </c>
      <c r="F24" s="11" t="s">
        <v>12</v>
      </c>
      <c r="G24" s="27" t="n">
        <v>2414</v>
      </c>
      <c r="H24" s="11" t="s">
        <v>360</v>
      </c>
      <c r="I24" s="11" t="s">
        <v>646</v>
      </c>
    </row>
    <row r="25" customFormat="false" ht="15" hidden="false" customHeight="false" outlineLevel="0" collapsed="false">
      <c r="B25" s="11" t="s">
        <v>647</v>
      </c>
      <c r="C25" s="11" t="s">
        <v>593</v>
      </c>
      <c r="D25" s="11" t="s">
        <v>358</v>
      </c>
      <c r="E25" s="11" t="s">
        <v>648</v>
      </c>
      <c r="F25" s="11" t="s">
        <v>12</v>
      </c>
      <c r="G25" s="27" t="n">
        <v>0</v>
      </c>
      <c r="H25" s="11" t="s">
        <v>360</v>
      </c>
      <c r="I25" s="11" t="s">
        <v>649</v>
      </c>
    </row>
    <row r="26" customFormat="false" ht="15" hidden="false" customHeight="false" outlineLevel="0" collapsed="false">
      <c r="B26" s="11" t="s">
        <v>650</v>
      </c>
      <c r="C26" s="11" t="s">
        <v>651</v>
      </c>
      <c r="D26" s="11" t="s">
        <v>370</v>
      </c>
      <c r="E26" s="11" t="s">
        <v>652</v>
      </c>
      <c r="F26" s="11" t="s">
        <v>653</v>
      </c>
      <c r="G26" s="27" t="n">
        <v>0</v>
      </c>
      <c r="H26" s="11" t="s">
        <v>654</v>
      </c>
      <c r="I26" s="11" t="s">
        <v>5</v>
      </c>
    </row>
    <row r="27" customFormat="false" ht="15" hidden="false" customHeight="false" outlineLevel="0" collapsed="false">
      <c r="B27" s="11" t="s">
        <v>655</v>
      </c>
      <c r="C27" s="11" t="s">
        <v>651</v>
      </c>
      <c r="D27" s="11" t="s">
        <v>406</v>
      </c>
      <c r="E27" s="11" t="s">
        <v>656</v>
      </c>
      <c r="F27" s="11" t="s">
        <v>653</v>
      </c>
      <c r="G27" s="27" t="n">
        <v>0</v>
      </c>
      <c r="H27" s="11" t="s">
        <v>654</v>
      </c>
      <c r="I27" s="11" t="s">
        <v>5</v>
      </c>
    </row>
    <row r="28" customFormat="false" ht="15" hidden="false" customHeight="false" outlineLevel="0" collapsed="false">
      <c r="B28" s="11" t="s">
        <v>657</v>
      </c>
      <c r="C28" s="11" t="s">
        <v>500</v>
      </c>
      <c r="D28" s="11" t="s">
        <v>658</v>
      </c>
      <c r="E28" s="11" t="s">
        <v>659</v>
      </c>
      <c r="F28" s="11" t="s">
        <v>69</v>
      </c>
      <c r="G28" s="27" t="n">
        <v>0</v>
      </c>
      <c r="H28" s="11" t="s">
        <v>660</v>
      </c>
      <c r="I28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661</v>
      </c>
    </row>
    <row r="3" customFormat="false" ht="21.75" hidden="false" customHeight="true" outlineLevel="0" collapsed="false">
      <c r="B3" s="2" t="s">
        <v>662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147</v>
      </c>
      <c r="C5" s="3" t="s">
        <v>663</v>
      </c>
      <c r="D5" s="3" t="s">
        <v>664</v>
      </c>
      <c r="E5" s="3" t="s">
        <v>665</v>
      </c>
      <c r="F5" s="3" t="s">
        <v>290</v>
      </c>
    </row>
    <row r="6" customFormat="false" ht="15" hidden="false" customHeight="false" outlineLevel="0" collapsed="false">
      <c r="B6" s="11" t="s">
        <v>666</v>
      </c>
      <c r="C6" s="11" t="s">
        <v>667</v>
      </c>
      <c r="D6" s="27" t="n">
        <v>7245</v>
      </c>
      <c r="E6" s="11" t="s">
        <v>668</v>
      </c>
      <c r="F6" s="11" t="s">
        <v>669</v>
      </c>
    </row>
    <row r="7" customFormat="false" ht="15" hidden="false" customHeight="false" outlineLevel="0" collapsed="false">
      <c r="B7" s="11" t="s">
        <v>152</v>
      </c>
      <c r="C7" s="11" t="s">
        <v>670</v>
      </c>
      <c r="D7" s="27" t="n">
        <v>-43129</v>
      </c>
      <c r="E7" s="11" t="s">
        <v>671</v>
      </c>
      <c r="F7" s="11" t="s">
        <v>51</v>
      </c>
    </row>
    <row r="8" customFormat="false" ht="15" hidden="false" customHeight="false" outlineLevel="0" collapsed="false">
      <c r="B8" s="11" t="s">
        <v>154</v>
      </c>
      <c r="C8" s="11" t="s">
        <v>672</v>
      </c>
      <c r="D8" s="27" t="n">
        <v>-231901.38</v>
      </c>
      <c r="E8" s="11" t="s">
        <v>673</v>
      </c>
      <c r="F8" s="11" t="s">
        <v>674</v>
      </c>
    </row>
    <row r="9" customFormat="false" ht="15" hidden="false" customHeight="false" outlineLevel="0" collapsed="false">
      <c r="B9" s="11" t="s">
        <v>156</v>
      </c>
      <c r="C9" s="11" t="s">
        <v>675</v>
      </c>
      <c r="D9" s="27" t="n">
        <v>-35120.43</v>
      </c>
      <c r="E9" s="11" t="s">
        <v>676</v>
      </c>
      <c r="F9" s="11"/>
    </row>
    <row r="10" customFormat="false" ht="15" hidden="false" customHeight="false" outlineLevel="0" collapsed="false">
      <c r="B10" s="11" t="s">
        <v>677</v>
      </c>
      <c r="C10" s="11" t="s">
        <v>678</v>
      </c>
      <c r="D10" s="27" t="n">
        <v>-22393.97</v>
      </c>
      <c r="E10" s="11" t="s">
        <v>679</v>
      </c>
      <c r="F10" s="11"/>
    </row>
    <row r="11" customFormat="false" ht="15" hidden="false" customHeight="false" outlineLevel="0" collapsed="false">
      <c r="B11" s="18" t="s">
        <v>680</v>
      </c>
      <c r="D11" s="16" t="n">
        <f aca="false">SUM(D6:D10)</f>
        <v>-325299.78</v>
      </c>
    </row>
    <row r="14" customFormat="false" ht="15" hidden="false" customHeight="false" outlineLevel="0" collapsed="false">
      <c r="B14" s="3" t="s">
        <v>681</v>
      </c>
    </row>
    <row r="15" customFormat="false" ht="15" hidden="false" customHeight="false" outlineLevel="0" collapsed="false">
      <c r="B15" s="3" t="s">
        <v>682</v>
      </c>
      <c r="C15" s="3" t="s">
        <v>683</v>
      </c>
      <c r="D15" s="3" t="s">
        <v>684</v>
      </c>
      <c r="E15" s="3" t="s">
        <v>290</v>
      </c>
    </row>
    <row r="16" customFormat="false" ht="15" hidden="false" customHeight="false" outlineLevel="0" collapsed="false">
      <c r="B16" s="11" t="s">
        <v>685</v>
      </c>
      <c r="C16" s="22" t="n">
        <v>18</v>
      </c>
      <c r="D16" s="27" t="n">
        <v>7245</v>
      </c>
      <c r="E16" s="11" t="s">
        <v>686</v>
      </c>
    </row>
    <row r="17" customFormat="false" ht="15" hidden="false" customHeight="false" outlineLevel="0" collapsed="false">
      <c r="B17" s="11" t="s">
        <v>687</v>
      </c>
      <c r="C17" s="22" t="n">
        <v>11</v>
      </c>
      <c r="D17" s="27" t="n">
        <v>-43129</v>
      </c>
      <c r="E17" s="11" t="s">
        <v>688</v>
      </c>
    </row>
    <row r="18" customFormat="false" ht="15" hidden="false" customHeight="false" outlineLevel="0" collapsed="false">
      <c r="B18" s="11" t="s">
        <v>689</v>
      </c>
      <c r="C18" s="22" t="n">
        <v>9</v>
      </c>
      <c r="D18" s="27" t="n">
        <v>-231901.38</v>
      </c>
      <c r="E18" s="11" t="s">
        <v>674</v>
      </c>
    </row>
    <row r="19" customFormat="false" ht="15" hidden="false" customHeight="false" outlineLevel="0" collapsed="false">
      <c r="B19" s="11" t="s">
        <v>690</v>
      </c>
      <c r="C19" s="22" t="n">
        <v>2</v>
      </c>
      <c r="D19" s="27" t="n">
        <v>-22393.97</v>
      </c>
      <c r="E19" s="11" t="s">
        <v>691</v>
      </c>
    </row>
    <row r="20" customFormat="false" ht="15" hidden="false" customHeight="false" outlineLevel="0" collapsed="false">
      <c r="B20" s="11" t="s">
        <v>692</v>
      </c>
      <c r="C20" s="22" t="n">
        <v>5</v>
      </c>
      <c r="D20" s="27" t="n">
        <v>-35120.43</v>
      </c>
      <c r="E20" s="11" t="s">
        <v>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694</v>
      </c>
    </row>
    <row r="3" customFormat="false" ht="21.75" hidden="false" customHeight="true" outlineLevel="0" collapsed="false">
      <c r="B3" s="2" t="s">
        <v>695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696</v>
      </c>
    </row>
    <row r="6" customFormat="false" ht="15" hidden="false" customHeight="false" outlineLevel="0" collapsed="false">
      <c r="B6" s="3" t="s">
        <v>697</v>
      </c>
      <c r="C6" s="3" t="s">
        <v>698</v>
      </c>
      <c r="D6" s="3" t="s">
        <v>699</v>
      </c>
      <c r="E6" s="3" t="s">
        <v>67</v>
      </c>
      <c r="F6" s="3" t="s">
        <v>700</v>
      </c>
    </row>
    <row r="7" customFormat="false" ht="15" hidden="false" customHeight="false" outlineLevel="0" collapsed="false">
      <c r="B7" s="11" t="s">
        <v>701</v>
      </c>
      <c r="C7" s="11" t="s">
        <v>702</v>
      </c>
      <c r="D7" s="11" t="s">
        <v>703</v>
      </c>
      <c r="E7" s="13" t="s">
        <v>704</v>
      </c>
      <c r="F7" s="11" t="s">
        <v>705</v>
      </c>
    </row>
    <row r="8" customFormat="false" ht="15" hidden="false" customHeight="false" outlineLevel="0" collapsed="false">
      <c r="B8" s="11" t="s">
        <v>330</v>
      </c>
      <c r="C8" s="24" t="n">
        <v>0.205265102355939</v>
      </c>
      <c r="D8" s="11" t="s">
        <v>706</v>
      </c>
      <c r="E8" s="13" t="s">
        <v>704</v>
      </c>
      <c r="F8" s="11" t="s">
        <v>707</v>
      </c>
    </row>
    <row r="9" customFormat="false" ht="15" hidden="false" customHeight="false" outlineLevel="0" collapsed="false">
      <c r="B9" s="11" t="s">
        <v>708</v>
      </c>
      <c r="C9" s="24" t="n">
        <v>0.0184708657389426</v>
      </c>
      <c r="D9" s="11" t="s">
        <v>709</v>
      </c>
      <c r="E9" s="13" t="s">
        <v>704</v>
      </c>
      <c r="F9" s="11" t="s">
        <v>710</v>
      </c>
    </row>
    <row r="10" customFormat="false" ht="15" hidden="false" customHeight="false" outlineLevel="0" collapsed="false">
      <c r="B10" s="11" t="s">
        <v>711</v>
      </c>
      <c r="C10" s="24" t="n">
        <v>0.769566991987002</v>
      </c>
      <c r="D10" s="11" t="s">
        <v>712</v>
      </c>
      <c r="E10" s="13" t="s">
        <v>704</v>
      </c>
      <c r="F10" s="11" t="s">
        <v>713</v>
      </c>
    </row>
    <row r="11" customFormat="false" ht="15" hidden="false" customHeight="false" outlineLevel="0" collapsed="false">
      <c r="B11" s="11" t="s">
        <v>714</v>
      </c>
      <c r="C11" s="24" t="n">
        <v>0.05</v>
      </c>
      <c r="D11" s="11" t="s">
        <v>715</v>
      </c>
      <c r="E11" s="13" t="s">
        <v>704</v>
      </c>
      <c r="F11" s="11" t="s">
        <v>716</v>
      </c>
    </row>
    <row r="12" customFormat="false" ht="15" hidden="false" customHeight="false" outlineLevel="0" collapsed="false">
      <c r="B12" s="11" t="s">
        <v>329</v>
      </c>
      <c r="C12" s="24" t="n">
        <v>0.45976068003625</v>
      </c>
      <c r="D12" s="11" t="s">
        <v>717</v>
      </c>
      <c r="E12" s="13" t="s">
        <v>704</v>
      </c>
      <c r="F12" s="11" t="s">
        <v>718</v>
      </c>
    </row>
    <row r="13" customFormat="false" ht="15" hidden="false" customHeight="false" outlineLevel="0" collapsed="false">
      <c r="B13" s="11" t="s">
        <v>719</v>
      </c>
      <c r="C13" s="10" t="n">
        <v>11019</v>
      </c>
      <c r="D13" s="11" t="s">
        <v>720</v>
      </c>
      <c r="E13" s="28" t="s">
        <v>721</v>
      </c>
      <c r="F13" s="11" t="s">
        <v>722</v>
      </c>
    </row>
    <row r="14" customFormat="false" ht="15" hidden="false" customHeight="false" outlineLevel="0" collapsed="false">
      <c r="B14" s="11" t="s">
        <v>723</v>
      </c>
      <c r="C14" s="24" t="n">
        <v>0.157183047463472</v>
      </c>
      <c r="D14" s="11" t="s">
        <v>724</v>
      </c>
      <c r="E14" s="13" t="s">
        <v>704</v>
      </c>
      <c r="F14" s="11" t="s">
        <v>725</v>
      </c>
    </row>
    <row r="15" customFormat="false" ht="15" hidden="false" customHeight="false" outlineLevel="0" collapsed="false">
      <c r="B15" s="11" t="s">
        <v>726</v>
      </c>
      <c r="C15" s="24" t="n">
        <v>0.47889506791868</v>
      </c>
      <c r="D15" s="11" t="s">
        <v>727</v>
      </c>
      <c r="E15" s="13" t="s">
        <v>704</v>
      </c>
      <c r="F15" s="11" t="s">
        <v>728</v>
      </c>
    </row>
    <row r="16" customFormat="false" ht="15" hidden="false" customHeight="false" outlineLevel="0" collapsed="false">
      <c r="B16" s="11" t="s">
        <v>729</v>
      </c>
      <c r="C16" s="11" t="s">
        <v>730</v>
      </c>
      <c r="D16" s="11" t="s">
        <v>731</v>
      </c>
      <c r="E16" s="29" t="s">
        <v>732</v>
      </c>
      <c r="F16" s="11" t="s">
        <v>733</v>
      </c>
    </row>
    <row r="18" customFormat="false" ht="15" hidden="false" customHeight="false" outlineLevel="0" collapsed="false">
      <c r="B18" s="3" t="s">
        <v>734</v>
      </c>
    </row>
    <row r="19" customFormat="false" ht="15" hidden="false" customHeight="false" outlineLevel="0" collapsed="false">
      <c r="B19" s="3" t="s">
        <v>735</v>
      </c>
      <c r="C19" s="3" t="s">
        <v>736</v>
      </c>
      <c r="D19" s="3" t="s">
        <v>413</v>
      </c>
      <c r="E19" s="3" t="s">
        <v>737</v>
      </c>
      <c r="F19" s="3" t="s">
        <v>738</v>
      </c>
    </row>
    <row r="20" customFormat="false" ht="15" hidden="false" customHeight="false" outlineLevel="0" collapsed="false">
      <c r="B20" s="11" t="s">
        <v>739</v>
      </c>
      <c r="C20" s="24" t="n">
        <v>0.45976068003625</v>
      </c>
      <c r="D20" s="11" t="s">
        <v>83</v>
      </c>
      <c r="E20" s="11" t="s">
        <v>740</v>
      </c>
      <c r="F20" s="11" t="s">
        <v>718</v>
      </c>
    </row>
    <row r="21" customFormat="false" ht="15" hidden="false" customHeight="false" outlineLevel="0" collapsed="false">
      <c r="B21" s="11" t="s">
        <v>741</v>
      </c>
      <c r="C21" s="11" t="s">
        <v>733</v>
      </c>
      <c r="D21" s="11" t="s">
        <v>660</v>
      </c>
      <c r="E21" s="11" t="s">
        <v>742</v>
      </c>
      <c r="F21" s="11" t="s">
        <v>660</v>
      </c>
    </row>
    <row r="22" customFormat="false" ht="15" hidden="false" customHeight="false" outlineLevel="0" collapsed="false">
      <c r="B22" s="11" t="s">
        <v>743</v>
      </c>
      <c r="C22" s="11" t="s">
        <v>744</v>
      </c>
      <c r="D22" s="11" t="s">
        <v>416</v>
      </c>
      <c r="E22" s="11" t="s">
        <v>336</v>
      </c>
      <c r="F22" s="11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745</v>
      </c>
    </row>
    <row r="3" customFormat="false" ht="21.75" hidden="false" customHeight="true" outlineLevel="0" collapsed="false">
      <c r="B3" s="2" t="s">
        <v>746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410</v>
      </c>
      <c r="C5" s="3" t="s">
        <v>747</v>
      </c>
      <c r="D5" s="3" t="s">
        <v>748</v>
      </c>
      <c r="E5" s="3" t="s">
        <v>289</v>
      </c>
      <c r="F5" s="3" t="s">
        <v>749</v>
      </c>
      <c r="G5" s="3" t="s">
        <v>750</v>
      </c>
      <c r="H5" s="3" t="s">
        <v>413</v>
      </c>
      <c r="I5" s="3" t="s">
        <v>751</v>
      </c>
    </row>
    <row r="6" customFormat="false" ht="15" hidden="false" customHeight="false" outlineLevel="0" collapsed="false">
      <c r="B6" s="22" t="n">
        <v>1</v>
      </c>
      <c r="C6" s="11" t="s">
        <v>443</v>
      </c>
      <c r="D6" s="11" t="s">
        <v>442</v>
      </c>
      <c r="E6" s="11" t="s">
        <v>4</v>
      </c>
      <c r="F6" s="11" t="s">
        <v>752</v>
      </c>
      <c r="G6" s="11" t="s">
        <v>437</v>
      </c>
      <c r="H6" s="13" t="s">
        <v>416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447</v>
      </c>
      <c r="D7" s="11" t="s">
        <v>446</v>
      </c>
      <c r="E7" s="11" t="s">
        <v>448</v>
      </c>
      <c r="F7" s="11" t="s">
        <v>753</v>
      </c>
      <c r="G7" s="11" t="s">
        <v>437</v>
      </c>
      <c r="H7" s="13" t="s">
        <v>416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449</v>
      </c>
      <c r="D8" s="11" t="s">
        <v>11</v>
      </c>
      <c r="E8" s="11" t="s">
        <v>12</v>
      </c>
      <c r="F8" s="11" t="s">
        <v>753</v>
      </c>
      <c r="G8" s="11" t="s">
        <v>437</v>
      </c>
      <c r="H8" s="13" t="s">
        <v>416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450</v>
      </c>
      <c r="D9" s="11" t="s">
        <v>71</v>
      </c>
      <c r="E9" s="11" t="s">
        <v>17</v>
      </c>
      <c r="F9" s="11" t="s">
        <v>753</v>
      </c>
      <c r="G9" s="11" t="s">
        <v>437</v>
      </c>
      <c r="H9" s="13" t="s">
        <v>416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451</v>
      </c>
      <c r="D10" s="11" t="s">
        <v>34</v>
      </c>
      <c r="E10" s="11" t="s">
        <v>35</v>
      </c>
      <c r="F10" s="11" t="s">
        <v>753</v>
      </c>
      <c r="G10" s="11" t="s">
        <v>437</v>
      </c>
      <c r="H10" s="13" t="s">
        <v>416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453</v>
      </c>
      <c r="D11" s="11" t="s">
        <v>452</v>
      </c>
      <c r="E11" s="11" t="s">
        <v>28</v>
      </c>
      <c r="F11" s="11" t="s">
        <v>753</v>
      </c>
      <c r="G11" s="11" t="s">
        <v>437</v>
      </c>
      <c r="H11" s="13" t="s">
        <v>416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455</v>
      </c>
      <c r="D12" s="11" t="s">
        <v>454</v>
      </c>
      <c r="E12" s="11" t="s">
        <v>456</v>
      </c>
      <c r="F12" s="11" t="s">
        <v>753</v>
      </c>
      <c r="G12" s="11" t="s">
        <v>437</v>
      </c>
      <c r="H12" s="13" t="s">
        <v>416</v>
      </c>
      <c r="I12" s="11" t="s">
        <v>457</v>
      </c>
    </row>
    <row r="13" customFormat="false" ht="15" hidden="false" customHeight="false" outlineLevel="0" collapsed="false">
      <c r="B13" s="22" t="n">
        <v>8</v>
      </c>
      <c r="C13" s="11" t="s">
        <v>459</v>
      </c>
      <c r="D13" s="11" t="s">
        <v>458</v>
      </c>
      <c r="E13" s="11" t="s">
        <v>30</v>
      </c>
      <c r="F13" s="11" t="s">
        <v>753</v>
      </c>
      <c r="G13" s="11" t="s">
        <v>437</v>
      </c>
      <c r="H13" s="13" t="s">
        <v>416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460</v>
      </c>
      <c r="D14" s="11" t="s">
        <v>18</v>
      </c>
      <c r="E14" s="11" t="s">
        <v>19</v>
      </c>
      <c r="F14" s="11" t="s">
        <v>753</v>
      </c>
      <c r="G14" s="11" t="s">
        <v>437</v>
      </c>
      <c r="H14" s="13" t="s">
        <v>416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462</v>
      </c>
      <c r="D15" s="11" t="s">
        <v>461</v>
      </c>
      <c r="E15" s="11" t="s">
        <v>22</v>
      </c>
      <c r="F15" s="11" t="s">
        <v>753</v>
      </c>
      <c r="G15" s="11" t="s">
        <v>437</v>
      </c>
      <c r="H15" s="13" t="s">
        <v>416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463</v>
      </c>
      <c r="D16" s="11" t="s">
        <v>25</v>
      </c>
      <c r="E16" s="11" t="s">
        <v>26</v>
      </c>
      <c r="F16" s="11" t="s">
        <v>753</v>
      </c>
      <c r="G16" s="11" t="s">
        <v>437</v>
      </c>
      <c r="H16" s="13" t="s">
        <v>416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465</v>
      </c>
      <c r="D17" s="11" t="s">
        <v>464</v>
      </c>
      <c r="E17" s="11" t="s">
        <v>353</v>
      </c>
      <c r="F17" s="11" t="s">
        <v>754</v>
      </c>
      <c r="G17" s="11" t="s">
        <v>437</v>
      </c>
      <c r="H17" s="13" t="s">
        <v>416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467</v>
      </c>
      <c r="D18" s="11" t="s">
        <v>466</v>
      </c>
      <c r="E18" s="11" t="s">
        <v>468</v>
      </c>
      <c r="F18" s="11" t="s">
        <v>754</v>
      </c>
      <c r="G18" s="11" t="s">
        <v>437</v>
      </c>
      <c r="H18" s="13" t="s">
        <v>416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470</v>
      </c>
      <c r="D19" s="11" t="s">
        <v>469</v>
      </c>
      <c r="E19" s="11" t="s">
        <v>471</v>
      </c>
      <c r="F19" s="11" t="s">
        <v>754</v>
      </c>
      <c r="G19" s="11" t="s">
        <v>437</v>
      </c>
      <c r="H19" s="13" t="s">
        <v>416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473</v>
      </c>
      <c r="D20" s="11" t="s">
        <v>472</v>
      </c>
      <c r="E20" s="22" t="n">
        <v>20</v>
      </c>
      <c r="F20" s="11" t="s">
        <v>755</v>
      </c>
      <c r="G20" s="11" t="s">
        <v>437</v>
      </c>
      <c r="H20" s="13" t="s">
        <v>416</v>
      </c>
      <c r="I20" s="11" t="s">
        <v>298</v>
      </c>
    </row>
    <row r="21" customFormat="false" ht="15" hidden="false" customHeight="false" outlineLevel="0" collapsed="false">
      <c r="B21" s="22" t="n">
        <v>16</v>
      </c>
      <c r="C21" s="11" t="s">
        <v>474</v>
      </c>
      <c r="D21" s="11" t="s">
        <v>39</v>
      </c>
      <c r="E21" s="22" t="n">
        <v>109</v>
      </c>
      <c r="F21" s="11" t="s">
        <v>756</v>
      </c>
      <c r="G21" s="11" t="s">
        <v>437</v>
      </c>
      <c r="H21" s="13" t="s">
        <v>416</v>
      </c>
      <c r="I21" s="11" t="s">
        <v>476</v>
      </c>
    </row>
    <row r="22" customFormat="false" ht="15" hidden="false" customHeight="false" outlineLevel="0" collapsed="false">
      <c r="B22" s="22" t="n">
        <v>17</v>
      </c>
      <c r="C22" s="11" t="s">
        <v>478</v>
      </c>
      <c r="D22" s="11" t="s">
        <v>477</v>
      </c>
      <c r="E22" s="22" t="n">
        <v>643</v>
      </c>
      <c r="F22" s="11" t="s">
        <v>757</v>
      </c>
      <c r="G22" s="11" t="s">
        <v>437</v>
      </c>
      <c r="H22" s="13" t="s">
        <v>416</v>
      </c>
      <c r="I22" s="11" t="s">
        <v>476</v>
      </c>
    </row>
    <row r="23" customFormat="false" ht="15" hidden="false" customHeight="false" outlineLevel="0" collapsed="false">
      <c r="B23" s="22" t="n">
        <v>18</v>
      </c>
      <c r="C23" s="11" t="s">
        <v>481</v>
      </c>
      <c r="D23" s="11" t="s">
        <v>480</v>
      </c>
      <c r="E23" s="9" t="n">
        <v>1576200</v>
      </c>
      <c r="F23" s="11" t="s">
        <v>335</v>
      </c>
      <c r="G23" s="11" t="s">
        <v>437</v>
      </c>
      <c r="H23" s="13" t="s">
        <v>416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484</v>
      </c>
      <c r="D24" s="11" t="s">
        <v>483</v>
      </c>
      <c r="E24" s="9" t="n">
        <v>1583445</v>
      </c>
      <c r="F24" s="11" t="s">
        <v>335</v>
      </c>
      <c r="G24" s="11" t="s">
        <v>437</v>
      </c>
      <c r="H24" s="13" t="s">
        <v>416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486</v>
      </c>
      <c r="D25" s="11" t="s">
        <v>485</v>
      </c>
      <c r="E25" s="9" t="n">
        <v>7245</v>
      </c>
      <c r="F25" s="11" t="s">
        <v>335</v>
      </c>
      <c r="G25" s="11" t="s">
        <v>437</v>
      </c>
      <c r="H25" s="13" t="s">
        <v>416</v>
      </c>
      <c r="I25" s="11" t="s">
        <v>419</v>
      </c>
    </row>
    <row r="26" customFormat="false" ht="15" hidden="false" customHeight="false" outlineLevel="0" collapsed="false">
      <c r="B26" s="22" t="n">
        <v>21</v>
      </c>
      <c r="C26" s="11" t="s">
        <v>489</v>
      </c>
      <c r="D26" s="11" t="s">
        <v>488</v>
      </c>
      <c r="E26" s="26" t="n">
        <v>0.00459649790635706</v>
      </c>
      <c r="F26" s="11" t="s">
        <v>328</v>
      </c>
      <c r="G26" s="11" t="s">
        <v>437</v>
      </c>
      <c r="H26" s="13" t="s">
        <v>416</v>
      </c>
      <c r="I26" s="11" t="s">
        <v>298</v>
      </c>
    </row>
    <row r="27" customFormat="false" ht="15" hidden="false" customHeight="false" outlineLevel="0" collapsed="false">
      <c r="B27" s="22" t="n">
        <v>22</v>
      </c>
      <c r="C27" s="11" t="s">
        <v>491</v>
      </c>
      <c r="D27" s="11" t="s">
        <v>490</v>
      </c>
      <c r="E27" s="9" t="n">
        <v>1583445</v>
      </c>
      <c r="F27" s="11" t="s">
        <v>335</v>
      </c>
      <c r="G27" s="11" t="s">
        <v>437</v>
      </c>
      <c r="H27" s="13" t="s">
        <v>416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494</v>
      </c>
      <c r="D28" s="11" t="s">
        <v>493</v>
      </c>
      <c r="E28" s="9" t="n">
        <v>855439.25</v>
      </c>
      <c r="F28" s="11" t="s">
        <v>335</v>
      </c>
      <c r="G28" s="11" t="s">
        <v>437</v>
      </c>
      <c r="H28" s="13" t="s">
        <v>416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497</v>
      </c>
      <c r="D29" s="11" t="s">
        <v>496</v>
      </c>
      <c r="E29" s="9" t="n">
        <v>728005.75</v>
      </c>
      <c r="F29" s="11" t="s">
        <v>335</v>
      </c>
      <c r="G29" s="11" t="s">
        <v>437</v>
      </c>
      <c r="H29" s="13" t="s">
        <v>416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499</v>
      </c>
      <c r="D30" s="11" t="s">
        <v>329</v>
      </c>
      <c r="E30" s="26" t="n">
        <v>0.45976068003625</v>
      </c>
      <c r="F30" s="11" t="s">
        <v>328</v>
      </c>
      <c r="G30" s="11" t="s">
        <v>437</v>
      </c>
      <c r="H30" s="13" t="s">
        <v>416</v>
      </c>
      <c r="I30" s="11" t="s">
        <v>298</v>
      </c>
    </row>
    <row r="31" customFormat="false" ht="15" hidden="false" customHeight="false" outlineLevel="0" collapsed="false">
      <c r="B31" s="22" t="n">
        <v>26</v>
      </c>
      <c r="C31" s="11" t="s">
        <v>501</v>
      </c>
      <c r="D31" s="11" t="s">
        <v>500</v>
      </c>
      <c r="E31" s="9" t="n">
        <v>79172.25</v>
      </c>
      <c r="F31" s="11" t="s">
        <v>335</v>
      </c>
      <c r="G31" s="11" t="s">
        <v>437</v>
      </c>
      <c r="H31" s="13" t="s">
        <v>416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504</v>
      </c>
      <c r="D32" s="11" t="s">
        <v>503</v>
      </c>
      <c r="E32" s="26" t="n">
        <v>0.05</v>
      </c>
      <c r="F32" s="11" t="s">
        <v>328</v>
      </c>
      <c r="G32" s="11" t="s">
        <v>437</v>
      </c>
      <c r="H32" s="13" t="s">
        <v>416</v>
      </c>
      <c r="I32" s="11" t="s">
        <v>298</v>
      </c>
    </row>
    <row r="33" customFormat="false" ht="15" hidden="false" customHeight="false" outlineLevel="0" collapsed="false">
      <c r="B33" s="22" t="n">
        <v>28</v>
      </c>
      <c r="C33" s="11" t="s">
        <v>506</v>
      </c>
      <c r="D33" s="11" t="s">
        <v>505</v>
      </c>
      <c r="E33" s="9" t="n">
        <v>325026</v>
      </c>
      <c r="F33" s="11" t="s">
        <v>335</v>
      </c>
      <c r="G33" s="11" t="s">
        <v>437</v>
      </c>
      <c r="H33" s="13" t="s">
        <v>416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509</v>
      </c>
      <c r="D34" s="11" t="s">
        <v>508</v>
      </c>
      <c r="E34" s="9" t="n">
        <v>320019.62</v>
      </c>
      <c r="F34" s="11" t="s">
        <v>335</v>
      </c>
      <c r="G34" s="11" t="s">
        <v>437</v>
      </c>
      <c r="H34" s="13" t="s">
        <v>416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512</v>
      </c>
      <c r="D35" s="11" t="s">
        <v>511</v>
      </c>
      <c r="E35" s="9" t="n">
        <v>41379.57</v>
      </c>
      <c r="F35" s="11" t="s">
        <v>335</v>
      </c>
      <c r="G35" s="11" t="s">
        <v>437</v>
      </c>
      <c r="H35" s="13" t="s">
        <v>416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515</v>
      </c>
      <c r="D36" s="11" t="s">
        <v>514</v>
      </c>
      <c r="E36" s="9" t="n">
        <v>144149.08</v>
      </c>
      <c r="F36" s="11" t="s">
        <v>335</v>
      </c>
      <c r="G36" s="11" t="s">
        <v>437</v>
      </c>
      <c r="H36" s="13" t="s">
        <v>416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518</v>
      </c>
      <c r="D37" s="11" t="s">
        <v>517</v>
      </c>
      <c r="E37" s="9" t="n">
        <v>24864.98</v>
      </c>
      <c r="F37" s="11" t="s">
        <v>335</v>
      </c>
      <c r="G37" s="11" t="s">
        <v>437</v>
      </c>
      <c r="H37" s="13" t="s">
        <v>416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520</v>
      </c>
      <c r="D38" s="11" t="s">
        <v>293</v>
      </c>
      <c r="E38" s="10" t="n">
        <v>11019</v>
      </c>
      <c r="F38" s="11" t="s">
        <v>758</v>
      </c>
      <c r="G38" s="11" t="s">
        <v>437</v>
      </c>
      <c r="H38" s="13" t="s">
        <v>416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522</v>
      </c>
      <c r="D39" s="11" t="s">
        <v>291</v>
      </c>
      <c r="E39" s="22" t="n">
        <v>32</v>
      </c>
      <c r="F39" s="11" t="s">
        <v>757</v>
      </c>
      <c r="G39" s="11" t="s">
        <v>437</v>
      </c>
      <c r="H39" s="13" t="s">
        <v>416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525</v>
      </c>
      <c r="D40" s="11" t="s">
        <v>524</v>
      </c>
      <c r="E40" s="9" t="n">
        <v>29.4968690443779</v>
      </c>
      <c r="F40" s="11" t="s">
        <v>315</v>
      </c>
      <c r="G40" s="11" t="s">
        <v>437</v>
      </c>
      <c r="H40" s="13" t="s">
        <v>416</v>
      </c>
      <c r="I40" s="11" t="s">
        <v>298</v>
      </c>
    </row>
    <row r="41" customFormat="false" ht="15" hidden="false" customHeight="false" outlineLevel="0" collapsed="false">
      <c r="B41" s="22" t="n">
        <v>36</v>
      </c>
      <c r="C41" s="11" t="s">
        <v>527</v>
      </c>
      <c r="D41" s="11" t="s">
        <v>526</v>
      </c>
      <c r="E41" s="9" t="n">
        <v>60.1737</v>
      </c>
      <c r="F41" s="11" t="s">
        <v>315</v>
      </c>
      <c r="G41" s="11" t="s">
        <v>437</v>
      </c>
      <c r="H41" s="13" t="s">
        <v>416</v>
      </c>
      <c r="I41" s="11" t="s">
        <v>298</v>
      </c>
    </row>
    <row r="42" customFormat="false" ht="15" hidden="false" customHeight="false" outlineLevel="0" collapsed="false">
      <c r="B42" s="22" t="n">
        <v>37</v>
      </c>
      <c r="C42" s="11" t="s">
        <v>528</v>
      </c>
      <c r="D42" s="11" t="s">
        <v>321</v>
      </c>
      <c r="E42" s="25" t="n">
        <v>1.3421</v>
      </c>
      <c r="F42" s="11" t="s">
        <v>322</v>
      </c>
      <c r="G42" s="11" t="s">
        <v>437</v>
      </c>
      <c r="H42" s="13" t="s">
        <v>416</v>
      </c>
      <c r="I42" s="11" t="s">
        <v>298</v>
      </c>
    </row>
    <row r="43" customFormat="false" ht="15" hidden="false" customHeight="false" outlineLevel="0" collapsed="false">
      <c r="B43" s="22" t="n">
        <v>38</v>
      </c>
      <c r="C43" s="11" t="s">
        <v>530</v>
      </c>
      <c r="D43" s="11" t="s">
        <v>529</v>
      </c>
      <c r="E43" s="10" t="n">
        <v>5253</v>
      </c>
      <c r="F43" s="11" t="s">
        <v>758</v>
      </c>
      <c r="G43" s="11" t="s">
        <v>437</v>
      </c>
      <c r="H43" s="13" t="s">
        <v>416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533</v>
      </c>
      <c r="D44" s="11" t="s">
        <v>532</v>
      </c>
      <c r="E44" s="10" t="n">
        <v>922.5</v>
      </c>
      <c r="F44" s="11" t="s">
        <v>758</v>
      </c>
      <c r="G44" s="11" t="s">
        <v>437</v>
      </c>
      <c r="H44" s="13" t="s">
        <v>416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536</v>
      </c>
      <c r="D45" s="11" t="s">
        <v>535</v>
      </c>
      <c r="E45" s="9" t="n">
        <v>143.701334059352</v>
      </c>
      <c r="F45" s="11" t="s">
        <v>315</v>
      </c>
      <c r="G45" s="11" t="s">
        <v>437</v>
      </c>
      <c r="H45" s="13" t="s">
        <v>416</v>
      </c>
      <c r="I45" s="11" t="s">
        <v>298</v>
      </c>
    </row>
    <row r="46" customFormat="false" ht="15" hidden="false" customHeight="false" outlineLevel="0" collapsed="false">
      <c r="B46" s="22" t="n">
        <v>41</v>
      </c>
      <c r="C46" s="11" t="s">
        <v>539</v>
      </c>
      <c r="D46" s="11" t="s">
        <v>538</v>
      </c>
      <c r="E46" s="9" t="n">
        <v>66.068223069244</v>
      </c>
      <c r="F46" s="11" t="s">
        <v>315</v>
      </c>
      <c r="G46" s="11" t="s">
        <v>437</v>
      </c>
      <c r="H46" s="13" t="s">
        <v>416</v>
      </c>
      <c r="I46" s="11" t="s">
        <v>298</v>
      </c>
    </row>
    <row r="47" customFormat="false" ht="15" hidden="false" customHeight="false" outlineLevel="0" collapsed="false">
      <c r="B47" s="22" t="n">
        <v>42</v>
      </c>
      <c r="C47" s="11" t="s">
        <v>541</v>
      </c>
      <c r="D47" s="11" t="s">
        <v>540</v>
      </c>
      <c r="E47" s="9" t="n">
        <v>14527.0183486239</v>
      </c>
      <c r="F47" s="11" t="s">
        <v>335</v>
      </c>
      <c r="G47" s="11" t="s">
        <v>437</v>
      </c>
      <c r="H47" s="13" t="s">
        <v>416</v>
      </c>
      <c r="I47" s="11" t="s">
        <v>298</v>
      </c>
    </row>
    <row r="48" customFormat="false" ht="15" hidden="false" customHeight="false" outlineLevel="0" collapsed="false">
      <c r="B48" s="22" t="n">
        <v>43</v>
      </c>
      <c r="C48" s="11" t="s">
        <v>542</v>
      </c>
      <c r="D48" s="11" t="s">
        <v>340</v>
      </c>
      <c r="E48" s="9" t="n">
        <v>7848.06651376147</v>
      </c>
      <c r="F48" s="11" t="s">
        <v>335</v>
      </c>
      <c r="G48" s="11" t="s">
        <v>437</v>
      </c>
      <c r="H48" s="13" t="s">
        <v>416</v>
      </c>
      <c r="I48" s="11" t="s">
        <v>298</v>
      </c>
    </row>
    <row r="49" customFormat="false" ht="15" hidden="false" customHeight="false" outlineLevel="0" collapsed="false">
      <c r="B49" s="22" t="n">
        <v>44</v>
      </c>
      <c r="C49" s="11" t="s">
        <v>544</v>
      </c>
      <c r="D49" s="11" t="s">
        <v>543</v>
      </c>
      <c r="E49" s="10" t="n">
        <v>101.091743119266</v>
      </c>
      <c r="F49" s="11" t="s">
        <v>758</v>
      </c>
      <c r="G49" s="11" t="s">
        <v>437</v>
      </c>
      <c r="H49" s="13" t="s">
        <v>416</v>
      </c>
      <c r="I49" s="11" t="s">
        <v>298</v>
      </c>
    </row>
    <row r="50" customFormat="false" ht="15" hidden="false" customHeight="false" outlineLevel="0" collapsed="false">
      <c r="B50" s="22" t="n">
        <v>45</v>
      </c>
      <c r="C50" s="11" t="s">
        <v>545</v>
      </c>
      <c r="D50" s="11" t="s">
        <v>342</v>
      </c>
      <c r="E50" s="9" t="n">
        <v>2462.58942457232</v>
      </c>
      <c r="F50" s="11" t="s">
        <v>335</v>
      </c>
      <c r="G50" s="11" t="s">
        <v>437</v>
      </c>
      <c r="H50" s="13" t="s">
        <v>416</v>
      </c>
      <c r="I50" s="11" t="s">
        <v>298</v>
      </c>
    </row>
    <row r="51" customFormat="false" ht="15" hidden="false" customHeight="false" outlineLevel="0" collapsed="false">
      <c r="B51" s="22" t="n">
        <v>46</v>
      </c>
      <c r="C51" s="11" t="s">
        <v>546</v>
      </c>
      <c r="D51" s="11" t="s">
        <v>330</v>
      </c>
      <c r="E51" s="26" t="n">
        <v>0.205265102355939</v>
      </c>
      <c r="F51" s="11" t="s">
        <v>328</v>
      </c>
      <c r="G51" s="11" t="s">
        <v>437</v>
      </c>
      <c r="H51" s="13" t="s">
        <v>416</v>
      </c>
      <c r="I51" s="11" t="s">
        <v>298</v>
      </c>
    </row>
    <row r="52" customFormat="false" ht="15" hidden="false" customHeight="false" outlineLevel="0" collapsed="false">
      <c r="B52" s="22" t="n">
        <v>47</v>
      </c>
      <c r="C52" s="11" t="s">
        <v>548</v>
      </c>
      <c r="D52" s="11" t="s">
        <v>331</v>
      </c>
      <c r="E52" s="26" t="n">
        <v>0.202103401128552</v>
      </c>
      <c r="F52" s="11" t="s">
        <v>328</v>
      </c>
      <c r="G52" s="11" t="s">
        <v>437</v>
      </c>
      <c r="H52" s="13" t="s">
        <v>416</v>
      </c>
      <c r="I52" s="11" t="s">
        <v>298</v>
      </c>
    </row>
    <row r="53" customFormat="false" ht="15" hidden="false" customHeight="false" outlineLevel="0" collapsed="false">
      <c r="B53" s="22" t="n">
        <v>48</v>
      </c>
      <c r="C53" s="11" t="s">
        <v>550</v>
      </c>
      <c r="D53" s="11" t="s">
        <v>549</v>
      </c>
      <c r="E53" s="22" t="n">
        <v>21</v>
      </c>
      <c r="F53" s="11" t="s">
        <v>757</v>
      </c>
      <c r="G53" s="11" t="s">
        <v>437</v>
      </c>
      <c r="H53" s="13" t="s">
        <v>416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552</v>
      </c>
      <c r="D54" s="11" t="s">
        <v>551</v>
      </c>
      <c r="E54" s="22" t="n">
        <v>26</v>
      </c>
      <c r="F54" s="11" t="s">
        <v>757</v>
      </c>
      <c r="G54" s="11" t="s">
        <v>437</v>
      </c>
      <c r="H54" s="13" t="s">
        <v>416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555</v>
      </c>
      <c r="D55" s="11" t="s">
        <v>554</v>
      </c>
      <c r="E55" s="26" t="n">
        <v>0.157183047463472</v>
      </c>
      <c r="F55" s="11" t="s">
        <v>328</v>
      </c>
      <c r="G55" s="11" t="s">
        <v>437</v>
      </c>
      <c r="H55" s="13" t="s">
        <v>416</v>
      </c>
      <c r="I55" s="11" t="s">
        <v>298</v>
      </c>
    </row>
    <row r="56" customFormat="false" ht="15" hidden="false" customHeight="false" outlineLevel="0" collapsed="false">
      <c r="B56" s="22" t="n">
        <v>51</v>
      </c>
      <c r="C56" s="11" t="s">
        <v>558</v>
      </c>
      <c r="D56" s="11" t="s">
        <v>557</v>
      </c>
      <c r="E56" s="26" t="n">
        <v>0.584263544786278</v>
      </c>
      <c r="F56" s="11" t="s">
        <v>328</v>
      </c>
      <c r="G56" s="11" t="s">
        <v>437</v>
      </c>
      <c r="H56" s="13" t="s">
        <v>416</v>
      </c>
      <c r="I56" s="11" t="s">
        <v>298</v>
      </c>
    </row>
    <row r="57" customFormat="false" ht="15" hidden="false" customHeight="false" outlineLevel="0" collapsed="false">
      <c r="B57" s="22" t="n">
        <v>52</v>
      </c>
      <c r="C57" s="11" t="s">
        <v>560</v>
      </c>
      <c r="D57" s="11" t="s">
        <v>559</v>
      </c>
      <c r="E57" s="22" t="n">
        <v>28</v>
      </c>
      <c r="F57" s="11" t="s">
        <v>757</v>
      </c>
      <c r="G57" s="11" t="s">
        <v>437</v>
      </c>
      <c r="H57" s="13" t="s">
        <v>416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563</v>
      </c>
      <c r="D58" s="11" t="s">
        <v>562</v>
      </c>
      <c r="E58" s="22" t="n">
        <v>18</v>
      </c>
      <c r="F58" s="11" t="s">
        <v>757</v>
      </c>
      <c r="G58" s="11" t="s">
        <v>437</v>
      </c>
      <c r="H58" s="13" t="s">
        <v>416</v>
      </c>
      <c r="I58" s="11" t="s">
        <v>565</v>
      </c>
    </row>
    <row r="59" customFormat="false" ht="15" hidden="false" customHeight="false" outlineLevel="0" collapsed="false">
      <c r="B59" s="22" t="n">
        <v>54</v>
      </c>
      <c r="C59" s="11" t="s">
        <v>567</v>
      </c>
      <c r="D59" s="11" t="s">
        <v>566</v>
      </c>
      <c r="E59" s="22" t="n">
        <v>30</v>
      </c>
      <c r="F59" s="11" t="s">
        <v>757</v>
      </c>
      <c r="G59" s="11" t="s">
        <v>437</v>
      </c>
      <c r="H59" s="13" t="s">
        <v>416</v>
      </c>
      <c r="I59" s="11" t="s">
        <v>568</v>
      </c>
    </row>
    <row r="60" customFormat="false" ht="15" hidden="false" customHeight="false" outlineLevel="0" collapsed="false">
      <c r="B60" s="22" t="n">
        <v>55</v>
      </c>
      <c r="C60" s="11" t="s">
        <v>570</v>
      </c>
      <c r="D60" s="11" t="s">
        <v>569</v>
      </c>
      <c r="E60" s="22" t="n">
        <v>20</v>
      </c>
      <c r="F60" s="11" t="s">
        <v>757</v>
      </c>
      <c r="G60" s="11" t="s">
        <v>437</v>
      </c>
      <c r="H60" s="13" t="s">
        <v>416</v>
      </c>
      <c r="I60" s="11" t="s">
        <v>571</v>
      </c>
    </row>
    <row r="61" customFormat="false" ht="15" hidden="false" customHeight="false" outlineLevel="0" collapsed="false">
      <c r="B61" s="22" t="n">
        <v>56</v>
      </c>
      <c r="C61" s="11" t="s">
        <v>573</v>
      </c>
      <c r="D61" s="11" t="s">
        <v>572</v>
      </c>
      <c r="E61" s="22" t="n">
        <v>0</v>
      </c>
      <c r="F61" s="11" t="s">
        <v>757</v>
      </c>
      <c r="G61" s="11" t="s">
        <v>437</v>
      </c>
      <c r="H61" s="13" t="s">
        <v>416</v>
      </c>
      <c r="I61" s="11" t="s">
        <v>574</v>
      </c>
    </row>
    <row r="62" customFormat="false" ht="15" hidden="false" customHeight="false" outlineLevel="0" collapsed="false">
      <c r="B62" s="22" t="n">
        <v>57</v>
      </c>
      <c r="C62" s="11" t="s">
        <v>576</v>
      </c>
      <c r="D62" s="11" t="s">
        <v>575</v>
      </c>
      <c r="E62" s="22" t="n">
        <v>0</v>
      </c>
      <c r="F62" s="11" t="s">
        <v>757</v>
      </c>
      <c r="G62" s="11" t="s">
        <v>437</v>
      </c>
      <c r="H62" s="13" t="s">
        <v>416</v>
      </c>
      <c r="I62" s="11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759</v>
      </c>
    </row>
    <row r="3" customFormat="false" ht="21.75" hidden="false" customHeight="true" outlineLevel="0" collapsed="false">
      <c r="B3" s="2" t="s">
        <v>760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410</v>
      </c>
      <c r="C5" s="3" t="s">
        <v>761</v>
      </c>
      <c r="D5" s="3" t="s">
        <v>762</v>
      </c>
      <c r="E5" s="3" t="s">
        <v>763</v>
      </c>
      <c r="F5" s="3" t="s">
        <v>764</v>
      </c>
      <c r="G5" s="3" t="s">
        <v>67</v>
      </c>
      <c r="H5" s="3" t="s">
        <v>765</v>
      </c>
    </row>
    <row r="6" customFormat="false" ht="15" hidden="false" customHeight="false" outlineLevel="0" collapsed="false">
      <c r="B6" s="22" t="n">
        <v>1</v>
      </c>
      <c r="C6" s="11" t="s">
        <v>766</v>
      </c>
      <c r="D6" s="9" t="n">
        <v>1583445</v>
      </c>
      <c r="E6" s="9" t="n">
        <v>1583445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767</v>
      </c>
    </row>
    <row r="7" customFormat="false" ht="15" hidden="false" customHeight="false" outlineLevel="0" collapsed="false">
      <c r="B7" s="22" t="n">
        <v>2</v>
      </c>
      <c r="C7" s="11" t="s">
        <v>768</v>
      </c>
      <c r="D7" s="9" t="n">
        <v>855439.25</v>
      </c>
      <c r="E7" s="9" t="n">
        <v>855439.25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769</v>
      </c>
    </row>
    <row r="8" customFormat="false" ht="15" hidden="false" customHeight="false" outlineLevel="0" collapsed="false">
      <c r="B8" s="22" t="n">
        <v>3</v>
      </c>
      <c r="C8" s="11" t="s">
        <v>770</v>
      </c>
      <c r="D8" s="9" t="n">
        <v>728005.75</v>
      </c>
      <c r="E8" s="9" t="n">
        <v>728005.75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771</v>
      </c>
    </row>
    <row r="9" customFormat="false" ht="15" hidden="false" customHeight="false" outlineLevel="0" collapsed="false">
      <c r="B9" s="22" t="n">
        <v>4</v>
      </c>
      <c r="C9" s="11" t="s">
        <v>772</v>
      </c>
      <c r="D9" s="9" t="n">
        <v>1583445</v>
      </c>
      <c r="E9" s="9" t="n">
        <v>1583445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773</v>
      </c>
    </row>
    <row r="10" customFormat="false" ht="15" hidden="false" customHeight="false" outlineLevel="0" collapsed="false">
      <c r="B10" s="22" t="n">
        <v>5</v>
      </c>
      <c r="C10" s="11" t="s">
        <v>774</v>
      </c>
      <c r="D10" s="9" t="n">
        <v>11019</v>
      </c>
      <c r="E10" s="9" t="n">
        <v>11019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775</v>
      </c>
    </row>
    <row r="11" customFormat="false" ht="15" hidden="false" customHeight="false" outlineLevel="0" collapsed="false">
      <c r="B11" s="22" t="n">
        <v>6</v>
      </c>
      <c r="C11" s="11" t="s">
        <v>776</v>
      </c>
      <c r="D11" s="9" t="n">
        <v>7245</v>
      </c>
      <c r="E11" s="9" t="n">
        <v>7245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777</v>
      </c>
    </row>
    <row r="12" customFormat="false" ht="15" hidden="false" customHeight="false" outlineLevel="0" collapsed="false">
      <c r="B12" s="22" t="n">
        <v>7</v>
      </c>
      <c r="C12" s="11" t="s">
        <v>778</v>
      </c>
      <c r="D12" s="11" t="n">
        <v>32</v>
      </c>
      <c r="E12" s="11" t="n">
        <v>32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779</v>
      </c>
    </row>
    <row r="13" customFormat="false" ht="15" hidden="false" customHeight="false" outlineLevel="0" collapsed="false">
      <c r="B13" s="22" t="n">
        <v>8</v>
      </c>
      <c r="C13" s="11" t="s">
        <v>780</v>
      </c>
      <c r="D13" s="11" t="n">
        <v>28</v>
      </c>
      <c r="E13" s="11" t="n">
        <v>28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2026-04-20T21:59:45Z</dcterms:created>
  <dc:creator>openpyxl</dc:creator>
  <dc:description/>
  <dc:language>en-US</dc:language>
  <cp:lastModifiedBy/>
  <dcterms:modified xsi:type="dcterms:W3CDTF">2026-04-20T21:59:45Z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